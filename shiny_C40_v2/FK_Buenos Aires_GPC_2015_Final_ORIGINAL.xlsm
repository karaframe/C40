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showInkAnnotation="0" codeName="ThisWorkbook" checkCompatibility="1" autoCompressPictures="0"/>
  <mc:AlternateContent xmlns:mc="http://schemas.openxmlformats.org/markup-compatibility/2006">
    <mc:Choice Requires="x15">
      <x15ac:absPath xmlns:x15ac="http://schemas.microsoft.com/office/spreadsheetml/2010/11/ac" url="C:\C40_Rose\"/>
    </mc:Choice>
  </mc:AlternateContent>
  <bookViews>
    <workbookView xWindow="0" yWindow="0" windowWidth="6285" windowHeight="7590" tabRatio="888"/>
  </bookViews>
  <sheets>
    <sheet name="Reference" sheetId="1" r:id="rId1"/>
    <sheet name="City information" sheetId="17" r:id="rId2"/>
    <sheet name="Data sources" sheetId="20" r:id="rId3"/>
    <sheet name="Emission factors" sheetId="19" r:id="rId4"/>
    <sheet name="NCV&amp;Density" sheetId="24" r:id="rId5"/>
    <sheet name="I - Stationary" sheetId="7" r:id="rId6"/>
    <sheet name="II - Transport" sheetId="11" r:id="rId7"/>
    <sheet name="III - Waste" sheetId="8" r:id="rId8"/>
    <sheet name="IV - IPPU" sheetId="6" r:id="rId9"/>
    <sheet name="V - AFOLU" sheetId="10" r:id="rId10"/>
    <sheet name="VI - Other scope 3" sheetId="13" r:id="rId11"/>
    <sheet name="Table A. Overview" sheetId="2" r:id="rId12"/>
    <sheet name="Graphs" sheetId="16" state="hidden" r:id="rId13"/>
    <sheet name="Table B. Summary" sheetId="23" r:id="rId14"/>
    <sheet name="Lists" sheetId="5" state="hidden" r:id="rId15"/>
  </sheets>
  <externalReferences>
    <externalReference r:id="rId16"/>
  </externalReferences>
  <definedNames>
    <definedName name="_CH4">Lists!#REF!</definedName>
    <definedName name="_xlnm._FilterDatabase" localSheetId="2" hidden="1">'Data sources'!$C$9:$C$24</definedName>
    <definedName name="AB" localSheetId="5">Lists!#REF!</definedName>
    <definedName name="AB" localSheetId="6">Lists!#REF!</definedName>
    <definedName name="AB" localSheetId="7">Lists!#REF!</definedName>
    <definedName name="AB" localSheetId="8">Lists!#REF!</definedName>
    <definedName name="AB" localSheetId="9">Lists!#REF!</definedName>
    <definedName name="AFOLU">Lists!#REF!</definedName>
    <definedName name="AFOLU_Aggregate">Lists!$AX$3:$AX$23</definedName>
    <definedName name="AFOLU_Land">Lists!$AV$3:$AV$47</definedName>
    <definedName name="AFOLU_Livestock">Lists!$AT$3:$AT$15</definedName>
    <definedName name="Aggregate" localSheetId="13">[1]Lists!$AP$3:$AP$23</definedName>
    <definedName name="Aggregate">Lists!$AX$3:$AX$23</definedName>
    <definedName name="Aggregate_sources">Lists!#REF!</definedName>
    <definedName name="Air" localSheetId="13">[1]Lists!$V$3:$V$15</definedName>
    <definedName name="Air">Lists!$AD$3:$AD$15</definedName>
    <definedName name="Audit">Lists!$G$3:$G$7</definedName>
    <definedName name="Biological_Treatment" localSheetId="13">[1]Lists!$Z$3:$Z$8</definedName>
    <definedName name="Biological_Treatment">Lists!$AH$3:$AH$8</definedName>
    <definedName name="Boundary" localSheetId="13">[1]Lists!$A$3:$A$8</definedName>
    <definedName name="Boundary">Lists!$A$3:$A$8</definedName>
    <definedName name="Climate" localSheetId="13">[1]Lists!$C$4:$C$24</definedName>
    <definedName name="Climate">Lists!$C$3:$C$24</definedName>
    <definedName name="CompleteDataSource.">'Data sources'!$C$9:$C$24</definedName>
    <definedName name="Conversion" localSheetId="13">[1]Lists!#REF!</definedName>
    <definedName name="Conversion">Lists!#REF!</definedName>
    <definedName name="DataSource">'Data sources'!$C$9:$C$24</definedName>
    <definedName name="DQ" localSheetId="13">[1]Lists!$E$3:$E$6</definedName>
    <definedName name="DQ">Lists!$L$3:$L$6</definedName>
    <definedName name="Economy" localSheetId="13">[1]Lists!$B$4:$B$8</definedName>
    <definedName name="Economy">Lists!$B$3:$B$8</definedName>
    <definedName name="EF_Mass_units">Lists!$J$3:$J$10</definedName>
    <definedName name="EF_Type">Lists!$I$3:$I$6</definedName>
    <definedName name="EmissionFactor">'Emission factors'!$C$10:$C$26</definedName>
    <definedName name="Energy_Industries" localSheetId="13">[1]Lists!$I$3:$I$8</definedName>
    <definedName name="Energy_Industries">Lists!$Q$3:$Q$8</definedName>
    <definedName name="Frequency" localSheetId="13">[1]Lists!$AT$3:$AT$11</definedName>
    <definedName name="Frequency">Lists!$BB$3:$BB$12</definedName>
    <definedName name="Fugitive_Coal" localSheetId="13">[1]Lists!$K$3:$K$17</definedName>
    <definedName name="Fugitive_Coal">Lists!$S$3:$S$17</definedName>
    <definedName name="Fugitive_Oil_Gas" localSheetId="13">[1]Lists!$M$3:$M$23</definedName>
    <definedName name="Fugitive_Oil_Gas">Lists!$U$3:$U$23</definedName>
    <definedName name="Gases" localSheetId="13">[1]Lists!$F$3:$F$20</definedName>
    <definedName name="Gases">Lists!$N$3:$N$20</definedName>
    <definedName name="Gases_2">Lists!$E$3:$E$7</definedName>
    <definedName name="GPC">Lists!#REF!</definedName>
    <definedName name="GPC_REF">'Table A. Overview'!$B$10:$B$87</definedName>
    <definedName name="GPC_Sector">Lists!#REF!</definedName>
    <definedName name="GPC_Stationary">Lists!$O$3:$O$37</definedName>
    <definedName name="GPC_Stationary_2">Lists!#REF!</definedName>
    <definedName name="Grid" localSheetId="13">[1]Lists!$H$3:$H$13</definedName>
    <definedName name="Grid">Lists!$P$3:$P$13</definedName>
    <definedName name="GWP">Lists!$F$3:$F$8</definedName>
    <definedName name="GWP_2">Lists!$H$3:$H$8</definedName>
    <definedName name="Incineration" localSheetId="13">[1]Lists!$AB$3:$AB$6</definedName>
    <definedName name="Incineration">Lists!$AJ$3:$AJ$6</definedName>
    <definedName name="Industrial_processes">Lists!#REF!</definedName>
    <definedName name="Inventory">Lists!$D$3:$D$7</definedName>
    <definedName name="IPPU">Lists!#REF!</definedName>
    <definedName name="IPPU_IP" localSheetId="13">[1]Lists!$AH$3:$AH$28</definedName>
    <definedName name="IPPU_IP">Lists!$AP$3:$AP$28</definedName>
    <definedName name="IPPU_PU" localSheetId="13">[1]Lists!$AJ$3:$AJ$30</definedName>
    <definedName name="IPPU_PU">Lists!$AR$3:$AR$30</definedName>
    <definedName name="Land" localSheetId="13">[1]Lists!$AN$3:$AN$47</definedName>
    <definedName name="Land">Lists!#REF!</definedName>
    <definedName name="Livestock" localSheetId="13">[1]Lists!$AL$3:$AL$15</definedName>
    <definedName name="Livestock">Lists!#REF!</definedName>
    <definedName name="Method" localSheetId="13">[1]Lists!$O$3:$O$8</definedName>
    <definedName name="Method">Lists!$W$3:$W$8</definedName>
    <definedName name="Multiplier">Lists!$M$3:$M$18</definedName>
    <definedName name="NK" localSheetId="13">[1]Lists!$D$3:$D$7</definedName>
    <definedName name="NK">Lists!$K$3:$K$7</definedName>
    <definedName name="NK_Explanation">Lists!#REF!</definedName>
    <definedName name="NK_Justification">Lists!#REF!</definedName>
    <definedName name="Organic_Waste" localSheetId="13">[1]Lists!$AG$3:$AG$9</definedName>
    <definedName name="Organic_Waste">Lists!$AO$3:$AO$9</definedName>
    <definedName name="Other">Lists!#REF!</definedName>
    <definedName name="Other_scope_3">Lists!#REF!</definedName>
    <definedName name="_xlnm.Print_Area" localSheetId="1">'City information'!$B$1:$D$19</definedName>
    <definedName name="_xlnm.Print_Area" localSheetId="5">'I - Stationary'!$B$2:$AG$128</definedName>
    <definedName name="_xlnm.Print_Area" localSheetId="6">'II - Transport'!$B$2:$AH$77</definedName>
    <definedName name="_xlnm.Print_Area" localSheetId="7">'III - Waste'!$B$2:$AH$62</definedName>
    <definedName name="_xlnm.Print_Area" localSheetId="8">'IV - IPPU'!$B$2:$BE$21</definedName>
    <definedName name="_xlnm.Print_Area" localSheetId="11">'Table A. Overview'!$B$2:$N$87</definedName>
    <definedName name="_xlnm.Print_Area" localSheetId="13">'Table B. Summary'!$B$2:$I$120</definedName>
    <definedName name="_xlnm.Print_Area" localSheetId="9">'V - AFOLU'!$B$2:$AG$29</definedName>
    <definedName name="_xlnm.Print_Area" localSheetId="10">'VI - Other scope 3'!$B$1:$BE$13</definedName>
    <definedName name="Product_use">Lists!#REF!</definedName>
    <definedName name="Rail" localSheetId="13">[1]Lists!$R$3:$R$13</definedName>
    <definedName name="Rail">Lists!$Z$3:$Z$13</definedName>
    <definedName name="ReportingPeriod" localSheetId="13">[1]Lists!$AS$3:$AS$6</definedName>
    <definedName name="ReportingPeriod">Lists!$BA$3:$BA$7</definedName>
    <definedName name="Road" localSheetId="13">[1]Lists!$P$3:$P$27</definedName>
    <definedName name="Road">Lists!$X$3:$X$27</definedName>
    <definedName name="Scale" localSheetId="13">[1]Lists!$AU$3:$AU$9</definedName>
    <definedName name="Scale">Lists!$BC$3:$BC$10</definedName>
    <definedName name="SCOPE3" localSheetId="13">[1]Lists!$AR$3:$AR$9</definedName>
    <definedName name="SCOPE3">Lists!$AZ$3:$AZ$9</definedName>
    <definedName name="Solid_Waste" localSheetId="13">[1]Lists!$X$3:$X$9</definedName>
    <definedName name="Solid_Waste">Lists!$AF$3:$AF$9</definedName>
    <definedName name="Stationary" localSheetId="13">[1]Lists!$G$3:$G$37</definedName>
    <definedName name="Stationary">Lists!#REF!</definedName>
    <definedName name="Tick">Lists!$BD$3:$BD$4</definedName>
    <definedName name="Transportation">Lists!#REF!</definedName>
    <definedName name="Waste" localSheetId="13">[1]Lists!$AF$3:$AF$9</definedName>
    <definedName name="Waste">Lists!#REF!</definedName>
    <definedName name="Wastewater" localSheetId="13">[1]Lists!$AD$3:$AD$7</definedName>
    <definedName name="Wastewater">Lists!$AL$3:$AL$7</definedName>
    <definedName name="Water" localSheetId="13">[1]Lists!$T$3:$T$27</definedName>
    <definedName name="Water">Lists!$AB$3:$AB$27</definedName>
  </definedNames>
  <calcPr calcId="171027" concurrentCalc="0"/>
</workbook>
</file>

<file path=xl/calcChain.xml><?xml version="1.0" encoding="utf-8"?>
<calcChain xmlns="http://schemas.openxmlformats.org/spreadsheetml/2006/main">
  <c r="L22" i="19" l="1"/>
  <c r="J22" i="19"/>
  <c r="H12" i="11"/>
  <c r="H14" i="11"/>
  <c r="G11" i="7"/>
  <c r="H28" i="11"/>
  <c r="H27" i="11"/>
  <c r="H33" i="11"/>
  <c r="N103" i="23"/>
  <c r="M103" i="23"/>
  <c r="N102" i="23"/>
  <c r="M102" i="23"/>
  <c r="N101" i="23"/>
  <c r="M101" i="23"/>
  <c r="N100" i="23"/>
  <c r="M100" i="23"/>
  <c r="N99" i="23"/>
  <c r="M99" i="23"/>
  <c r="M98" i="23"/>
  <c r="M97" i="23"/>
  <c r="M96" i="23"/>
  <c r="M95" i="23"/>
  <c r="N89" i="23"/>
  <c r="M89" i="23"/>
  <c r="N88" i="23"/>
  <c r="M88" i="23"/>
  <c r="I6" i="23"/>
  <c r="D6" i="23"/>
  <c r="I5" i="23"/>
  <c r="D5" i="23"/>
  <c r="I4" i="23"/>
  <c r="D4" i="23"/>
  <c r="I2" i="23"/>
  <c r="O87" i="2"/>
  <c r="E87" i="2"/>
  <c r="H60" i="23"/>
  <c r="G17" i="23"/>
  <c r="O109" i="23"/>
  <c r="O85" i="2"/>
  <c r="E85" i="2"/>
  <c r="F57" i="23"/>
  <c r="L103" i="23"/>
  <c r="O84" i="2"/>
  <c r="E84" i="2"/>
  <c r="F56" i="23"/>
  <c r="O83" i="2"/>
  <c r="E83" i="2"/>
  <c r="F55" i="23"/>
  <c r="L101" i="23"/>
  <c r="O81" i="2"/>
  <c r="E81" i="2"/>
  <c r="F52" i="23"/>
  <c r="L100" i="23"/>
  <c r="O80" i="2"/>
  <c r="E80" i="2"/>
  <c r="F51" i="23"/>
  <c r="O78" i="2"/>
  <c r="E78" i="2"/>
  <c r="F48" i="23"/>
  <c r="O77" i="2"/>
  <c r="E77" i="2"/>
  <c r="O76" i="2"/>
  <c r="E76" i="2"/>
  <c r="O74" i="2"/>
  <c r="E74" i="2"/>
  <c r="F47" i="23"/>
  <c r="O73" i="2"/>
  <c r="E73" i="2"/>
  <c r="H43" i="23"/>
  <c r="N97" i="23"/>
  <c r="O72" i="2"/>
  <c r="E72" i="2"/>
  <c r="F43" i="23"/>
  <c r="O70" i="2"/>
  <c r="E70" i="2"/>
  <c r="F46" i="23"/>
  <c r="O69" i="2"/>
  <c r="E69" i="2"/>
  <c r="O68" i="2"/>
  <c r="E68" i="2"/>
  <c r="F42" i="23"/>
  <c r="L96" i="23"/>
  <c r="O66" i="2"/>
  <c r="E66" i="2"/>
  <c r="F45" i="23"/>
  <c r="O65" i="2"/>
  <c r="E65" i="2"/>
  <c r="O64" i="2"/>
  <c r="E64" i="2"/>
  <c r="F41" i="23"/>
  <c r="L95" i="23"/>
  <c r="O61" i="2"/>
  <c r="E61" i="2"/>
  <c r="H38" i="23"/>
  <c r="N94" i="23"/>
  <c r="O60" i="2"/>
  <c r="E60" i="2"/>
  <c r="G38" i="23"/>
  <c r="M94" i="23"/>
  <c r="O59" i="2"/>
  <c r="E59" i="2"/>
  <c r="F38" i="23"/>
  <c r="O57" i="2"/>
  <c r="E57" i="2"/>
  <c r="H37" i="23"/>
  <c r="N93" i="23"/>
  <c r="O56" i="2"/>
  <c r="E56" i="2"/>
  <c r="G37" i="23"/>
  <c r="M93" i="23"/>
  <c r="O55" i="2"/>
  <c r="E55" i="2"/>
  <c r="F37" i="23"/>
  <c r="I37" i="23"/>
  <c r="O53" i="2"/>
  <c r="E53" i="2"/>
  <c r="H36" i="23"/>
  <c r="N92" i="23"/>
  <c r="O52" i="2"/>
  <c r="E52" i="2"/>
  <c r="G36" i="23"/>
  <c r="O51" i="2"/>
  <c r="E51" i="2"/>
  <c r="F36" i="23"/>
  <c r="L92" i="23"/>
  <c r="O49" i="2"/>
  <c r="E49" i="2"/>
  <c r="O48" i="2"/>
  <c r="E48" i="2"/>
  <c r="O47" i="2"/>
  <c r="E47" i="2"/>
  <c r="O45" i="2"/>
  <c r="E45" i="2"/>
  <c r="H34" i="23"/>
  <c r="N90" i="23"/>
  <c r="O44" i="2"/>
  <c r="E44" i="2"/>
  <c r="G34" i="23"/>
  <c r="O43" i="2"/>
  <c r="E43" i="2"/>
  <c r="O40" i="2"/>
  <c r="E40" i="2"/>
  <c r="O38" i="2"/>
  <c r="E38" i="2"/>
  <c r="F30" i="23"/>
  <c r="O36" i="2"/>
  <c r="E36" i="2"/>
  <c r="H29" i="23"/>
  <c r="N87" i="23"/>
  <c r="O35" i="2"/>
  <c r="E35" i="2"/>
  <c r="G29" i="23"/>
  <c r="M87" i="23"/>
  <c r="O34" i="2"/>
  <c r="E34" i="2"/>
  <c r="F29" i="23"/>
  <c r="L87" i="23"/>
  <c r="O32" i="2"/>
  <c r="E32" i="2"/>
  <c r="H28" i="23"/>
  <c r="N86" i="23"/>
  <c r="O31" i="2"/>
  <c r="E31" i="2"/>
  <c r="G28" i="23"/>
  <c r="M86" i="23"/>
  <c r="O30" i="2"/>
  <c r="E30" i="2"/>
  <c r="F28" i="23"/>
  <c r="L86" i="23"/>
  <c r="O28" i="2"/>
  <c r="E28" i="2"/>
  <c r="O27" i="2"/>
  <c r="E27" i="2"/>
  <c r="H26" i="23"/>
  <c r="N85" i="23"/>
  <c r="O26" i="2"/>
  <c r="E26" i="2"/>
  <c r="G26" i="23"/>
  <c r="M85" i="23"/>
  <c r="O25" i="2"/>
  <c r="E25" i="2"/>
  <c r="F26" i="23"/>
  <c r="L85" i="23"/>
  <c r="O23" i="2"/>
  <c r="E23" i="2"/>
  <c r="O22" i="2"/>
  <c r="E22" i="2"/>
  <c r="O21" i="2"/>
  <c r="E21" i="2"/>
  <c r="O19" i="2"/>
  <c r="E19" i="2"/>
  <c r="O18" i="2"/>
  <c r="E18" i="2"/>
  <c r="O17" i="2"/>
  <c r="E17" i="2"/>
  <c r="O15" i="2"/>
  <c r="E15" i="2"/>
  <c r="O14" i="2"/>
  <c r="E14" i="2"/>
  <c r="O13" i="2"/>
  <c r="E13" i="2"/>
  <c r="D6" i="2"/>
  <c r="D5" i="2"/>
  <c r="D4" i="2"/>
  <c r="BB12" i="13"/>
  <c r="BA12" i="13"/>
  <c r="BA11" i="13"/>
  <c r="M87" i="2"/>
  <c r="AZ12" i="13"/>
  <c r="AY12" i="13"/>
  <c r="AX12" i="13"/>
  <c r="AW12" i="13"/>
  <c r="AW11" i="13"/>
  <c r="I87" i="2"/>
  <c r="AV12" i="13"/>
  <c r="AU12" i="13"/>
  <c r="AT12" i="13"/>
  <c r="AI12" i="13"/>
  <c r="AH12" i="13"/>
  <c r="AG12" i="13"/>
  <c r="AF12" i="13"/>
  <c r="AE12" i="13"/>
  <c r="AD12" i="13"/>
  <c r="AC12" i="13"/>
  <c r="AB12" i="13"/>
  <c r="AA12" i="13"/>
  <c r="Z12" i="13"/>
  <c r="Y12" i="13"/>
  <c r="X12" i="13"/>
  <c r="W12" i="13"/>
  <c r="V12" i="13"/>
  <c r="U12" i="13"/>
  <c r="T12" i="13"/>
  <c r="S12" i="13"/>
  <c r="R12" i="13"/>
  <c r="Q12" i="13"/>
  <c r="P12" i="13"/>
  <c r="O12" i="13"/>
  <c r="N12" i="13"/>
  <c r="BB11" i="13"/>
  <c r="AZ11" i="13"/>
  <c r="AY11" i="13"/>
  <c r="AX11" i="13"/>
  <c r="AV11" i="13"/>
  <c r="AU11" i="13"/>
  <c r="AT11" i="13"/>
  <c r="AI11" i="13"/>
  <c r="AH11" i="13"/>
  <c r="AG11" i="13"/>
  <c r="AF11" i="13"/>
  <c r="AE11" i="13"/>
  <c r="AD11" i="13"/>
  <c r="AC11" i="13"/>
  <c r="AB11" i="13"/>
  <c r="AA11" i="13"/>
  <c r="Z11" i="13"/>
  <c r="Y11" i="13"/>
  <c r="X11" i="13"/>
  <c r="W11" i="13"/>
  <c r="V11" i="13"/>
  <c r="U11" i="13"/>
  <c r="T11" i="13"/>
  <c r="S11" i="13"/>
  <c r="R11" i="13"/>
  <c r="Q11" i="13"/>
  <c r="P11" i="13"/>
  <c r="O11" i="13"/>
  <c r="N11" i="13"/>
  <c r="AD28" i="10"/>
  <c r="AC28" i="10"/>
  <c r="AB28" i="10"/>
  <c r="AA28" i="10"/>
  <c r="Z28" i="10"/>
  <c r="S28" i="10"/>
  <c r="R28" i="10"/>
  <c r="Q28" i="10"/>
  <c r="P28" i="10"/>
  <c r="O28" i="10"/>
  <c r="N28" i="10"/>
  <c r="AD27" i="10"/>
  <c r="AC27" i="10"/>
  <c r="AB27" i="10"/>
  <c r="AA27" i="10"/>
  <c r="Z27" i="10"/>
  <c r="S27" i="10"/>
  <c r="R27" i="10"/>
  <c r="Q27" i="10"/>
  <c r="P27" i="10"/>
  <c r="O27" i="10"/>
  <c r="N27" i="10"/>
  <c r="AD20" i="10"/>
  <c r="AC20" i="10"/>
  <c r="AC19" i="10"/>
  <c r="M84" i="2"/>
  <c r="AB20" i="10"/>
  <c r="AA20" i="10"/>
  <c r="Z20" i="10"/>
  <c r="S20" i="10"/>
  <c r="R20" i="10"/>
  <c r="Q20" i="10"/>
  <c r="P20" i="10"/>
  <c r="O20" i="10"/>
  <c r="N20" i="10"/>
  <c r="AD19" i="10"/>
  <c r="AB19" i="10"/>
  <c r="AA19" i="10"/>
  <c r="Z19" i="10"/>
  <c r="S19" i="10"/>
  <c r="R19" i="10"/>
  <c r="Q19" i="10"/>
  <c r="P19" i="10"/>
  <c r="O19" i="10"/>
  <c r="N19" i="10"/>
  <c r="AD12" i="10"/>
  <c r="AC12" i="10"/>
  <c r="AC11" i="10"/>
  <c r="M83" i="2"/>
  <c r="AB12" i="10"/>
  <c r="AA12" i="10"/>
  <c r="Z12" i="10"/>
  <c r="S12" i="10"/>
  <c r="R12" i="10"/>
  <c r="Q12" i="10"/>
  <c r="P12" i="10"/>
  <c r="O12" i="10"/>
  <c r="N12" i="10"/>
  <c r="AD11" i="10"/>
  <c r="AB11" i="10"/>
  <c r="AA11" i="10"/>
  <c r="Z11" i="10"/>
  <c r="S11" i="10"/>
  <c r="R11" i="10"/>
  <c r="Q11" i="10"/>
  <c r="P11" i="10"/>
  <c r="O11" i="10"/>
  <c r="N11" i="10"/>
  <c r="BB20" i="6"/>
  <c r="BA20" i="6"/>
  <c r="BA19" i="6"/>
  <c r="M81" i="2"/>
  <c r="AZ20" i="6"/>
  <c r="AY20" i="6"/>
  <c r="AX20" i="6"/>
  <c r="AW20" i="6"/>
  <c r="AV20" i="6"/>
  <c r="AU20" i="6"/>
  <c r="AT20" i="6"/>
  <c r="AI20" i="6"/>
  <c r="AH20" i="6"/>
  <c r="AG20" i="6"/>
  <c r="AF20" i="6"/>
  <c r="AE20" i="6"/>
  <c r="AD20" i="6"/>
  <c r="AC20" i="6"/>
  <c r="AB20" i="6"/>
  <c r="AA20" i="6"/>
  <c r="Z20" i="6"/>
  <c r="Y20" i="6"/>
  <c r="X20" i="6"/>
  <c r="W20" i="6"/>
  <c r="V20" i="6"/>
  <c r="U20" i="6"/>
  <c r="T20" i="6"/>
  <c r="S20" i="6"/>
  <c r="R20" i="6"/>
  <c r="Q20" i="6"/>
  <c r="P20" i="6"/>
  <c r="O20" i="6"/>
  <c r="N20" i="6"/>
  <c r="BB19" i="6"/>
  <c r="AZ19" i="6"/>
  <c r="AY19" i="6"/>
  <c r="AX19" i="6"/>
  <c r="AW19" i="6"/>
  <c r="AV19" i="6"/>
  <c r="AU19" i="6"/>
  <c r="AT19" i="6"/>
  <c r="AI19" i="6"/>
  <c r="AH19" i="6"/>
  <c r="AG19" i="6"/>
  <c r="AF19" i="6"/>
  <c r="AE19" i="6"/>
  <c r="AD19" i="6"/>
  <c r="AC19" i="6"/>
  <c r="AB19" i="6"/>
  <c r="AA19" i="6"/>
  <c r="Z19" i="6"/>
  <c r="Y19" i="6"/>
  <c r="X19" i="6"/>
  <c r="W19" i="6"/>
  <c r="V19" i="6"/>
  <c r="U19" i="6"/>
  <c r="T19" i="6"/>
  <c r="S19" i="6"/>
  <c r="R19" i="6"/>
  <c r="Q19" i="6"/>
  <c r="P19" i="6"/>
  <c r="O19" i="6"/>
  <c r="N19" i="6"/>
  <c r="BB12" i="6"/>
  <c r="BA12" i="6"/>
  <c r="BA11" i="6"/>
  <c r="M80" i="2"/>
  <c r="AZ12" i="6"/>
  <c r="AY12" i="6"/>
  <c r="AX12" i="6"/>
  <c r="AW12" i="6"/>
  <c r="AV12" i="6"/>
  <c r="AU12" i="6"/>
  <c r="AT12" i="6"/>
  <c r="AI12" i="6"/>
  <c r="AH12" i="6"/>
  <c r="AG12" i="6"/>
  <c r="AF12" i="6"/>
  <c r="AE12" i="6"/>
  <c r="AD12" i="6"/>
  <c r="AC12" i="6"/>
  <c r="AB12" i="6"/>
  <c r="AA12" i="6"/>
  <c r="Z12" i="6"/>
  <c r="Y12" i="6"/>
  <c r="X12" i="6"/>
  <c r="W12" i="6"/>
  <c r="V12" i="6"/>
  <c r="U12" i="6"/>
  <c r="T12" i="6"/>
  <c r="S12" i="6"/>
  <c r="R12" i="6"/>
  <c r="Q12" i="6"/>
  <c r="P12" i="6"/>
  <c r="O12" i="6"/>
  <c r="N12" i="6"/>
  <c r="BB11" i="6"/>
  <c r="AZ11" i="6"/>
  <c r="AY11" i="6"/>
  <c r="AX11" i="6"/>
  <c r="J80" i="2"/>
  <c r="AW11" i="6"/>
  <c r="AV11" i="6"/>
  <c r="H80" i="2"/>
  <c r="AU11" i="6"/>
  <c r="AT11" i="6"/>
  <c r="AI11" i="6"/>
  <c r="AH11" i="6"/>
  <c r="AG11" i="6"/>
  <c r="AF11" i="6"/>
  <c r="AE11" i="6"/>
  <c r="AD11" i="6"/>
  <c r="AC11" i="6"/>
  <c r="AB11" i="6"/>
  <c r="AA11" i="6"/>
  <c r="Z11" i="6"/>
  <c r="Y11" i="6"/>
  <c r="X11" i="6"/>
  <c r="W11" i="6"/>
  <c r="V11" i="6"/>
  <c r="U11" i="6"/>
  <c r="T11" i="6"/>
  <c r="S11" i="6"/>
  <c r="R11" i="6"/>
  <c r="Q11" i="6"/>
  <c r="P11" i="6"/>
  <c r="O11" i="6"/>
  <c r="N11" i="6"/>
  <c r="AE60" i="8"/>
  <c r="AD60" i="8"/>
  <c r="AD59" i="8"/>
  <c r="M78" i="2"/>
  <c r="AC60" i="8"/>
  <c r="AB60" i="8"/>
  <c r="AA60" i="8"/>
  <c r="T60" i="8"/>
  <c r="S60" i="8"/>
  <c r="R60" i="8"/>
  <c r="Q60" i="8"/>
  <c r="P60" i="8"/>
  <c r="O60" i="8"/>
  <c r="AE59" i="8"/>
  <c r="AC59" i="8"/>
  <c r="AB59" i="8"/>
  <c r="AA59" i="8"/>
  <c r="T59" i="8"/>
  <c r="S59" i="8"/>
  <c r="R59" i="8"/>
  <c r="Q59" i="8"/>
  <c r="P59" i="8"/>
  <c r="O59" i="8"/>
  <c r="AE57" i="8"/>
  <c r="AD57" i="8"/>
  <c r="AC57" i="8"/>
  <c r="AB57" i="8"/>
  <c r="AA57" i="8"/>
  <c r="T57" i="8"/>
  <c r="S57" i="8"/>
  <c r="R57" i="8"/>
  <c r="Q57" i="8"/>
  <c r="P57" i="8"/>
  <c r="O57" i="8"/>
  <c r="AE56" i="8"/>
  <c r="AC56" i="8"/>
  <c r="H77" i="2"/>
  <c r="AB56" i="8"/>
  <c r="AA56" i="8"/>
  <c r="T56" i="8"/>
  <c r="S56" i="8"/>
  <c r="R56" i="8"/>
  <c r="Q56" i="8"/>
  <c r="P56" i="8"/>
  <c r="O56" i="8"/>
  <c r="AE54" i="8"/>
  <c r="AD54" i="8"/>
  <c r="AC54" i="8"/>
  <c r="AB54" i="8"/>
  <c r="AA54" i="8"/>
  <c r="T54" i="8"/>
  <c r="S54" i="8"/>
  <c r="R54" i="8"/>
  <c r="Q54" i="8"/>
  <c r="P54" i="8"/>
  <c r="O54" i="8"/>
  <c r="AE53" i="8"/>
  <c r="AC53" i="8"/>
  <c r="AB53" i="8"/>
  <c r="AA53" i="8"/>
  <c r="F76" i="2"/>
  <c r="T53" i="8"/>
  <c r="S53" i="8"/>
  <c r="R53" i="8"/>
  <c r="Q53" i="8"/>
  <c r="P53" i="8"/>
  <c r="O53" i="8"/>
  <c r="AE46" i="8"/>
  <c r="AD46" i="8"/>
  <c r="AC46" i="8"/>
  <c r="AB46" i="8"/>
  <c r="AA46" i="8"/>
  <c r="T46" i="8"/>
  <c r="S46" i="8"/>
  <c r="R46" i="8"/>
  <c r="Q46" i="8"/>
  <c r="P46" i="8"/>
  <c r="O46" i="8"/>
  <c r="AE45" i="8"/>
  <c r="AD45" i="8"/>
  <c r="AC45" i="8"/>
  <c r="AB45" i="8"/>
  <c r="AA45" i="8"/>
  <c r="T45" i="8"/>
  <c r="S45" i="8"/>
  <c r="R45" i="8"/>
  <c r="Q45" i="8"/>
  <c r="P45" i="8"/>
  <c r="O45" i="8"/>
  <c r="AE43" i="8"/>
  <c r="AD43" i="8"/>
  <c r="AC43" i="8"/>
  <c r="AB43" i="8"/>
  <c r="AB42" i="8"/>
  <c r="G73" i="2"/>
  <c r="AA43" i="8"/>
  <c r="T43" i="8"/>
  <c r="S43" i="8"/>
  <c r="R43" i="8"/>
  <c r="Q43" i="8"/>
  <c r="P43" i="8"/>
  <c r="O43" i="8"/>
  <c r="AE42" i="8"/>
  <c r="AD42" i="8"/>
  <c r="AC42" i="8"/>
  <c r="AA42" i="8"/>
  <c r="T42" i="8"/>
  <c r="S42" i="8"/>
  <c r="R42" i="8"/>
  <c r="Q42" i="8"/>
  <c r="P42" i="8"/>
  <c r="O42" i="8"/>
  <c r="AE40" i="8"/>
  <c r="AD40" i="8"/>
  <c r="AC40" i="8"/>
  <c r="AB40" i="8"/>
  <c r="AA40" i="8"/>
  <c r="T40" i="8"/>
  <c r="S40" i="8"/>
  <c r="R40" i="8"/>
  <c r="Q40" i="8"/>
  <c r="P40" i="8"/>
  <c r="O40" i="8"/>
  <c r="AE39" i="8"/>
  <c r="AD39" i="8"/>
  <c r="AC39" i="8"/>
  <c r="H72" i="2"/>
  <c r="AB39" i="8"/>
  <c r="AA39" i="8"/>
  <c r="T39" i="8"/>
  <c r="S39" i="8"/>
  <c r="R39" i="8"/>
  <c r="Q39" i="8"/>
  <c r="P39" i="8"/>
  <c r="O39" i="8"/>
  <c r="AE32" i="8"/>
  <c r="AD32" i="8"/>
  <c r="AC32" i="8"/>
  <c r="AB32" i="8"/>
  <c r="AA32" i="8"/>
  <c r="T32" i="8"/>
  <c r="S32" i="8"/>
  <c r="R32" i="8"/>
  <c r="Q32" i="8"/>
  <c r="P32" i="8"/>
  <c r="O32" i="8"/>
  <c r="AE31" i="8"/>
  <c r="AD31" i="8"/>
  <c r="AC31" i="8"/>
  <c r="AB31" i="8"/>
  <c r="AA31" i="8"/>
  <c r="F70" i="2"/>
  <c r="T31" i="8"/>
  <c r="S31" i="8"/>
  <c r="R31" i="8"/>
  <c r="Q31" i="8"/>
  <c r="P31" i="8"/>
  <c r="O31" i="8"/>
  <c r="AE29" i="8"/>
  <c r="AD29" i="8"/>
  <c r="AC29" i="8"/>
  <c r="AB29" i="8"/>
  <c r="AA29" i="8"/>
  <c r="T29" i="8"/>
  <c r="S29" i="8"/>
  <c r="R29" i="8"/>
  <c r="Q29" i="8"/>
  <c r="P29" i="8"/>
  <c r="O29" i="8"/>
  <c r="O28" i="8"/>
  <c r="AE26" i="8"/>
  <c r="AD26" i="8"/>
  <c r="AC26" i="8"/>
  <c r="AB26" i="8"/>
  <c r="AA26" i="8"/>
  <c r="T26" i="8"/>
  <c r="S26" i="8"/>
  <c r="R26" i="8"/>
  <c r="Q26" i="8"/>
  <c r="P26" i="8"/>
  <c r="O26" i="8"/>
  <c r="AE25" i="8"/>
  <c r="AD25" i="8"/>
  <c r="AC25" i="8"/>
  <c r="AB25" i="8"/>
  <c r="AA25" i="8"/>
  <c r="T25" i="8"/>
  <c r="S25" i="8"/>
  <c r="R25" i="8"/>
  <c r="Q25" i="8"/>
  <c r="P25" i="8"/>
  <c r="O25" i="8"/>
  <c r="AE18" i="8"/>
  <c r="AD18" i="8"/>
  <c r="AC18" i="8"/>
  <c r="AB18" i="8"/>
  <c r="AA18" i="8"/>
  <c r="T18" i="8"/>
  <c r="S18" i="8"/>
  <c r="R18" i="8"/>
  <c r="Q18" i="8"/>
  <c r="P18" i="8"/>
  <c r="O18" i="8"/>
  <c r="AE17" i="8"/>
  <c r="N66" i="2"/>
  <c r="AD17" i="8"/>
  <c r="AC17" i="8"/>
  <c r="AB17" i="8"/>
  <c r="AA17" i="8"/>
  <c r="T17" i="8"/>
  <c r="S17" i="8"/>
  <c r="R17" i="8"/>
  <c r="Q17" i="8"/>
  <c r="P17" i="8"/>
  <c r="O17" i="8"/>
  <c r="AE15" i="8"/>
  <c r="AD15" i="8"/>
  <c r="AD14" i="8"/>
  <c r="M65" i="2"/>
  <c r="H41" i="23"/>
  <c r="AC15" i="8"/>
  <c r="AB15" i="8"/>
  <c r="AA15" i="8"/>
  <c r="T15" i="8"/>
  <c r="S15" i="8"/>
  <c r="R15" i="8"/>
  <c r="Q15" i="8"/>
  <c r="P15" i="8"/>
  <c r="O15" i="8"/>
  <c r="AE14" i="8"/>
  <c r="AC14" i="8"/>
  <c r="AB14" i="8"/>
  <c r="AA14" i="8"/>
  <c r="T14" i="8"/>
  <c r="S14" i="8"/>
  <c r="R14" i="8"/>
  <c r="Q14" i="8"/>
  <c r="P14" i="8"/>
  <c r="O14" i="8"/>
  <c r="AE12" i="8"/>
  <c r="AD12" i="8"/>
  <c r="AC12" i="8"/>
  <c r="AB12" i="8"/>
  <c r="AA12" i="8"/>
  <c r="T12" i="8"/>
  <c r="S12" i="8"/>
  <c r="R12" i="8"/>
  <c r="Q12" i="8"/>
  <c r="P12" i="8"/>
  <c r="O12" i="8"/>
  <c r="AE11" i="8"/>
  <c r="AD11" i="8"/>
  <c r="AC11" i="8"/>
  <c r="AB11" i="8"/>
  <c r="AA11" i="8"/>
  <c r="T11" i="8"/>
  <c r="S11" i="8"/>
  <c r="R11" i="8"/>
  <c r="Q11" i="8"/>
  <c r="P11" i="8"/>
  <c r="O11" i="8"/>
  <c r="AE76" i="11"/>
  <c r="AD76" i="11"/>
  <c r="AC76" i="11"/>
  <c r="AB76" i="11"/>
  <c r="AB75" i="11"/>
  <c r="G61" i="2"/>
  <c r="AA76" i="11"/>
  <c r="T76" i="11"/>
  <c r="S76" i="11"/>
  <c r="R76" i="11"/>
  <c r="Q76" i="11"/>
  <c r="P76" i="11"/>
  <c r="O76" i="11"/>
  <c r="AE75" i="11"/>
  <c r="AD75" i="11"/>
  <c r="AC75" i="11"/>
  <c r="AA75" i="11"/>
  <c r="T75" i="11"/>
  <c r="S75" i="11"/>
  <c r="R75" i="11"/>
  <c r="Q75" i="11"/>
  <c r="P75" i="11"/>
  <c r="O75" i="11"/>
  <c r="AE73" i="11"/>
  <c r="AD73" i="11"/>
  <c r="AC73" i="11"/>
  <c r="AB73" i="11"/>
  <c r="AA73" i="11"/>
  <c r="T73" i="11"/>
  <c r="S73" i="11"/>
  <c r="R73" i="11"/>
  <c r="Q73" i="11"/>
  <c r="P73" i="11"/>
  <c r="O73" i="11"/>
  <c r="AE72" i="11"/>
  <c r="AD72" i="11"/>
  <c r="AC72" i="11"/>
  <c r="AB72" i="11"/>
  <c r="AA72" i="11"/>
  <c r="F60" i="2"/>
  <c r="T72" i="11"/>
  <c r="S72" i="11"/>
  <c r="R72" i="11"/>
  <c r="Q72" i="11"/>
  <c r="P72" i="11"/>
  <c r="O72" i="11"/>
  <c r="AE70" i="11"/>
  <c r="AD70" i="11"/>
  <c r="AC70" i="11"/>
  <c r="AB70" i="11"/>
  <c r="AA70" i="11"/>
  <c r="T70" i="11"/>
  <c r="S70" i="11"/>
  <c r="R70" i="11"/>
  <c r="Q70" i="11"/>
  <c r="P70" i="11"/>
  <c r="O70" i="11"/>
  <c r="AE69" i="11"/>
  <c r="AD69" i="11"/>
  <c r="AC69" i="11"/>
  <c r="AB69" i="11"/>
  <c r="AA69" i="11"/>
  <c r="T69" i="11"/>
  <c r="S69" i="11"/>
  <c r="R69" i="11"/>
  <c r="Q69" i="11"/>
  <c r="P69" i="11"/>
  <c r="O69" i="11"/>
  <c r="AE62" i="11"/>
  <c r="AD62" i="11"/>
  <c r="AC62" i="11"/>
  <c r="AB62" i="11"/>
  <c r="AA62" i="11"/>
  <c r="T62" i="11"/>
  <c r="S62" i="11"/>
  <c r="R62" i="11"/>
  <c r="Q62" i="11"/>
  <c r="P62" i="11"/>
  <c r="O62" i="11"/>
  <c r="AE61" i="11"/>
  <c r="AD61" i="11"/>
  <c r="AC61" i="11"/>
  <c r="AB61" i="11"/>
  <c r="AA61" i="11"/>
  <c r="T61" i="11"/>
  <c r="S61" i="11"/>
  <c r="R61" i="11"/>
  <c r="Q61" i="11"/>
  <c r="P61" i="11"/>
  <c r="O61" i="11"/>
  <c r="AE59" i="11"/>
  <c r="AD59" i="11"/>
  <c r="AC59" i="11"/>
  <c r="AB59" i="11"/>
  <c r="AA59" i="11"/>
  <c r="T59" i="11"/>
  <c r="S59" i="11"/>
  <c r="R59" i="11"/>
  <c r="Q59" i="11"/>
  <c r="P59" i="11"/>
  <c r="O59" i="11"/>
  <c r="AE58" i="11"/>
  <c r="AD58" i="11"/>
  <c r="AC58" i="11"/>
  <c r="H56" i="2"/>
  <c r="AB58" i="11"/>
  <c r="AA58" i="11"/>
  <c r="T58" i="11"/>
  <c r="S58" i="11"/>
  <c r="R58" i="11"/>
  <c r="Q58" i="11"/>
  <c r="P58" i="11"/>
  <c r="O58" i="11"/>
  <c r="AE56" i="11"/>
  <c r="AD56" i="11"/>
  <c r="AD55" i="11"/>
  <c r="M55" i="2"/>
  <c r="AC56" i="11"/>
  <c r="AB56" i="11"/>
  <c r="AA56" i="11"/>
  <c r="T56" i="11"/>
  <c r="S56" i="11"/>
  <c r="R56" i="11"/>
  <c r="Q56" i="11"/>
  <c r="P56" i="11"/>
  <c r="O56" i="11"/>
  <c r="AE55" i="11"/>
  <c r="AC55" i="11"/>
  <c r="AB55" i="11"/>
  <c r="AA55" i="11"/>
  <c r="T55" i="11"/>
  <c r="S55" i="11"/>
  <c r="R55" i="11"/>
  <c r="Q55" i="11"/>
  <c r="P55" i="11"/>
  <c r="O55" i="11"/>
  <c r="AE48" i="11"/>
  <c r="AD48" i="11"/>
  <c r="AD47" i="11"/>
  <c r="M53" i="2"/>
  <c r="AC48" i="11"/>
  <c r="AB48" i="11"/>
  <c r="AA48" i="11"/>
  <c r="T48" i="11"/>
  <c r="S48" i="11"/>
  <c r="R48" i="11"/>
  <c r="Q48" i="11"/>
  <c r="P48" i="11"/>
  <c r="O48" i="11"/>
  <c r="AE47" i="11"/>
  <c r="AC47" i="11"/>
  <c r="AB47" i="11"/>
  <c r="AA47" i="11"/>
  <c r="T47" i="11"/>
  <c r="S47" i="11"/>
  <c r="R47" i="11"/>
  <c r="Q47" i="11"/>
  <c r="P47" i="11"/>
  <c r="O47" i="11"/>
  <c r="AE45" i="11"/>
  <c r="AD45" i="11"/>
  <c r="AC45" i="11"/>
  <c r="AB45" i="11"/>
  <c r="AA45" i="11"/>
  <c r="T45" i="11"/>
  <c r="S45" i="11"/>
  <c r="R45" i="11"/>
  <c r="Q45" i="11"/>
  <c r="P45" i="11"/>
  <c r="O45" i="11"/>
  <c r="AE44" i="11"/>
  <c r="N52" i="2"/>
  <c r="AD44" i="11"/>
  <c r="AC44" i="11"/>
  <c r="AB44" i="11"/>
  <c r="AA44" i="11"/>
  <c r="T44" i="11"/>
  <c r="S44" i="11"/>
  <c r="R44" i="11"/>
  <c r="Q44" i="11"/>
  <c r="P44" i="11"/>
  <c r="O44" i="11"/>
  <c r="AE42" i="11"/>
  <c r="AD42" i="11"/>
  <c r="AC42" i="11"/>
  <c r="AB42" i="11"/>
  <c r="AA42" i="11"/>
  <c r="T42" i="11"/>
  <c r="S42" i="11"/>
  <c r="R42" i="11"/>
  <c r="Q42" i="11"/>
  <c r="P42" i="11"/>
  <c r="O42" i="11"/>
  <c r="AE41" i="11"/>
  <c r="AD41" i="11"/>
  <c r="AC41" i="11"/>
  <c r="AB41" i="11"/>
  <c r="AA41" i="11"/>
  <c r="T41" i="11"/>
  <c r="S41" i="11"/>
  <c r="R41" i="11"/>
  <c r="Q41" i="11"/>
  <c r="P41" i="11"/>
  <c r="O41" i="11"/>
  <c r="O34" i="11"/>
  <c r="O33" i="11"/>
  <c r="AE31" i="11"/>
  <c r="AD31" i="11"/>
  <c r="AC31" i="11"/>
  <c r="AB31" i="11"/>
  <c r="AA31" i="11"/>
  <c r="T31" i="11"/>
  <c r="S31" i="11"/>
  <c r="R31" i="11"/>
  <c r="Q31" i="11"/>
  <c r="P31" i="11"/>
  <c r="O31" i="11"/>
  <c r="O30" i="11"/>
  <c r="O28" i="11"/>
  <c r="O27" i="11"/>
  <c r="AE20" i="11"/>
  <c r="AD20" i="11"/>
  <c r="AC20" i="11"/>
  <c r="AB20" i="11"/>
  <c r="AA20" i="11"/>
  <c r="T20" i="11"/>
  <c r="S20" i="11"/>
  <c r="R20" i="11"/>
  <c r="Q20" i="11"/>
  <c r="P20" i="11"/>
  <c r="O20" i="11"/>
  <c r="AE19" i="11"/>
  <c r="AD19" i="11"/>
  <c r="AC19" i="11"/>
  <c r="AB19" i="11"/>
  <c r="AA19" i="11"/>
  <c r="F45" i="2"/>
  <c r="T19" i="11"/>
  <c r="S19" i="11"/>
  <c r="R19" i="11"/>
  <c r="Q19" i="11"/>
  <c r="P19" i="11"/>
  <c r="O19" i="11"/>
  <c r="AE17" i="11"/>
  <c r="AD17" i="11"/>
  <c r="AC17" i="11"/>
  <c r="AB17" i="11"/>
  <c r="AA17" i="11"/>
  <c r="T17" i="11"/>
  <c r="S17" i="11"/>
  <c r="R17" i="11"/>
  <c r="Q17" i="11"/>
  <c r="P17" i="11"/>
  <c r="O17" i="11"/>
  <c r="AE16" i="11"/>
  <c r="AD16" i="11"/>
  <c r="AC16" i="11"/>
  <c r="AB16" i="11"/>
  <c r="AA16" i="11"/>
  <c r="T16" i="11"/>
  <c r="S16" i="11"/>
  <c r="R16" i="11"/>
  <c r="Q16" i="11"/>
  <c r="P16" i="11"/>
  <c r="O16" i="11"/>
  <c r="O14" i="11"/>
  <c r="O13" i="11"/>
  <c r="H13" i="11"/>
  <c r="O12" i="11"/>
  <c r="O11" i="11"/>
  <c r="H11" i="11"/>
  <c r="AD127" i="7"/>
  <c r="AC127" i="7"/>
  <c r="AB127" i="7"/>
  <c r="AA127" i="7"/>
  <c r="Z127" i="7"/>
  <c r="S127" i="7"/>
  <c r="R127" i="7"/>
  <c r="Q127" i="7"/>
  <c r="P127" i="7"/>
  <c r="O127" i="7"/>
  <c r="N127" i="7"/>
  <c r="N126" i="7"/>
  <c r="AD119" i="7"/>
  <c r="AC119" i="7"/>
  <c r="AB119" i="7"/>
  <c r="AA119" i="7"/>
  <c r="Z119" i="7"/>
  <c r="S119" i="7"/>
  <c r="R119" i="7"/>
  <c r="Q119" i="7"/>
  <c r="P119" i="7"/>
  <c r="O119" i="7"/>
  <c r="N119" i="7"/>
  <c r="AD118" i="7"/>
  <c r="AC118" i="7"/>
  <c r="AB118" i="7"/>
  <c r="AA118" i="7"/>
  <c r="Z118" i="7"/>
  <c r="S118" i="7"/>
  <c r="R118" i="7"/>
  <c r="Q118" i="7"/>
  <c r="P118" i="7"/>
  <c r="O118" i="7"/>
  <c r="N118" i="7"/>
  <c r="AD111" i="7"/>
  <c r="AC111" i="7"/>
  <c r="AB111" i="7"/>
  <c r="AA111" i="7"/>
  <c r="Z111" i="7"/>
  <c r="S111" i="7"/>
  <c r="R111" i="7"/>
  <c r="Q111" i="7"/>
  <c r="P111" i="7"/>
  <c r="O111" i="7"/>
  <c r="N111" i="7"/>
  <c r="AD110" i="7"/>
  <c r="AC110" i="7"/>
  <c r="AB110" i="7"/>
  <c r="AA110" i="7"/>
  <c r="Z110" i="7"/>
  <c r="S110" i="7"/>
  <c r="R110" i="7"/>
  <c r="Q110" i="7"/>
  <c r="P110" i="7"/>
  <c r="O110" i="7"/>
  <c r="N110" i="7"/>
  <c r="AD108" i="7"/>
  <c r="AC108" i="7"/>
  <c r="AB108" i="7"/>
  <c r="AA108" i="7"/>
  <c r="AA107" i="7"/>
  <c r="G35" i="2"/>
  <c r="Z108" i="7"/>
  <c r="S108" i="7"/>
  <c r="R108" i="7"/>
  <c r="Q108" i="7"/>
  <c r="P108" i="7"/>
  <c r="O108" i="7"/>
  <c r="N108" i="7"/>
  <c r="AD107" i="7"/>
  <c r="AC107" i="7"/>
  <c r="AB107" i="7"/>
  <c r="Z107" i="7"/>
  <c r="S107" i="7"/>
  <c r="R107" i="7"/>
  <c r="Q107" i="7"/>
  <c r="P107" i="7"/>
  <c r="O107" i="7"/>
  <c r="N107" i="7"/>
  <c r="AD105" i="7"/>
  <c r="AC105" i="7"/>
  <c r="AB105" i="7"/>
  <c r="AA105" i="7"/>
  <c r="Z105" i="7"/>
  <c r="S105" i="7"/>
  <c r="R105" i="7"/>
  <c r="Q105" i="7"/>
  <c r="P105" i="7"/>
  <c r="O105" i="7"/>
  <c r="N105" i="7"/>
  <c r="AD104" i="7"/>
  <c r="N34" i="2"/>
  <c r="AC104" i="7"/>
  <c r="AB104" i="7"/>
  <c r="AA104" i="7"/>
  <c r="Z104" i="7"/>
  <c r="S104" i="7"/>
  <c r="R104" i="7"/>
  <c r="Q104" i="7"/>
  <c r="P104" i="7"/>
  <c r="O104" i="7"/>
  <c r="N104" i="7"/>
  <c r="AD97" i="7"/>
  <c r="AC97" i="7"/>
  <c r="AB97" i="7"/>
  <c r="AA97" i="7"/>
  <c r="Z97" i="7"/>
  <c r="S97" i="7"/>
  <c r="R97" i="7"/>
  <c r="Q97" i="7"/>
  <c r="P97" i="7"/>
  <c r="O97" i="7"/>
  <c r="N97" i="7"/>
  <c r="AD96" i="7"/>
  <c r="AC96" i="7"/>
  <c r="AB96" i="7"/>
  <c r="AA96" i="7"/>
  <c r="Z96" i="7"/>
  <c r="F32" i="2"/>
  <c r="S96" i="7"/>
  <c r="R96" i="7"/>
  <c r="Q96" i="7"/>
  <c r="P96" i="7"/>
  <c r="O96" i="7"/>
  <c r="N96" i="7"/>
  <c r="AD94" i="7"/>
  <c r="AC94" i="7"/>
  <c r="AC93" i="7"/>
  <c r="M31" i="2"/>
  <c r="AB94" i="7"/>
  <c r="AA94" i="7"/>
  <c r="AA93" i="7"/>
  <c r="G31" i="2"/>
  <c r="Z94" i="7"/>
  <c r="S94" i="7"/>
  <c r="R94" i="7"/>
  <c r="Q94" i="7"/>
  <c r="P94" i="7"/>
  <c r="O94" i="7"/>
  <c r="N94" i="7"/>
  <c r="AD93" i="7"/>
  <c r="N31" i="2"/>
  <c r="AB93" i="7"/>
  <c r="H31" i="2"/>
  <c r="Z93" i="7"/>
  <c r="F31" i="2"/>
  <c r="S93" i="7"/>
  <c r="R93" i="7"/>
  <c r="Q93" i="7"/>
  <c r="P93" i="7"/>
  <c r="O93" i="7"/>
  <c r="N93" i="7"/>
  <c r="AD91" i="7"/>
  <c r="AC91" i="7"/>
  <c r="AC90" i="7"/>
  <c r="M30" i="2"/>
  <c r="AB91" i="7"/>
  <c r="AA91" i="7"/>
  <c r="Z91" i="7"/>
  <c r="S91" i="7"/>
  <c r="R91" i="7"/>
  <c r="Q91" i="7"/>
  <c r="P91" i="7"/>
  <c r="O91" i="7"/>
  <c r="N91" i="7"/>
  <c r="AD90" i="7"/>
  <c r="N30" i="2"/>
  <c r="AB90" i="7"/>
  <c r="H30" i="2"/>
  <c r="AA90" i="7"/>
  <c r="Z90" i="7"/>
  <c r="S90" i="7"/>
  <c r="R90" i="7"/>
  <c r="Q90" i="7"/>
  <c r="P90" i="7"/>
  <c r="O90" i="7"/>
  <c r="N90" i="7"/>
  <c r="AD83" i="7"/>
  <c r="AC83" i="7"/>
  <c r="AB83" i="7"/>
  <c r="AA83" i="7"/>
  <c r="Z83" i="7"/>
  <c r="S83" i="7"/>
  <c r="R83" i="7"/>
  <c r="Q83" i="7"/>
  <c r="P83" i="7"/>
  <c r="O83" i="7"/>
  <c r="N83" i="7"/>
  <c r="N82" i="7"/>
  <c r="AD80" i="7"/>
  <c r="AC80" i="7"/>
  <c r="AC79" i="7"/>
  <c r="M27" i="2"/>
  <c r="AB80" i="7"/>
  <c r="AA80" i="7"/>
  <c r="AA79" i="7"/>
  <c r="G27" i="2"/>
  <c r="Z80" i="7"/>
  <c r="S80" i="7"/>
  <c r="R80" i="7"/>
  <c r="Q80" i="7"/>
  <c r="P80" i="7"/>
  <c r="O80" i="7"/>
  <c r="N80" i="7"/>
  <c r="AD79" i="7"/>
  <c r="N27" i="2"/>
  <c r="AB79" i="7"/>
  <c r="H27" i="2"/>
  <c r="Z79" i="7"/>
  <c r="F27" i="2"/>
  <c r="S79" i="7"/>
  <c r="R79" i="7"/>
  <c r="Q79" i="7"/>
  <c r="P79" i="7"/>
  <c r="O79" i="7"/>
  <c r="N79" i="7"/>
  <c r="AD77" i="7"/>
  <c r="AC77" i="7"/>
  <c r="AC76" i="7"/>
  <c r="M26" i="2"/>
  <c r="AB77" i="7"/>
  <c r="AA77" i="7"/>
  <c r="AA76" i="7"/>
  <c r="G26" i="2"/>
  <c r="Z77" i="7"/>
  <c r="S77" i="7"/>
  <c r="R77" i="7"/>
  <c r="Q77" i="7"/>
  <c r="P77" i="7"/>
  <c r="O77" i="7"/>
  <c r="N77" i="7"/>
  <c r="AD76" i="7"/>
  <c r="N26" i="2"/>
  <c r="AB76" i="7"/>
  <c r="H26" i="2"/>
  <c r="Z76" i="7"/>
  <c r="F26" i="2"/>
  <c r="S76" i="7"/>
  <c r="R76" i="7"/>
  <c r="Q76" i="7"/>
  <c r="P76" i="7"/>
  <c r="O76" i="7"/>
  <c r="N76" i="7"/>
  <c r="AD74" i="7"/>
  <c r="AC74" i="7"/>
  <c r="AB74" i="7"/>
  <c r="AA74" i="7"/>
  <c r="Z74" i="7"/>
  <c r="S74" i="7"/>
  <c r="R74" i="7"/>
  <c r="Q74" i="7"/>
  <c r="P74" i="7"/>
  <c r="O74" i="7"/>
  <c r="N74" i="7"/>
  <c r="AD73" i="7"/>
  <c r="AC73" i="7"/>
  <c r="AB73" i="7"/>
  <c r="AA73" i="7"/>
  <c r="Z73" i="7"/>
  <c r="S73" i="7"/>
  <c r="R73" i="7"/>
  <c r="Q73" i="7"/>
  <c r="P73" i="7"/>
  <c r="O73" i="7"/>
  <c r="N73" i="7"/>
  <c r="AD72" i="7"/>
  <c r="AC72" i="7"/>
  <c r="AB72" i="7"/>
  <c r="AA72" i="7"/>
  <c r="Z72" i="7"/>
  <c r="S72" i="7"/>
  <c r="R72" i="7"/>
  <c r="Q72" i="7"/>
  <c r="P72" i="7"/>
  <c r="O72" i="7"/>
  <c r="N72" i="7"/>
  <c r="AD71" i="7"/>
  <c r="AC71" i="7"/>
  <c r="AB71" i="7"/>
  <c r="AA71" i="7"/>
  <c r="Z71" i="7"/>
  <c r="S71" i="7"/>
  <c r="R71" i="7"/>
  <c r="Q71" i="7"/>
  <c r="P71" i="7"/>
  <c r="O71" i="7"/>
  <c r="N71" i="7"/>
  <c r="AD70" i="7"/>
  <c r="AC70" i="7"/>
  <c r="AC69" i="7"/>
  <c r="M25" i="2"/>
  <c r="AB70" i="7"/>
  <c r="AA70" i="7"/>
  <c r="AA69" i="7"/>
  <c r="G25" i="2"/>
  <c r="Z70" i="7"/>
  <c r="S70" i="7"/>
  <c r="R70" i="7"/>
  <c r="Q70" i="7"/>
  <c r="P70" i="7"/>
  <c r="O70" i="7"/>
  <c r="N70" i="7"/>
  <c r="AD69" i="7"/>
  <c r="AB69" i="7"/>
  <c r="H25" i="2"/>
  <c r="Z69" i="7"/>
  <c r="F25" i="2"/>
  <c r="S69" i="7"/>
  <c r="R69" i="7"/>
  <c r="Q69" i="7"/>
  <c r="P69" i="7"/>
  <c r="O69" i="7"/>
  <c r="N69" i="7"/>
  <c r="AD62" i="7"/>
  <c r="AC62" i="7"/>
  <c r="AB62" i="7"/>
  <c r="AA62" i="7"/>
  <c r="Z62" i="7"/>
  <c r="S62" i="7"/>
  <c r="R62" i="7"/>
  <c r="Q62" i="7"/>
  <c r="P62" i="7"/>
  <c r="O62" i="7"/>
  <c r="N62" i="7"/>
  <c r="N61" i="7"/>
  <c r="AD59" i="7"/>
  <c r="AC59" i="7"/>
  <c r="AB59" i="7"/>
  <c r="AA59" i="7"/>
  <c r="Z59" i="7"/>
  <c r="S59" i="7"/>
  <c r="R59" i="7"/>
  <c r="Q59" i="7"/>
  <c r="P59" i="7"/>
  <c r="O59" i="7"/>
  <c r="N59" i="7"/>
  <c r="AD58" i="7"/>
  <c r="AC58" i="7"/>
  <c r="AB58" i="7"/>
  <c r="AA58" i="7"/>
  <c r="Z58" i="7"/>
  <c r="S58" i="7"/>
  <c r="R58" i="7"/>
  <c r="Q58" i="7"/>
  <c r="P58" i="7"/>
  <c r="O58" i="7"/>
  <c r="N58" i="7"/>
  <c r="AD57" i="7"/>
  <c r="AC57" i="7"/>
  <c r="AB57" i="7"/>
  <c r="AA57" i="7"/>
  <c r="Z57" i="7"/>
  <c r="S57" i="7"/>
  <c r="R57" i="7"/>
  <c r="Q57" i="7"/>
  <c r="P57" i="7"/>
  <c r="O57" i="7"/>
  <c r="N57" i="7"/>
  <c r="N56" i="7"/>
  <c r="N54" i="7"/>
  <c r="N53" i="7"/>
  <c r="N52" i="7"/>
  <c r="N51" i="7"/>
  <c r="N50" i="7"/>
  <c r="G50" i="7"/>
  <c r="AD43" i="7"/>
  <c r="AC43" i="7"/>
  <c r="AB43" i="7"/>
  <c r="AA43" i="7"/>
  <c r="Z43" i="7"/>
  <c r="S43" i="7"/>
  <c r="R43" i="7"/>
  <c r="Q43" i="7"/>
  <c r="P43" i="7"/>
  <c r="O43" i="7"/>
  <c r="N43" i="7"/>
  <c r="N42" i="7"/>
  <c r="AD40" i="7"/>
  <c r="AC40" i="7"/>
  <c r="AB40" i="7"/>
  <c r="AA40" i="7"/>
  <c r="Z40" i="7"/>
  <c r="S40" i="7"/>
  <c r="R40" i="7"/>
  <c r="Q40" i="7"/>
  <c r="P40" i="7"/>
  <c r="O40" i="7"/>
  <c r="N40" i="7"/>
  <c r="AD39" i="7"/>
  <c r="AC39" i="7"/>
  <c r="AB39" i="7"/>
  <c r="AA39" i="7"/>
  <c r="Z39" i="7"/>
  <c r="S39" i="7"/>
  <c r="R39" i="7"/>
  <c r="Q39" i="7"/>
  <c r="P39" i="7"/>
  <c r="O39" i="7"/>
  <c r="N39" i="7"/>
  <c r="AD38" i="7"/>
  <c r="AC38" i="7"/>
  <c r="AB38" i="7"/>
  <c r="AA38" i="7"/>
  <c r="Z38" i="7"/>
  <c r="S38" i="7"/>
  <c r="R38" i="7"/>
  <c r="Q38" i="7"/>
  <c r="P38" i="7"/>
  <c r="O38" i="7"/>
  <c r="N38" i="7"/>
  <c r="N37" i="7"/>
  <c r="N35" i="7"/>
  <c r="N34" i="7"/>
  <c r="N33" i="7"/>
  <c r="N32" i="7"/>
  <c r="N31" i="7"/>
  <c r="N30" i="7"/>
  <c r="G30" i="7"/>
  <c r="AD23" i="7"/>
  <c r="AC23" i="7"/>
  <c r="AB23" i="7"/>
  <c r="AA23" i="7"/>
  <c r="Z23" i="7"/>
  <c r="S23" i="7"/>
  <c r="R23" i="7"/>
  <c r="Q23" i="7"/>
  <c r="P23" i="7"/>
  <c r="O23" i="7"/>
  <c r="N23" i="7"/>
  <c r="N22" i="7"/>
  <c r="AD20" i="7"/>
  <c r="AC20" i="7"/>
  <c r="AB20" i="7"/>
  <c r="AA20" i="7"/>
  <c r="Z20" i="7"/>
  <c r="S20" i="7"/>
  <c r="R20" i="7"/>
  <c r="Q20" i="7"/>
  <c r="P20" i="7"/>
  <c r="O20" i="7"/>
  <c r="N20" i="7"/>
  <c r="AD19" i="7"/>
  <c r="AC19" i="7"/>
  <c r="AB19" i="7"/>
  <c r="AA19" i="7"/>
  <c r="Z19" i="7"/>
  <c r="S19" i="7"/>
  <c r="R19" i="7"/>
  <c r="Q19" i="7"/>
  <c r="P19" i="7"/>
  <c r="O19" i="7"/>
  <c r="N19" i="7"/>
  <c r="AD18" i="7"/>
  <c r="AC18" i="7"/>
  <c r="AB18" i="7"/>
  <c r="AA18" i="7"/>
  <c r="Z18" i="7"/>
  <c r="S18" i="7"/>
  <c r="R18" i="7"/>
  <c r="Q18" i="7"/>
  <c r="P18" i="7"/>
  <c r="O18" i="7"/>
  <c r="N18" i="7"/>
  <c r="N17" i="7"/>
  <c r="N15" i="7"/>
  <c r="N14" i="7"/>
  <c r="N13" i="7"/>
  <c r="N12" i="7"/>
  <c r="N11" i="7"/>
  <c r="E17" i="24"/>
  <c r="E16" i="24"/>
  <c r="E15" i="24"/>
  <c r="E14" i="24"/>
  <c r="E13" i="24"/>
  <c r="E12" i="24"/>
  <c r="E11" i="24"/>
  <c r="E10" i="24"/>
  <c r="E9" i="24"/>
  <c r="BQ26" i="19"/>
  <c r="T28" i="8"/>
  <c r="AE28" i="8"/>
  <c r="N69" i="2"/>
  <c r="BO26" i="19"/>
  <c r="S28" i="8"/>
  <c r="BL26" i="19"/>
  <c r="BM26" i="19"/>
  <c r="BI26" i="19"/>
  <c r="BJ26" i="19"/>
  <c r="BF26" i="19"/>
  <c r="BG26" i="19"/>
  <c r="BC26" i="19"/>
  <c r="BD26" i="19"/>
  <c r="AZ26" i="19"/>
  <c r="BA26" i="19"/>
  <c r="AW26" i="19"/>
  <c r="AX26" i="19"/>
  <c r="AT26" i="19"/>
  <c r="AU26" i="19"/>
  <c r="AQ26" i="19"/>
  <c r="AR26" i="19"/>
  <c r="AN26" i="19"/>
  <c r="AO26" i="19"/>
  <c r="AK26" i="19"/>
  <c r="AL26" i="19"/>
  <c r="AH26" i="19"/>
  <c r="AI26" i="19"/>
  <c r="AE26" i="19"/>
  <c r="AF26" i="19"/>
  <c r="AB26" i="19"/>
  <c r="AC26" i="19"/>
  <c r="P26" i="19"/>
  <c r="Q26" i="19"/>
  <c r="R28" i="8"/>
  <c r="AC28" i="8"/>
  <c r="H69" i="2"/>
  <c r="L26" i="19"/>
  <c r="M26" i="19"/>
  <c r="N26" i="19"/>
  <c r="Q28" i="8"/>
  <c r="AB28" i="8"/>
  <c r="K26" i="19"/>
  <c r="P28" i="8"/>
  <c r="AA28" i="8"/>
  <c r="F69" i="2"/>
  <c r="G26" i="19"/>
  <c r="BQ25" i="19"/>
  <c r="T14" i="11"/>
  <c r="AE14" i="11"/>
  <c r="BO25" i="19"/>
  <c r="S14" i="11"/>
  <c r="P25" i="19"/>
  <c r="Q25" i="19"/>
  <c r="R14" i="11"/>
  <c r="AC14" i="11"/>
  <c r="M25" i="19"/>
  <c r="N25" i="19"/>
  <c r="Q14" i="11"/>
  <c r="AB14" i="11"/>
  <c r="K25" i="19"/>
  <c r="P14" i="11"/>
  <c r="AA14" i="11"/>
  <c r="G25" i="19"/>
  <c r="BQ24" i="19"/>
  <c r="S53" i="7"/>
  <c r="AD53" i="7"/>
  <c r="BO24" i="19"/>
  <c r="R33" i="7"/>
  <c r="P24" i="19"/>
  <c r="Q24" i="19"/>
  <c r="Q53" i="7"/>
  <c r="AB53" i="7"/>
  <c r="M24" i="19"/>
  <c r="N24" i="19"/>
  <c r="P33" i="7"/>
  <c r="AA33" i="7"/>
  <c r="K24" i="19"/>
  <c r="O53" i="7"/>
  <c r="Z53" i="7"/>
  <c r="G24" i="19"/>
  <c r="BO23" i="19"/>
  <c r="S13" i="11"/>
  <c r="BL23" i="19"/>
  <c r="BM23" i="19"/>
  <c r="BI23" i="19"/>
  <c r="BJ23" i="19"/>
  <c r="BF23" i="19"/>
  <c r="BG23" i="19"/>
  <c r="BC23" i="19"/>
  <c r="BD23" i="19"/>
  <c r="AZ23" i="19"/>
  <c r="BA23" i="19"/>
  <c r="AW23" i="19"/>
  <c r="AX23" i="19"/>
  <c r="AT23" i="19"/>
  <c r="AU23" i="19"/>
  <c r="AQ23" i="19"/>
  <c r="AR23" i="19"/>
  <c r="AN23" i="19"/>
  <c r="AO23" i="19"/>
  <c r="AK23" i="19"/>
  <c r="AL23" i="19"/>
  <c r="AH23" i="19"/>
  <c r="AI23" i="19"/>
  <c r="AE23" i="19"/>
  <c r="AF23" i="19"/>
  <c r="AB23" i="19"/>
  <c r="AC23" i="19"/>
  <c r="Y23" i="19"/>
  <c r="Z23" i="19"/>
  <c r="V23" i="19"/>
  <c r="W23" i="19"/>
  <c r="S23" i="19"/>
  <c r="T23" i="19"/>
  <c r="P23" i="19"/>
  <c r="I23" i="19"/>
  <c r="Q23" i="19"/>
  <c r="R13" i="11"/>
  <c r="AC13" i="11"/>
  <c r="M23" i="19"/>
  <c r="BQ23" i="19"/>
  <c r="T13" i="11"/>
  <c r="AE13" i="11"/>
  <c r="G23" i="19"/>
  <c r="BO22" i="19"/>
  <c r="R126" i="7"/>
  <c r="BL22" i="19"/>
  <c r="BM22" i="19"/>
  <c r="BI22" i="19"/>
  <c r="BJ22" i="19"/>
  <c r="BF22" i="19"/>
  <c r="BG22" i="19"/>
  <c r="BC22" i="19"/>
  <c r="BD22" i="19"/>
  <c r="AZ22" i="19"/>
  <c r="BA22" i="19"/>
  <c r="AW22" i="19"/>
  <c r="AX22" i="19"/>
  <c r="AT22" i="19"/>
  <c r="AU22" i="19"/>
  <c r="AQ22" i="19"/>
  <c r="AR22" i="19"/>
  <c r="AN22" i="19"/>
  <c r="AO22" i="19"/>
  <c r="AK22" i="19"/>
  <c r="AL22" i="19"/>
  <c r="AH22" i="19"/>
  <c r="AI22" i="19"/>
  <c r="AE22" i="19"/>
  <c r="AF22" i="19"/>
  <c r="AB22" i="19"/>
  <c r="AC22" i="19"/>
  <c r="Y22" i="19"/>
  <c r="Z22" i="19"/>
  <c r="V22" i="19"/>
  <c r="W22" i="19"/>
  <c r="S22" i="19"/>
  <c r="T22" i="19"/>
  <c r="P22" i="19"/>
  <c r="Q22" i="19"/>
  <c r="Q126" i="7"/>
  <c r="H40" i="2"/>
  <c r="M22" i="19"/>
  <c r="I22" i="19"/>
  <c r="BQ22" i="19"/>
  <c r="S126" i="7"/>
  <c r="AD126" i="7"/>
  <c r="N40" i="2"/>
  <c r="G22" i="19"/>
  <c r="BO21" i="19"/>
  <c r="S11" i="11"/>
  <c r="BL21" i="19"/>
  <c r="BM21" i="19"/>
  <c r="BI21" i="19"/>
  <c r="BJ21" i="19"/>
  <c r="BF21" i="19"/>
  <c r="BG21" i="19"/>
  <c r="BC21" i="19"/>
  <c r="BD21" i="19"/>
  <c r="AZ21" i="19"/>
  <c r="BA21" i="19"/>
  <c r="AW21" i="19"/>
  <c r="AX21" i="19"/>
  <c r="AT21" i="19"/>
  <c r="AU21" i="19"/>
  <c r="AQ21" i="19"/>
  <c r="AR21" i="19"/>
  <c r="AN21" i="19"/>
  <c r="AO21" i="19"/>
  <c r="AK21" i="19"/>
  <c r="AL21" i="19"/>
  <c r="AH21" i="19"/>
  <c r="AI21" i="19"/>
  <c r="AE21" i="19"/>
  <c r="AF21" i="19"/>
  <c r="AB21" i="19"/>
  <c r="AC21" i="19"/>
  <c r="Y21" i="19"/>
  <c r="Z21" i="19"/>
  <c r="V21" i="19"/>
  <c r="W21" i="19"/>
  <c r="S21" i="19"/>
  <c r="T21" i="19"/>
  <c r="P21" i="19"/>
  <c r="M21" i="19"/>
  <c r="I21" i="19"/>
  <c r="K21" i="19"/>
  <c r="P11" i="11"/>
  <c r="AA11" i="11"/>
  <c r="G21" i="19"/>
  <c r="BO20" i="19"/>
  <c r="R82" i="7"/>
  <c r="BL20" i="19"/>
  <c r="BM20" i="19"/>
  <c r="BI20" i="19"/>
  <c r="BJ20" i="19"/>
  <c r="BF20" i="19"/>
  <c r="BG20" i="19"/>
  <c r="BC20" i="19"/>
  <c r="BD20" i="19"/>
  <c r="AZ20" i="19"/>
  <c r="BA20" i="19"/>
  <c r="AW20" i="19"/>
  <c r="AX20" i="19"/>
  <c r="AT20" i="19"/>
  <c r="AU20" i="19"/>
  <c r="AQ20" i="19"/>
  <c r="AR20" i="19"/>
  <c r="AN20" i="19"/>
  <c r="AO20" i="19"/>
  <c r="AK20" i="19"/>
  <c r="AL20" i="19"/>
  <c r="AH20" i="19"/>
  <c r="AI20" i="19"/>
  <c r="AE20" i="19"/>
  <c r="AF20" i="19"/>
  <c r="AB20" i="19"/>
  <c r="AC20" i="19"/>
  <c r="Y20" i="19"/>
  <c r="Z20" i="19"/>
  <c r="V20" i="19"/>
  <c r="W20" i="19"/>
  <c r="S20" i="19"/>
  <c r="T20" i="19"/>
  <c r="P20" i="19"/>
  <c r="I20" i="19"/>
  <c r="Q20" i="19"/>
  <c r="Q82" i="7"/>
  <c r="AB82" i="7"/>
  <c r="H28" i="2"/>
  <c r="M20" i="19"/>
  <c r="K20" i="19"/>
  <c r="O82" i="7"/>
  <c r="Z82" i="7"/>
  <c r="F28" i="2"/>
  <c r="G20" i="19"/>
  <c r="BO19" i="19"/>
  <c r="S28" i="11"/>
  <c r="BL19" i="19"/>
  <c r="BM19" i="19"/>
  <c r="BI19" i="19"/>
  <c r="BJ19" i="19"/>
  <c r="BF19" i="19"/>
  <c r="BG19" i="19"/>
  <c r="BC19" i="19"/>
  <c r="BD19" i="19"/>
  <c r="AZ19" i="19"/>
  <c r="BA19" i="19"/>
  <c r="AW19" i="19"/>
  <c r="AX19" i="19"/>
  <c r="AT19" i="19"/>
  <c r="AU19" i="19"/>
  <c r="AQ19" i="19"/>
  <c r="AR19" i="19"/>
  <c r="AN19" i="19"/>
  <c r="AO19" i="19"/>
  <c r="AK19" i="19"/>
  <c r="AL19" i="19"/>
  <c r="AH19" i="19"/>
  <c r="AI19" i="19"/>
  <c r="AE19" i="19"/>
  <c r="AF19" i="19"/>
  <c r="AB19" i="19"/>
  <c r="AC19" i="19"/>
  <c r="Y19" i="19"/>
  <c r="Z19" i="19"/>
  <c r="V19" i="19"/>
  <c r="W19" i="19"/>
  <c r="S19" i="19"/>
  <c r="T19" i="19"/>
  <c r="P19" i="19"/>
  <c r="M19" i="19"/>
  <c r="I19" i="19"/>
  <c r="BQ19" i="19"/>
  <c r="T33" i="11"/>
  <c r="AE33" i="11"/>
  <c r="G19" i="19"/>
  <c r="BO18" i="19"/>
  <c r="S12" i="11"/>
  <c r="BL18" i="19"/>
  <c r="BM18" i="19"/>
  <c r="BI18" i="19"/>
  <c r="BJ18" i="19"/>
  <c r="BF18" i="19"/>
  <c r="BG18" i="19"/>
  <c r="BC18" i="19"/>
  <c r="BD18" i="19"/>
  <c r="AZ18" i="19"/>
  <c r="BA18" i="19"/>
  <c r="AW18" i="19"/>
  <c r="AX18" i="19"/>
  <c r="AT18" i="19"/>
  <c r="AU18" i="19"/>
  <c r="AQ18" i="19"/>
  <c r="AR18" i="19"/>
  <c r="AN18" i="19"/>
  <c r="AO18" i="19"/>
  <c r="AK18" i="19"/>
  <c r="AL18" i="19"/>
  <c r="AH18" i="19"/>
  <c r="AI18" i="19"/>
  <c r="AE18" i="19"/>
  <c r="AF18" i="19"/>
  <c r="AB18" i="19"/>
  <c r="AC18" i="19"/>
  <c r="Y18" i="19"/>
  <c r="Z18" i="19"/>
  <c r="V18" i="19"/>
  <c r="W18" i="19"/>
  <c r="S18" i="19"/>
  <c r="T18" i="19"/>
  <c r="P18" i="19"/>
  <c r="M18" i="19"/>
  <c r="I18" i="19"/>
  <c r="BQ18" i="19"/>
  <c r="T12" i="11"/>
  <c r="AE12" i="11"/>
  <c r="G18" i="19"/>
  <c r="BO17" i="19"/>
  <c r="R54" i="7"/>
  <c r="P17" i="19"/>
  <c r="M17" i="19"/>
  <c r="I17" i="19"/>
  <c r="BQ17" i="19"/>
  <c r="S34" i="7"/>
  <c r="AD34" i="7"/>
  <c r="G17" i="19"/>
  <c r="BO16" i="19"/>
  <c r="R35" i="7"/>
  <c r="P16" i="19"/>
  <c r="M16" i="19"/>
  <c r="I16" i="19"/>
  <c r="BQ16" i="19"/>
  <c r="G16" i="19"/>
  <c r="BO15" i="19"/>
  <c r="P15" i="19"/>
  <c r="M15" i="19"/>
  <c r="I15" i="19"/>
  <c r="BQ15" i="19"/>
  <c r="S13" i="7"/>
  <c r="AD13" i="7"/>
  <c r="G15" i="19"/>
  <c r="BO14" i="19"/>
  <c r="R31" i="7"/>
  <c r="P14" i="19"/>
  <c r="M14" i="19"/>
  <c r="I14" i="19"/>
  <c r="BQ14" i="19"/>
  <c r="G14" i="19"/>
  <c r="BO13" i="19"/>
  <c r="R52" i="7"/>
  <c r="BL13" i="19"/>
  <c r="BM13" i="19"/>
  <c r="BI13" i="19"/>
  <c r="BJ13" i="19"/>
  <c r="BF13" i="19"/>
  <c r="BG13" i="19"/>
  <c r="BC13" i="19"/>
  <c r="BD13" i="19"/>
  <c r="AZ13" i="19"/>
  <c r="BA13" i="19"/>
  <c r="AW13" i="19"/>
  <c r="AX13" i="19"/>
  <c r="AT13" i="19"/>
  <c r="AU13" i="19"/>
  <c r="AQ13" i="19"/>
  <c r="AR13" i="19"/>
  <c r="AN13" i="19"/>
  <c r="AO13" i="19"/>
  <c r="AK13" i="19"/>
  <c r="AL13" i="19"/>
  <c r="AH13" i="19"/>
  <c r="AI13" i="19"/>
  <c r="AE13" i="19"/>
  <c r="AF13" i="19"/>
  <c r="AB13" i="19"/>
  <c r="AC13" i="19"/>
  <c r="Y13" i="19"/>
  <c r="Z13" i="19"/>
  <c r="V13" i="19"/>
  <c r="W13" i="19"/>
  <c r="S13" i="19"/>
  <c r="T13" i="19"/>
  <c r="P13" i="19"/>
  <c r="M13" i="19"/>
  <c r="I13" i="19"/>
  <c r="BQ13" i="19"/>
  <c r="G13" i="19"/>
  <c r="BO12" i="19"/>
  <c r="R50" i="7"/>
  <c r="BL12" i="19"/>
  <c r="BM12" i="19"/>
  <c r="BI12" i="19"/>
  <c r="BJ12" i="19"/>
  <c r="BF12" i="19"/>
  <c r="BG12" i="19"/>
  <c r="BC12" i="19"/>
  <c r="BD12" i="19"/>
  <c r="AZ12" i="19"/>
  <c r="BA12" i="19"/>
  <c r="AW12" i="19"/>
  <c r="AX12" i="19"/>
  <c r="AT12" i="19"/>
  <c r="AU12" i="19"/>
  <c r="AQ12" i="19"/>
  <c r="AR12" i="19"/>
  <c r="AN12" i="19"/>
  <c r="AO12" i="19"/>
  <c r="AK12" i="19"/>
  <c r="AL12" i="19"/>
  <c r="AH12" i="19"/>
  <c r="AI12" i="19"/>
  <c r="AE12" i="19"/>
  <c r="AF12" i="19"/>
  <c r="AB12" i="19"/>
  <c r="AC12" i="19"/>
  <c r="Y12" i="19"/>
  <c r="Z12" i="19"/>
  <c r="V12" i="19"/>
  <c r="W12" i="19"/>
  <c r="S12" i="19"/>
  <c r="T12" i="19"/>
  <c r="P12" i="19"/>
  <c r="M12" i="19"/>
  <c r="I12" i="19"/>
  <c r="BQ12" i="19"/>
  <c r="S50" i="7"/>
  <c r="AD50" i="7"/>
  <c r="G12" i="19"/>
  <c r="BO11" i="19"/>
  <c r="R22" i="7"/>
  <c r="BL11" i="19"/>
  <c r="BM11" i="19"/>
  <c r="BI11" i="19"/>
  <c r="BJ11" i="19"/>
  <c r="BF11" i="19"/>
  <c r="BG11" i="19"/>
  <c r="BC11" i="19"/>
  <c r="BD11" i="19"/>
  <c r="AZ11" i="19"/>
  <c r="BA11" i="19"/>
  <c r="AW11" i="19"/>
  <c r="AX11" i="19"/>
  <c r="AT11" i="19"/>
  <c r="AU11" i="19"/>
  <c r="AQ11" i="19"/>
  <c r="AR11" i="19"/>
  <c r="AN11" i="19"/>
  <c r="AO11" i="19"/>
  <c r="AK11" i="19"/>
  <c r="AL11" i="19"/>
  <c r="AH11" i="19"/>
  <c r="AI11" i="19"/>
  <c r="AE11" i="19"/>
  <c r="AF11" i="19"/>
  <c r="AB11" i="19"/>
  <c r="AC11" i="19"/>
  <c r="Y11" i="19"/>
  <c r="Z11" i="19"/>
  <c r="V11" i="19"/>
  <c r="W11" i="19"/>
  <c r="S11" i="19"/>
  <c r="T11" i="19"/>
  <c r="P11" i="19"/>
  <c r="M11" i="19"/>
  <c r="I11" i="19"/>
  <c r="BQ11" i="19"/>
  <c r="S61" i="7"/>
  <c r="AD61" i="7"/>
  <c r="N23" i="2"/>
  <c r="G11" i="19"/>
  <c r="P9" i="19"/>
  <c r="Q9" i="19"/>
  <c r="M9" i="19"/>
  <c r="N9" i="19"/>
  <c r="K9" i="19"/>
  <c r="C76" i="17"/>
  <c r="C68" i="17"/>
  <c r="E58" i="17"/>
  <c r="B33" i="17"/>
  <c r="B32" i="17"/>
  <c r="J149" i="1"/>
  <c r="I149" i="1"/>
  <c r="H149" i="1"/>
  <c r="G149" i="1"/>
  <c r="E149" i="1"/>
  <c r="H141" i="1"/>
  <c r="G141" i="1"/>
  <c r="F141" i="1"/>
  <c r="E141" i="1"/>
  <c r="C47" i="1"/>
  <c r="C46" i="1"/>
  <c r="C45" i="1"/>
  <c r="E44" i="1"/>
  <c r="C44" i="1"/>
  <c r="C43" i="1"/>
  <c r="C42" i="1"/>
  <c r="Q12" i="19"/>
  <c r="Q11" i="7"/>
  <c r="AB11" i="7"/>
  <c r="R11" i="7"/>
  <c r="K22" i="19"/>
  <c r="O126" i="7"/>
  <c r="Z126" i="7"/>
  <c r="H85" i="2"/>
  <c r="N13" i="19"/>
  <c r="P52" i="7"/>
  <c r="AA52" i="7"/>
  <c r="N85" i="2"/>
  <c r="O33" i="7"/>
  <c r="Z33" i="7"/>
  <c r="F30" i="2"/>
  <c r="Q21" i="19"/>
  <c r="R11" i="11"/>
  <c r="AC11" i="11"/>
  <c r="G76" i="2"/>
  <c r="F77" i="2"/>
  <c r="S56" i="7"/>
  <c r="AD56" i="7"/>
  <c r="S22" i="7"/>
  <c r="AD22" i="7"/>
  <c r="S15" i="7"/>
  <c r="AD15" i="7"/>
  <c r="S30" i="11"/>
  <c r="S33" i="11"/>
  <c r="R51" i="7"/>
  <c r="K11" i="19"/>
  <c r="O56" i="7"/>
  <c r="Z56" i="7"/>
  <c r="F22" i="2"/>
  <c r="K15" i="19"/>
  <c r="O13" i="7"/>
  <c r="Z13" i="7"/>
  <c r="K19" i="19"/>
  <c r="P28" i="11"/>
  <c r="AA28" i="11"/>
  <c r="R30" i="7"/>
  <c r="R32" i="7"/>
  <c r="Q33" i="7"/>
  <c r="AB33" i="7"/>
  <c r="R34" i="7"/>
  <c r="P53" i="7"/>
  <c r="AA53" i="7"/>
  <c r="G30" i="2"/>
  <c r="N64" i="2"/>
  <c r="N73" i="2"/>
  <c r="I81" i="2"/>
  <c r="M85" i="2"/>
  <c r="I26" i="23"/>
  <c r="I29" i="23"/>
  <c r="I52" i="23"/>
  <c r="I57" i="23"/>
  <c r="I60" i="23"/>
  <c r="M64" i="2"/>
  <c r="M90" i="23"/>
  <c r="L93" i="23"/>
  <c r="I43" i="23"/>
  <c r="L97" i="23"/>
  <c r="P34" i="11"/>
  <c r="AA34" i="11"/>
  <c r="O61" i="7"/>
  <c r="Z61" i="7"/>
  <c r="O37" i="7"/>
  <c r="Z37" i="7"/>
  <c r="F18" i="2"/>
  <c r="P27" i="11"/>
  <c r="AA27" i="11"/>
  <c r="L99" i="23"/>
  <c r="I51" i="23"/>
  <c r="F53" i="23"/>
  <c r="E15" i="23"/>
  <c r="L102" i="23"/>
  <c r="I56" i="23"/>
  <c r="F58" i="23"/>
  <c r="E16" i="23"/>
  <c r="I16" i="23"/>
  <c r="P33" i="11"/>
  <c r="AA33" i="11"/>
  <c r="O17" i="7"/>
  <c r="Z17" i="7"/>
  <c r="O42" i="7"/>
  <c r="Z42" i="7"/>
  <c r="P30" i="11"/>
  <c r="AA30" i="11"/>
  <c r="F48" i="2"/>
  <c r="Q50" i="7"/>
  <c r="AB50" i="7"/>
  <c r="I55" i="23"/>
  <c r="R61" i="7"/>
  <c r="S27" i="11"/>
  <c r="R17" i="7"/>
  <c r="P32" i="7"/>
  <c r="AA32" i="7"/>
  <c r="S37" i="7"/>
  <c r="AD37" i="7"/>
  <c r="T30" i="11"/>
  <c r="AE30" i="11"/>
  <c r="N48" i="2"/>
  <c r="N20" i="19"/>
  <c r="P82" i="7"/>
  <c r="AA82" i="7"/>
  <c r="S33" i="7"/>
  <c r="AD33" i="7"/>
  <c r="K12" i="19"/>
  <c r="K14" i="19"/>
  <c r="O12" i="7"/>
  <c r="Z12" i="7"/>
  <c r="K23" i="19"/>
  <c r="P13" i="11"/>
  <c r="AA13" i="11"/>
  <c r="Q13" i="19"/>
  <c r="Q32" i="7"/>
  <c r="AB32" i="7"/>
  <c r="Q30" i="7"/>
  <c r="AB30" i="7"/>
  <c r="Q14" i="19"/>
  <c r="Q31" i="7"/>
  <c r="AB31" i="7"/>
  <c r="Q17" i="19"/>
  <c r="Q34" i="7"/>
  <c r="AB34" i="7"/>
  <c r="Q16" i="19"/>
  <c r="Q35" i="7"/>
  <c r="AB35" i="7"/>
  <c r="H17" i="2"/>
  <c r="Q15" i="19"/>
  <c r="Q13" i="7"/>
  <c r="AB13" i="7"/>
  <c r="Q15" i="7"/>
  <c r="AB15" i="7"/>
  <c r="Q19" i="19"/>
  <c r="R33" i="11"/>
  <c r="AC33" i="11"/>
  <c r="BQ21" i="19"/>
  <c r="T11" i="11"/>
  <c r="AE11" i="11"/>
  <c r="N21" i="19"/>
  <c r="Q11" i="11"/>
  <c r="AB11" i="11"/>
  <c r="N23" i="19"/>
  <c r="Q13" i="11"/>
  <c r="AB13" i="11"/>
  <c r="E14" i="23"/>
  <c r="Q18" i="19"/>
  <c r="R12" i="11"/>
  <c r="AC12" i="11"/>
  <c r="S52" i="7"/>
  <c r="AD52" i="7"/>
  <c r="S32" i="7"/>
  <c r="AD32" i="7"/>
  <c r="S14" i="7"/>
  <c r="AD14" i="7"/>
  <c r="S35" i="7"/>
  <c r="AD35" i="7"/>
  <c r="I38" i="23"/>
  <c r="L94" i="23"/>
  <c r="Q52" i="7"/>
  <c r="AB52" i="7"/>
  <c r="Q54" i="7"/>
  <c r="AB54" i="7"/>
  <c r="Q14" i="7"/>
  <c r="AB14" i="7"/>
  <c r="M92" i="23"/>
  <c r="I36" i="23"/>
  <c r="K17" i="19"/>
  <c r="R56" i="7"/>
  <c r="O30" i="7"/>
  <c r="Z30" i="7"/>
  <c r="S34" i="11"/>
  <c r="S54" i="7"/>
  <c r="AD54" i="7"/>
  <c r="S42" i="7"/>
  <c r="AD42" i="7"/>
  <c r="N19" i="2"/>
  <c r="T34" i="11"/>
  <c r="AE34" i="11"/>
  <c r="N16" i="19"/>
  <c r="N17" i="19"/>
  <c r="K16" i="19"/>
  <c r="K18" i="19"/>
  <c r="P12" i="11"/>
  <c r="AA12" i="11"/>
  <c r="F43" i="2"/>
  <c r="N11" i="19"/>
  <c r="N15" i="19"/>
  <c r="P13" i="7"/>
  <c r="AA13" i="7"/>
  <c r="BQ20" i="19"/>
  <c r="S82" i="7"/>
  <c r="AD82" i="7"/>
  <c r="N28" i="2"/>
  <c r="N12" i="19"/>
  <c r="H76" i="2"/>
  <c r="G77" i="2"/>
  <c r="N14" i="19"/>
  <c r="O22" i="7"/>
  <c r="Z22" i="7"/>
  <c r="R37" i="7"/>
  <c r="K13" i="19"/>
  <c r="R42" i="7"/>
  <c r="S17" i="7"/>
  <c r="AD17" i="7"/>
  <c r="Q11" i="19"/>
  <c r="N18" i="19"/>
  <c r="Q12" i="11"/>
  <c r="AB12" i="11"/>
  <c r="G43" i="2"/>
  <c r="N73" i="23"/>
  <c r="I58" i="23"/>
  <c r="N15" i="2"/>
  <c r="H32" i="2"/>
  <c r="N32" i="2"/>
  <c r="G32" i="2"/>
  <c r="M32" i="2"/>
  <c r="F34" i="2"/>
  <c r="H34" i="2"/>
  <c r="G34" i="2"/>
  <c r="M34" i="2"/>
  <c r="F35" i="2"/>
  <c r="H35" i="2"/>
  <c r="N35" i="2"/>
  <c r="M35" i="2"/>
  <c r="F36" i="2"/>
  <c r="H36" i="2"/>
  <c r="N36" i="2"/>
  <c r="G36" i="2"/>
  <c r="M36" i="2"/>
  <c r="F38" i="2"/>
  <c r="H38" i="2"/>
  <c r="N38" i="2"/>
  <c r="G38" i="2"/>
  <c r="M38" i="2"/>
  <c r="F44" i="2"/>
  <c r="H44" i="2"/>
  <c r="N44" i="2"/>
  <c r="G44" i="2"/>
  <c r="M44" i="2"/>
  <c r="H45" i="2"/>
  <c r="N45" i="2"/>
  <c r="G45" i="2"/>
  <c r="M45" i="2"/>
  <c r="F51" i="2"/>
  <c r="H51" i="2"/>
  <c r="N51" i="2"/>
  <c r="G51" i="2"/>
  <c r="M51" i="2"/>
  <c r="F52" i="2"/>
  <c r="H52" i="2"/>
  <c r="G52" i="2"/>
  <c r="M52" i="2"/>
  <c r="F53" i="2"/>
  <c r="H53" i="2"/>
  <c r="N53" i="2"/>
  <c r="G53" i="2"/>
  <c r="F55" i="2"/>
  <c r="H55" i="2"/>
  <c r="N55" i="2"/>
  <c r="G55" i="2"/>
  <c r="F56" i="2"/>
  <c r="N56" i="2"/>
  <c r="G56" i="2"/>
  <c r="M56" i="2"/>
  <c r="F57" i="2"/>
  <c r="H57" i="2"/>
  <c r="N57" i="2"/>
  <c r="G57" i="2"/>
  <c r="M57" i="2"/>
  <c r="F59" i="2"/>
  <c r="H59" i="2"/>
  <c r="N59" i="2"/>
  <c r="G59" i="2"/>
  <c r="M59" i="2"/>
  <c r="H60" i="2"/>
  <c r="N60" i="2"/>
  <c r="G60" i="2"/>
  <c r="M60" i="2"/>
  <c r="F61" i="2"/>
  <c r="H61" i="2"/>
  <c r="N61" i="2"/>
  <c r="M61" i="2"/>
  <c r="F64" i="2"/>
  <c r="H64" i="2"/>
  <c r="G64" i="2"/>
  <c r="F65" i="2"/>
  <c r="H65" i="2"/>
  <c r="N65" i="2"/>
  <c r="G65" i="2"/>
  <c r="F66" i="2"/>
  <c r="H66" i="2"/>
  <c r="G66" i="2"/>
  <c r="M66" i="2"/>
  <c r="F68" i="2"/>
  <c r="H68" i="2"/>
  <c r="N68" i="2"/>
  <c r="G68" i="2"/>
  <c r="M68" i="2"/>
  <c r="H70" i="2"/>
  <c r="N70" i="2"/>
  <c r="G70" i="2"/>
  <c r="M70" i="2"/>
  <c r="F72" i="2"/>
  <c r="N72" i="2"/>
  <c r="G72" i="2"/>
  <c r="M72" i="2"/>
  <c r="F73" i="2"/>
  <c r="H73" i="2"/>
  <c r="M73" i="2"/>
  <c r="F74" i="2"/>
  <c r="H74" i="2"/>
  <c r="N74" i="2"/>
  <c r="G74" i="2"/>
  <c r="M74" i="2"/>
  <c r="AD53" i="8"/>
  <c r="M76" i="2"/>
  <c r="F44" i="23"/>
  <c r="N76" i="2"/>
  <c r="N77" i="2"/>
  <c r="F78" i="2"/>
  <c r="H78" i="2"/>
  <c r="N78" i="2"/>
  <c r="G78" i="2"/>
  <c r="F80" i="2"/>
  <c r="L80" i="2"/>
  <c r="N80" i="2"/>
  <c r="G80" i="2"/>
  <c r="I80" i="2"/>
  <c r="K80" i="2"/>
  <c r="F81" i="2"/>
  <c r="H81" i="2"/>
  <c r="J81" i="2"/>
  <c r="L81" i="2"/>
  <c r="N81" i="2"/>
  <c r="G81" i="2"/>
  <c r="K81" i="2"/>
  <c r="F83" i="2"/>
  <c r="H83" i="2"/>
  <c r="N83" i="2"/>
  <c r="G83" i="2"/>
  <c r="F84" i="2"/>
  <c r="H84" i="2"/>
  <c r="N84" i="2"/>
  <c r="G84" i="2"/>
  <c r="F85" i="2"/>
  <c r="G85" i="2"/>
  <c r="F87" i="2"/>
  <c r="H87" i="2"/>
  <c r="J87" i="2"/>
  <c r="L87" i="2"/>
  <c r="N87" i="2"/>
  <c r="G87" i="2"/>
  <c r="K87" i="2"/>
  <c r="F47" i="2"/>
  <c r="I53" i="23"/>
  <c r="AC82" i="7"/>
  <c r="M28" i="2"/>
  <c r="E11" i="23"/>
  <c r="N107" i="23"/>
  <c r="AD11" i="11"/>
  <c r="N14" i="2"/>
  <c r="G28" i="2"/>
  <c r="I41" i="23"/>
  <c r="N95" i="23"/>
  <c r="AD56" i="8"/>
  <c r="M77" i="2"/>
  <c r="H44" i="23"/>
  <c r="N98" i="23"/>
  <c r="AC33" i="7"/>
  <c r="N22" i="2"/>
  <c r="N18" i="2"/>
  <c r="I28" i="23"/>
  <c r="F15" i="2"/>
  <c r="M107" i="23"/>
  <c r="I15" i="23"/>
  <c r="N49" i="2"/>
  <c r="AD14" i="11"/>
  <c r="N25" i="2"/>
  <c r="I30" i="23"/>
  <c r="L88" i="23"/>
  <c r="F19" i="2"/>
  <c r="F27" i="23"/>
  <c r="M72" i="23"/>
  <c r="N72" i="23"/>
  <c r="F49" i="2"/>
  <c r="F14" i="2"/>
  <c r="F23" i="2"/>
  <c r="AC13" i="7"/>
  <c r="F49" i="23"/>
  <c r="E13" i="23"/>
  <c r="L98" i="23"/>
  <c r="I44" i="23"/>
  <c r="H43" i="2"/>
  <c r="AD13" i="11"/>
  <c r="P11" i="7"/>
  <c r="AA11" i="7"/>
  <c r="F40" i="2"/>
  <c r="AD12" i="11"/>
  <c r="S30" i="7"/>
  <c r="AD30" i="7"/>
  <c r="S11" i="7"/>
  <c r="AD11" i="7"/>
  <c r="S31" i="7"/>
  <c r="AD31" i="7"/>
  <c r="S51" i="7"/>
  <c r="AD51" i="7"/>
  <c r="N21" i="2"/>
  <c r="S12" i="7"/>
  <c r="AD12" i="7"/>
  <c r="Q51" i="7"/>
  <c r="AB51" i="7"/>
  <c r="Q12" i="7"/>
  <c r="AB12" i="7"/>
  <c r="T28" i="11"/>
  <c r="AE28" i="11"/>
  <c r="T27" i="11"/>
  <c r="AE27" i="11"/>
  <c r="R28" i="11"/>
  <c r="AC28" i="11"/>
  <c r="R27" i="11"/>
  <c r="AC27" i="11"/>
  <c r="N43" i="2"/>
  <c r="P35" i="7"/>
  <c r="AA35" i="7"/>
  <c r="P14" i="7"/>
  <c r="AA14" i="7"/>
  <c r="P17" i="7"/>
  <c r="AA17" i="7"/>
  <c r="G14" i="2"/>
  <c r="P56" i="7"/>
  <c r="AA56" i="7"/>
  <c r="G22" i="2"/>
  <c r="P61" i="7"/>
  <c r="AA61" i="7"/>
  <c r="G23" i="2"/>
  <c r="G69" i="2"/>
  <c r="AD28" i="8"/>
  <c r="M69" i="2"/>
  <c r="H42" i="23"/>
  <c r="N22" i="19"/>
  <c r="P126" i="7"/>
  <c r="AA126" i="7"/>
  <c r="G40" i="2"/>
  <c r="R53" i="7"/>
  <c r="AC53" i="7"/>
  <c r="N19" i="19"/>
  <c r="O11" i="7"/>
  <c r="Z11" i="7"/>
  <c r="O50" i="7"/>
  <c r="Z50" i="7"/>
  <c r="O51" i="7"/>
  <c r="Z51" i="7"/>
  <c r="O31" i="7"/>
  <c r="Z31" i="7"/>
  <c r="P15" i="7"/>
  <c r="AA15" i="7"/>
  <c r="P54" i="7"/>
  <c r="AA54" i="7"/>
  <c r="P34" i="7"/>
  <c r="AA34" i="7"/>
  <c r="O54" i="7"/>
  <c r="Z54" i="7"/>
  <c r="AC54" i="7"/>
  <c r="O34" i="7"/>
  <c r="Z34" i="7"/>
  <c r="AC34" i="7"/>
  <c r="O15" i="7"/>
  <c r="Z15" i="7"/>
  <c r="AC15" i="7"/>
  <c r="O14" i="7"/>
  <c r="Z14" i="7"/>
  <c r="F13" i="2"/>
  <c r="O35" i="7"/>
  <c r="Z35" i="7"/>
  <c r="R30" i="11"/>
  <c r="AC30" i="11"/>
  <c r="H48" i="2"/>
  <c r="Q42" i="7"/>
  <c r="AB42" i="7"/>
  <c r="H19" i="2"/>
  <c r="Q56" i="7"/>
  <c r="AB56" i="7"/>
  <c r="H22" i="2"/>
  <c r="Q37" i="7"/>
  <c r="AB37" i="7"/>
  <c r="H18" i="2"/>
  <c r="Q61" i="7"/>
  <c r="AB61" i="7"/>
  <c r="H23" i="2"/>
  <c r="Q22" i="7"/>
  <c r="AB22" i="7"/>
  <c r="H15" i="2"/>
  <c r="R34" i="11"/>
  <c r="AC34" i="11"/>
  <c r="H49" i="2"/>
  <c r="Q17" i="7"/>
  <c r="AB17" i="7"/>
  <c r="H14" i="2"/>
  <c r="O52" i="7"/>
  <c r="Z52" i="7"/>
  <c r="O32" i="7"/>
  <c r="Z32" i="7"/>
  <c r="P12" i="7"/>
  <c r="AA12" i="7"/>
  <c r="P51" i="7"/>
  <c r="AA51" i="7"/>
  <c r="P31" i="7"/>
  <c r="AA31" i="7"/>
  <c r="AC31" i="7"/>
  <c r="P50" i="7"/>
  <c r="AA50" i="7"/>
  <c r="P30" i="7"/>
  <c r="AA30" i="7"/>
  <c r="AC30" i="7"/>
  <c r="AC35" i="7"/>
  <c r="Q34" i="11"/>
  <c r="AB34" i="11"/>
  <c r="AD34" i="11"/>
  <c r="Q30" i="11"/>
  <c r="AB30" i="11"/>
  <c r="P22" i="7"/>
  <c r="AA22" i="7"/>
  <c r="P37" i="7"/>
  <c r="AA37" i="7"/>
  <c r="P42" i="7"/>
  <c r="AA42" i="7"/>
  <c r="AC14" i="7"/>
  <c r="AC51" i="7"/>
  <c r="N13" i="2"/>
  <c r="M43" i="2"/>
  <c r="F34" i="23"/>
  <c r="I34" i="23"/>
  <c r="N71" i="23"/>
  <c r="M71" i="23"/>
  <c r="L90" i="23"/>
  <c r="AC56" i="7"/>
  <c r="M22" i="2"/>
  <c r="G25" i="23"/>
  <c r="M84" i="23"/>
  <c r="G17" i="2"/>
  <c r="AC61" i="7"/>
  <c r="M23" i="2"/>
  <c r="H25" i="23"/>
  <c r="N96" i="23"/>
  <c r="I42" i="23"/>
  <c r="I49" i="23"/>
  <c r="H49" i="23"/>
  <c r="G13" i="23"/>
  <c r="L109" i="23"/>
  <c r="Q28" i="11"/>
  <c r="AB28" i="11"/>
  <c r="AD28" i="11"/>
  <c r="Q33" i="11"/>
  <c r="AB33" i="11"/>
  <c r="Q27" i="11"/>
  <c r="AB27" i="11"/>
  <c r="H47" i="2"/>
  <c r="N47" i="2"/>
  <c r="AC12" i="7"/>
  <c r="H13" i="2"/>
  <c r="N17" i="2"/>
  <c r="AC126" i="7"/>
  <c r="M40" i="2"/>
  <c r="F31" i="23"/>
  <c r="G13" i="2"/>
  <c r="AC11" i="7"/>
  <c r="M13" i="2"/>
  <c r="F23" i="23"/>
  <c r="H13" i="23"/>
  <c r="L70" i="23"/>
  <c r="I13" i="23"/>
  <c r="H21" i="2"/>
  <c r="AC17" i="7"/>
  <c r="M14" i="2"/>
  <c r="G23" i="23"/>
  <c r="AC42" i="7"/>
  <c r="M19" i="2"/>
  <c r="H24" i="23"/>
  <c r="N83" i="23"/>
  <c r="G19" i="2"/>
  <c r="F21" i="2"/>
  <c r="AC52" i="7"/>
  <c r="G48" i="2"/>
  <c r="AD30" i="11"/>
  <c r="M48" i="2"/>
  <c r="G35" i="23"/>
  <c r="G21" i="2"/>
  <c r="AC50" i="7"/>
  <c r="M21" i="2"/>
  <c r="F25" i="23"/>
  <c r="F17" i="2"/>
  <c r="AC32" i="7"/>
  <c r="M17" i="2"/>
  <c r="F24" i="23"/>
  <c r="F32" i="23"/>
  <c r="G15" i="2"/>
  <c r="AC22" i="7"/>
  <c r="M15" i="2"/>
  <c r="H23" i="23"/>
  <c r="N82" i="23"/>
  <c r="G18" i="2"/>
  <c r="AC37" i="7"/>
  <c r="M18" i="2"/>
  <c r="G24" i="23"/>
  <c r="M83" i="23"/>
  <c r="M82" i="23"/>
  <c r="L82" i="23"/>
  <c r="I23" i="23"/>
  <c r="I31" i="23"/>
  <c r="L89" i="23"/>
  <c r="AD27" i="11"/>
  <c r="M47" i="2"/>
  <c r="F35" i="23"/>
  <c r="G47" i="2"/>
  <c r="N84" i="23"/>
  <c r="H32" i="23"/>
  <c r="L83" i="23"/>
  <c r="M70" i="23"/>
  <c r="N70" i="23"/>
  <c r="I25" i="23"/>
  <c r="L84" i="23"/>
  <c r="G49" i="2"/>
  <c r="AD33" i="11"/>
  <c r="M49" i="2"/>
  <c r="H35" i="23"/>
  <c r="M91" i="23"/>
  <c r="G39" i="23"/>
  <c r="F12" i="23"/>
  <c r="I24" i="23"/>
  <c r="I32" i="23"/>
  <c r="G32" i="23"/>
  <c r="F10" i="23"/>
  <c r="I35" i="23"/>
  <c r="I39" i="23"/>
  <c r="L91" i="23"/>
  <c r="F39" i="23"/>
  <c r="E12" i="23"/>
  <c r="N91" i="23"/>
  <c r="H39" i="23"/>
  <c r="G12" i="23"/>
  <c r="G10" i="23"/>
  <c r="E10" i="23"/>
  <c r="G61" i="23"/>
  <c r="F61" i="23"/>
  <c r="I61" i="23"/>
  <c r="G18" i="23"/>
  <c r="M109" i="23"/>
  <c r="L108" i="23"/>
  <c r="F18" i="23"/>
  <c r="I10" i="23"/>
  <c r="E18" i="23"/>
  <c r="H10" i="23"/>
  <c r="L107" i="23"/>
  <c r="H61" i="23"/>
  <c r="H12" i="23"/>
  <c r="L69" i="23"/>
  <c r="I12" i="23"/>
  <c r="N69" i="23"/>
  <c r="M69" i="23"/>
  <c r="L68" i="23"/>
  <c r="L74" i="23"/>
  <c r="L75" i="23"/>
  <c r="L67" i="23"/>
  <c r="H18" i="23"/>
  <c r="N68" i="23"/>
  <c r="N74" i="23"/>
  <c r="N75" i="23"/>
  <c r="N67" i="23"/>
  <c r="M68" i="23"/>
  <c r="M74" i="23"/>
  <c r="M75" i="23"/>
  <c r="M67" i="23"/>
  <c r="I18" i="23"/>
</calcChain>
</file>

<file path=xl/sharedStrings.xml><?xml version="1.0" encoding="utf-8"?>
<sst xmlns="http://schemas.openxmlformats.org/spreadsheetml/2006/main" count="3597" uniqueCount="1322">
  <si>
    <t>Sectors and sub-sectors</t>
  </si>
  <si>
    <t>Scope 1</t>
  </si>
  <si>
    <t>Scope 2</t>
  </si>
  <si>
    <t>Scope 3</t>
  </si>
  <si>
    <t>STATIONARY ENERGY</t>
  </si>
  <si>
    <t>Residential buildings</t>
  </si>
  <si>
    <t>Commercial buildings</t>
  </si>
  <si>
    <t>Institutional buildings</t>
  </si>
  <si>
    <t>Manufacturing industries and construction</t>
  </si>
  <si>
    <t>Energy industries</t>
  </si>
  <si>
    <t>Energy generation supplied to the grid</t>
  </si>
  <si>
    <t xml:space="preserve">Agriculture, forestry, and fishing activities </t>
  </si>
  <si>
    <t>Non-specified sources</t>
  </si>
  <si>
    <t>Fugitive emissions from mining, processing, storage, and transportation of coal</t>
  </si>
  <si>
    <t>Fugitive emissions from oil and natural gas systems</t>
  </si>
  <si>
    <t>TRANSPORTATION</t>
  </si>
  <si>
    <t>On-road</t>
  </si>
  <si>
    <t>Railways</t>
  </si>
  <si>
    <t>Waterborne navigation</t>
  </si>
  <si>
    <t>Aviation</t>
  </si>
  <si>
    <t>Off-road</t>
  </si>
  <si>
    <t>WASTE</t>
  </si>
  <si>
    <t>Solid waste generated in the city</t>
  </si>
  <si>
    <t>Solid waste generated outside the city</t>
  </si>
  <si>
    <t>Biological waste generated in the city</t>
  </si>
  <si>
    <t>Biological waste generated outside the city</t>
  </si>
  <si>
    <t>Incinerated and burned waste generated in the city</t>
  </si>
  <si>
    <t xml:space="preserve">Incinerated and burned waste generated outside city  </t>
  </si>
  <si>
    <t xml:space="preserve">Wastewater generated in the city </t>
  </si>
  <si>
    <t>Wastewater generated outside the city</t>
  </si>
  <si>
    <t>INDUSTRIAL PROCESSES AND PRODUCT USE (IPPU)</t>
  </si>
  <si>
    <t>Industrial processes</t>
  </si>
  <si>
    <t>Product use</t>
  </si>
  <si>
    <t>AGRICULTURE, FORESTRY, AND LAND USE (AFOLU)</t>
  </si>
  <si>
    <t>Livestock</t>
  </si>
  <si>
    <t>Land</t>
  </si>
  <si>
    <t>Other agriculture</t>
  </si>
  <si>
    <t>OTHER SCOPE 3</t>
  </si>
  <si>
    <t>a</t>
  </si>
  <si>
    <t>GPC ref No.</t>
  </si>
  <si>
    <t>Scope</t>
  </si>
  <si>
    <t>GHG Emissions Source (By Sector and Sub-sector)</t>
  </si>
  <si>
    <t>Notation keys</t>
  </si>
  <si>
    <t>Data Quality</t>
  </si>
  <si>
    <t>HFC</t>
  </si>
  <si>
    <t>PFC</t>
  </si>
  <si>
    <t>AD</t>
  </si>
  <si>
    <t>EF</t>
  </si>
  <si>
    <t>I</t>
  </si>
  <si>
    <t xml:space="preserve">STATIONARY ENERGY </t>
  </si>
  <si>
    <t>I.1</t>
  </si>
  <si>
    <t>I.1.1</t>
  </si>
  <si>
    <t>Emissions from fuel combustion within the city boundary</t>
  </si>
  <si>
    <t>I.1.2</t>
  </si>
  <si>
    <t>Emissions from grid-supplied energy consumed within the city boundary</t>
  </si>
  <si>
    <t>I.1.3</t>
  </si>
  <si>
    <t>Transmission and distribution losses from grid-supplied energy</t>
  </si>
  <si>
    <t>I.2</t>
  </si>
  <si>
    <t>Commercial and institutional buildings and facilities</t>
  </si>
  <si>
    <t>I.2.1</t>
  </si>
  <si>
    <t>I.2.2</t>
  </si>
  <si>
    <t>I.2.3</t>
  </si>
  <si>
    <t>I.3</t>
  </si>
  <si>
    <t>I.3.1</t>
  </si>
  <si>
    <t>I.3.2</t>
  </si>
  <si>
    <t>I.3.3</t>
  </si>
  <si>
    <t>I.4</t>
  </si>
  <si>
    <t>I.4.1</t>
  </si>
  <si>
    <t>Emissions from energy production used in power plant auxiliary operations within the city</t>
  </si>
  <si>
    <t>I.4.2</t>
  </si>
  <si>
    <t>Emissions from grid-supplied energy consumed by energy industries</t>
  </si>
  <si>
    <t>I.4.3</t>
  </si>
  <si>
    <t>Emissions from transmission and distribution losses from grid-supplied energy used in power plant auxiliary operations</t>
  </si>
  <si>
    <t>I.4.4</t>
  </si>
  <si>
    <t>Emissions from energy generation supplied to the grid</t>
  </si>
  <si>
    <t>I.5</t>
  </si>
  <si>
    <t>Agriculture, forestry and fishing activities</t>
  </si>
  <si>
    <t>I.5.1</t>
  </si>
  <si>
    <t>I.5.2</t>
  </si>
  <si>
    <t>I.5.3</t>
  </si>
  <si>
    <t>I.6</t>
  </si>
  <si>
    <t>I.6.1</t>
  </si>
  <si>
    <t>I.6.2</t>
  </si>
  <si>
    <t>I.6.3</t>
  </si>
  <si>
    <t>I.7</t>
  </si>
  <si>
    <t>I.7.1</t>
  </si>
  <si>
    <t>Emissions from fugitive emissions within the city boundary</t>
  </si>
  <si>
    <t>I.8</t>
  </si>
  <si>
    <t>I.8.1</t>
  </si>
  <si>
    <t>II</t>
  </si>
  <si>
    <t>II.1</t>
  </si>
  <si>
    <t>On-road transportation</t>
  </si>
  <si>
    <t>II.1.1</t>
  </si>
  <si>
    <t>Emissions from fuel combustion on-road transportation occurring in the city</t>
  </si>
  <si>
    <t>II.1.2</t>
  </si>
  <si>
    <t>Emissions from grid-supplied energy consumed in the city for on-road transportation</t>
  </si>
  <si>
    <t>II.1.3</t>
  </si>
  <si>
    <t>II.2</t>
  </si>
  <si>
    <t>II.2.1</t>
  </si>
  <si>
    <t>Emissions from fuel combustion for railway transportation occurring in the city</t>
  </si>
  <si>
    <t>II.2.2</t>
  </si>
  <si>
    <t>Emissions from grid-supplied energy consumed in the city for railways</t>
  </si>
  <si>
    <t>II.2.3</t>
  </si>
  <si>
    <t>II.3</t>
  </si>
  <si>
    <t>II.3.1</t>
  </si>
  <si>
    <t>Emissions from fuel combustion for waterborne navigation occurring in the city</t>
  </si>
  <si>
    <t>II.3.2</t>
  </si>
  <si>
    <t>Emissions from grid-supplied energy consumed in the city for waterborne navigation</t>
  </si>
  <si>
    <t>II.3.3</t>
  </si>
  <si>
    <t>II.4</t>
  </si>
  <si>
    <t>II.4.1</t>
  </si>
  <si>
    <t>Emissions from fuel combustion for aviation occurring in the city</t>
  </si>
  <si>
    <t>II.4.2</t>
  </si>
  <si>
    <t>Emissions from grid-supplied energy consumed in the city for aviation</t>
  </si>
  <si>
    <t>II.4.3</t>
  </si>
  <si>
    <t>II.5</t>
  </si>
  <si>
    <t>Off-road transportation</t>
  </si>
  <si>
    <t>II.5.1</t>
  </si>
  <si>
    <t>Emissions from fuel combustion for off-road transportation occurring in the city</t>
  </si>
  <si>
    <t>II.5.2</t>
  </si>
  <si>
    <t>Emissions from grid-supplied energy consumed in the city for off-road transportation</t>
  </si>
  <si>
    <t>III</t>
  </si>
  <si>
    <t xml:space="preserve">WASTE </t>
  </si>
  <si>
    <t>Solid waste disposal</t>
  </si>
  <si>
    <t>III.1.1</t>
  </si>
  <si>
    <t xml:space="preserve">Emissions from solid waste generated in the city and disposed in landfills or open dumps within the city  </t>
  </si>
  <si>
    <t>III.1.2</t>
  </si>
  <si>
    <t xml:space="preserve">Emissions from solid waste generated in the city but disposed in landfills or open dumps outside the city  </t>
  </si>
  <si>
    <t>III.1.3</t>
  </si>
  <si>
    <t xml:space="preserve">Emissions from waste generated outside the city and disposed in landfills or open dumps within the city  </t>
  </si>
  <si>
    <t>Biological treatment of waste</t>
  </si>
  <si>
    <t>III.2.1</t>
  </si>
  <si>
    <t>III.2.2</t>
  </si>
  <si>
    <t xml:space="preserve">Emissions from solid waste generated in the city but treated biologically outside of the city </t>
  </si>
  <si>
    <t>III.2.3</t>
  </si>
  <si>
    <t>Emissions from waste generated outside the city boundary but treated in the city</t>
  </si>
  <si>
    <t>Incineration and open burning</t>
  </si>
  <si>
    <t>III.3.1</t>
  </si>
  <si>
    <t xml:space="preserve">Emissions from waste generated and treated within the city  </t>
  </si>
  <si>
    <t>III.3.2</t>
  </si>
  <si>
    <t xml:space="preserve">Emissions from waste generated within but treated outside of the city </t>
  </si>
  <si>
    <t>III.3.3</t>
  </si>
  <si>
    <t>Emissions from waste generated outside the city boundary but treated within the city</t>
  </si>
  <si>
    <t>Wastewater treatment and discharge</t>
  </si>
  <si>
    <t>III.4.1</t>
  </si>
  <si>
    <t xml:space="preserve">Emissions from wastewater generated and treated within the city  </t>
  </si>
  <si>
    <t>III.4.2</t>
  </si>
  <si>
    <t xml:space="preserve">Emissions from wastewater generated within but treated outside of the city </t>
  </si>
  <si>
    <t>III.4.3</t>
  </si>
  <si>
    <t>Emissions from wastewater generated outside the city boundary but treated within the city</t>
  </si>
  <si>
    <t>IV</t>
  </si>
  <si>
    <t>INDUSTRIAL PROCESSES and PRODUCT USES (IPPU)</t>
  </si>
  <si>
    <t>IV.1</t>
  </si>
  <si>
    <t>Emissions from industrial processes occurring in the city boundary</t>
  </si>
  <si>
    <t>IV.2</t>
  </si>
  <si>
    <t>Emissions from product use occurring within the city boundary</t>
  </si>
  <si>
    <t>V</t>
  </si>
  <si>
    <t>AGRICULTURE, FORESTRY and OTHER LAND USE (AFOLU)</t>
  </si>
  <si>
    <t>V.1</t>
  </si>
  <si>
    <t>Emissions from livestock</t>
  </si>
  <si>
    <t>Emissions from land</t>
  </si>
  <si>
    <t>Emissions from aggregate sources and non-CO2 emission sources on land</t>
  </si>
  <si>
    <t>VI</t>
  </si>
  <si>
    <t>VI.1</t>
  </si>
  <si>
    <t>Other Scope 3</t>
  </si>
  <si>
    <t>III.1</t>
  </si>
  <si>
    <t>III.2</t>
  </si>
  <si>
    <t>III.3</t>
  </si>
  <si>
    <t>III.4</t>
  </si>
  <si>
    <t>V.2</t>
  </si>
  <si>
    <t>V.3</t>
  </si>
  <si>
    <t>Activity data</t>
  </si>
  <si>
    <t>Amount</t>
  </si>
  <si>
    <t>Units</t>
  </si>
  <si>
    <t>BASIC</t>
  </si>
  <si>
    <t>BASIC+</t>
  </si>
  <si>
    <t>Total</t>
  </si>
  <si>
    <t>NO</t>
  </si>
  <si>
    <t>IE</t>
  </si>
  <si>
    <t>NE</t>
  </si>
  <si>
    <t>Data quality</t>
  </si>
  <si>
    <t>L</t>
  </si>
  <si>
    <t>M</t>
  </si>
  <si>
    <t>H</t>
  </si>
  <si>
    <t>Please select</t>
  </si>
  <si>
    <t>Electricity</t>
  </si>
  <si>
    <t>Heating</t>
  </si>
  <si>
    <t>Steam</t>
  </si>
  <si>
    <t>Cooling</t>
  </si>
  <si>
    <t>Energy use (all emissions except I.4.4)</t>
  </si>
  <si>
    <t>Energy generation supplied to the grid (I.4.4)</t>
  </si>
  <si>
    <t>Motor gasoline (petrol)</t>
  </si>
  <si>
    <t>Aviation gasoline</t>
  </si>
  <si>
    <t>Jet kerosene</t>
  </si>
  <si>
    <t>Kerosene</t>
  </si>
  <si>
    <t>Biogasoline</t>
  </si>
  <si>
    <t>Ethanol</t>
  </si>
  <si>
    <t>E85</t>
  </si>
  <si>
    <t>Other biogas</t>
  </si>
  <si>
    <t>Other</t>
  </si>
  <si>
    <t>Cattle</t>
  </si>
  <si>
    <t>Buffalo</t>
  </si>
  <si>
    <t>Sheep</t>
  </si>
  <si>
    <t>Goats</t>
  </si>
  <si>
    <t>Camels</t>
  </si>
  <si>
    <t>Horses</t>
  </si>
  <si>
    <t>Mules and Asses</t>
  </si>
  <si>
    <t>Swine</t>
  </si>
  <si>
    <t>Poultry</t>
  </si>
  <si>
    <t>TRANSPORT</t>
  </si>
  <si>
    <t>IPPU</t>
  </si>
  <si>
    <t>AFOLU</t>
  </si>
  <si>
    <t>Domestic wastewater</t>
  </si>
  <si>
    <t>Industrial wastewater</t>
  </si>
  <si>
    <t>All wastewater</t>
  </si>
  <si>
    <t>Aggregate sources</t>
  </si>
  <si>
    <t>All organic waste</t>
  </si>
  <si>
    <t>C</t>
  </si>
  <si>
    <t>Harvested wood products</t>
  </si>
  <si>
    <t>Indirect N2O from managed soils</t>
  </si>
  <si>
    <t>Indirect N2O from manure management</t>
  </si>
  <si>
    <t>Coal (manufactured solid fuels)</t>
  </si>
  <si>
    <t>Coal (bituminous or black coal)</t>
  </si>
  <si>
    <t>Coal (coke)</t>
  </si>
  <si>
    <t>II.2 RAILWAYS</t>
  </si>
  <si>
    <t>II.1 ON-ROAD TRANSPORTATION</t>
  </si>
  <si>
    <t>II TRANSPORTATION</t>
  </si>
  <si>
    <t>II.3 WATERBORNE NAVIGATION</t>
  </si>
  <si>
    <t>II.4 AVIATION</t>
  </si>
  <si>
    <t>II.5 OFF-ROAD TRANSPORTATION</t>
  </si>
  <si>
    <t>I.1 RESIDENTIAL BUILDINGS</t>
  </si>
  <si>
    <t>I STATIONARY ENERGY</t>
  </si>
  <si>
    <t>I.2 COMMERCIAL AND INSTITUTIONAL BUILDINGS AND FACILITIES</t>
  </si>
  <si>
    <t>I.4 ENERGY INDUSTRIES</t>
  </si>
  <si>
    <t>I.5 AGRICULTURE, FORESTRY AND FISHING ACTIVITIES</t>
  </si>
  <si>
    <t>I.3 MANUFACTURING INDUSTRIES AND CONSTRUCTION</t>
  </si>
  <si>
    <t>I.6 NON-SPECIFIED SOURCES</t>
  </si>
  <si>
    <t>I.7 FUGITIVE EMISSIONS FROM MINING, PROCESSING, STORAGE AND TRANSPORTATION OF COAL</t>
  </si>
  <si>
    <t>I.8 FUGITIVE EMISSIONS FROM OIL AND NATURAL GAS SYSTEMS</t>
  </si>
  <si>
    <t>III WASTE</t>
  </si>
  <si>
    <t>III.1 SOLID WASTE DISPOSAL</t>
  </si>
  <si>
    <t>III.4 WASTEWATER TREATMENT AND DISCHARGE</t>
  </si>
  <si>
    <t>III.3 INCINERATION AND OPEN BURNING</t>
  </si>
  <si>
    <t>III.2 BIOLOGICAL TREATMENT OF WASTE</t>
  </si>
  <si>
    <t>Description</t>
  </si>
  <si>
    <t>GHG Emissions Source</t>
  </si>
  <si>
    <t>Activity</t>
  </si>
  <si>
    <t>IV INDUSTRIAL PROCESSES AND PRODUCT USE (IPPU)</t>
  </si>
  <si>
    <t>IV.1 INDUSTRIAL PROCESSES</t>
  </si>
  <si>
    <t>IV.2 PRODUCT USE</t>
  </si>
  <si>
    <t>V. AFOLU</t>
  </si>
  <si>
    <t>V.1 LIVESTOCK</t>
  </si>
  <si>
    <t>V.2 LAND</t>
  </si>
  <si>
    <t>V.3 AGGREGATE SOURCES</t>
  </si>
  <si>
    <t>Emissions from fuel combustion for railway transportation occuring in the city</t>
  </si>
  <si>
    <t>VI. OTHER SCOPE 3</t>
  </si>
  <si>
    <t>VI.1 OTHER SCOPE 3</t>
  </si>
  <si>
    <t>Method</t>
  </si>
  <si>
    <t>Fuel sales approach</t>
  </si>
  <si>
    <t>City-induced activity</t>
  </si>
  <si>
    <t>Resident activity</t>
  </si>
  <si>
    <t>(all II emissions)</t>
  </si>
  <si>
    <t>(all IV emissions)</t>
  </si>
  <si>
    <t xml:space="preserve">AFOLU </t>
  </si>
  <si>
    <t>(all V emissions)</t>
  </si>
  <si>
    <t>Distance travelled (vehicle)</t>
  </si>
  <si>
    <t>Distance travelled (passenger)</t>
  </si>
  <si>
    <t>Distance travelled (freight)</t>
  </si>
  <si>
    <t>Methanol</t>
  </si>
  <si>
    <t>Road</t>
  </si>
  <si>
    <t>Rail</t>
  </si>
  <si>
    <t>Water</t>
  </si>
  <si>
    <t>Air</t>
  </si>
  <si>
    <t>Stationary</t>
  </si>
  <si>
    <t>Grid</t>
  </si>
  <si>
    <t>Travel expenditure</t>
  </si>
  <si>
    <t>Travel time</t>
  </si>
  <si>
    <t>All waste</t>
  </si>
  <si>
    <t>Municipal solid waste</t>
  </si>
  <si>
    <t>Sludge</t>
  </si>
  <si>
    <t>Industrial waste</t>
  </si>
  <si>
    <t>Composting</t>
  </si>
  <si>
    <t>Anaerobic digestion</t>
  </si>
  <si>
    <t>Garden and park waste</t>
  </si>
  <si>
    <t>Food waste</t>
  </si>
  <si>
    <t xml:space="preserve"> </t>
  </si>
  <si>
    <t>All activities</t>
  </si>
  <si>
    <t>Uncontrolled combustion and burning coal dumps</t>
  </si>
  <si>
    <t>Fugitive_Coal</t>
  </si>
  <si>
    <t>Fugitive_Oil_Gas</t>
  </si>
  <si>
    <t>Waste type</t>
  </si>
  <si>
    <t>CITY INFORMATION</t>
  </si>
  <si>
    <r>
      <t>GHGs (metric tonnes CO</t>
    </r>
    <r>
      <rPr>
        <b/>
        <vertAlign val="subscript"/>
        <sz val="12"/>
        <color rgb="FFFFFFFF"/>
        <rFont val="Calibri"/>
        <family val="2"/>
      </rPr>
      <t>2</t>
    </r>
    <r>
      <rPr>
        <b/>
        <sz val="12"/>
        <color rgb="FFFFFFFF"/>
        <rFont val="Calibri"/>
        <family val="2"/>
      </rPr>
      <t>e)</t>
    </r>
  </si>
  <si>
    <r>
      <t>CO</t>
    </r>
    <r>
      <rPr>
        <b/>
        <vertAlign val="subscript"/>
        <sz val="12"/>
        <color rgb="FFFFFFFF"/>
        <rFont val="Calibri"/>
        <family val="2"/>
      </rPr>
      <t>2</t>
    </r>
  </si>
  <si>
    <r>
      <t>CH</t>
    </r>
    <r>
      <rPr>
        <b/>
        <vertAlign val="subscript"/>
        <sz val="12"/>
        <color rgb="FFFFFFFF"/>
        <rFont val="Calibri"/>
        <family val="2"/>
      </rPr>
      <t>4</t>
    </r>
  </si>
  <si>
    <r>
      <t>N</t>
    </r>
    <r>
      <rPr>
        <b/>
        <vertAlign val="subscript"/>
        <sz val="12"/>
        <color rgb="FFFFFFFF"/>
        <rFont val="Calibri"/>
        <family val="2"/>
      </rPr>
      <t>2</t>
    </r>
    <r>
      <rPr>
        <b/>
        <sz val="12"/>
        <color rgb="FFFFFFFF"/>
        <rFont val="Calibri"/>
        <family val="2"/>
      </rPr>
      <t>O</t>
    </r>
  </si>
  <si>
    <r>
      <t>Total tCO</t>
    </r>
    <r>
      <rPr>
        <b/>
        <vertAlign val="subscript"/>
        <sz val="12"/>
        <color rgb="FFFFFFFF"/>
        <rFont val="Calibri"/>
        <family val="2"/>
      </rPr>
      <t>2</t>
    </r>
    <r>
      <rPr>
        <b/>
        <sz val="12"/>
        <color rgb="FFFFFFFF"/>
        <rFont val="Calibri"/>
        <family val="2"/>
      </rPr>
      <t>e</t>
    </r>
  </si>
  <si>
    <r>
      <t>CO</t>
    </r>
    <r>
      <rPr>
        <b/>
        <vertAlign val="subscript"/>
        <sz val="12"/>
        <color rgb="FFFFFFFF"/>
        <rFont val="Calibri"/>
        <family val="2"/>
      </rPr>
      <t>2</t>
    </r>
    <r>
      <rPr>
        <b/>
        <sz val="12"/>
        <color rgb="FFFFFFFF"/>
        <rFont val="Calibri"/>
        <family val="2"/>
      </rPr>
      <t>(b)</t>
    </r>
  </si>
  <si>
    <r>
      <t xml:space="preserve">Transmission and distribution losses from grid-supplied energy </t>
    </r>
    <r>
      <rPr>
        <b/>
        <sz val="12"/>
        <color rgb="FF000000"/>
        <rFont val="Calibri"/>
        <family val="2"/>
      </rPr>
      <t>consumption</t>
    </r>
  </si>
  <si>
    <r>
      <t xml:space="preserve">Emissions from transmission and distribution losses from grid-supplied energy </t>
    </r>
    <r>
      <rPr>
        <b/>
        <sz val="12"/>
        <color rgb="FF000000"/>
        <rFont val="Calibri"/>
        <family val="2"/>
      </rPr>
      <t>consumption</t>
    </r>
  </si>
  <si>
    <t>Notation 
keys</t>
  </si>
  <si>
    <t>Emissions from solid waste generated in the city that is treated biologically in the city</t>
  </si>
  <si>
    <r>
      <t>SF</t>
    </r>
    <r>
      <rPr>
        <b/>
        <vertAlign val="subscript"/>
        <sz val="12"/>
        <color rgb="FFFFFFFF"/>
        <rFont val="Calibri"/>
        <family val="2"/>
      </rPr>
      <t>6</t>
    </r>
  </si>
  <si>
    <r>
      <t>NF</t>
    </r>
    <r>
      <rPr>
        <b/>
        <vertAlign val="subscript"/>
        <sz val="12"/>
        <color rgb="FFFFFFFF"/>
        <rFont val="Calibri"/>
        <family val="2"/>
      </rPr>
      <t>3</t>
    </r>
  </si>
  <si>
    <t>Gases</t>
  </si>
  <si>
    <t>Gas(es)</t>
  </si>
  <si>
    <t>CO2</t>
  </si>
  <si>
    <t>CH4</t>
  </si>
  <si>
    <t>N2O</t>
  </si>
  <si>
    <t>CO2, CH4</t>
  </si>
  <si>
    <t>CO2, N2O</t>
  </si>
  <si>
    <t>CH4, N2O</t>
  </si>
  <si>
    <t>CO2, CH4, N2O</t>
  </si>
  <si>
    <t>HFCs</t>
  </si>
  <si>
    <t>PFCs</t>
  </si>
  <si>
    <t>SF6</t>
  </si>
  <si>
    <t>HFCs, PFCs</t>
  </si>
  <si>
    <t>HFCs, SF6</t>
  </si>
  <si>
    <t>PFCs, SF6</t>
  </si>
  <si>
    <t>HFCs, PFCs, SF6</t>
  </si>
  <si>
    <t>NF3</t>
  </si>
  <si>
    <t>All F-gases</t>
  </si>
  <si>
    <t>All GHGs</t>
  </si>
  <si>
    <t>Other (please specify)</t>
  </si>
  <si>
    <t>Burning</t>
  </si>
  <si>
    <t>Liming</t>
  </si>
  <si>
    <t>Urea fertilization</t>
  </si>
  <si>
    <t>Direct N2O from managed soils</t>
  </si>
  <si>
    <t>Rice cultivations</t>
  </si>
  <si>
    <t>3.C and 3.D</t>
  </si>
  <si>
    <t>3.C.1</t>
  </si>
  <si>
    <t>3.C.1.a</t>
  </si>
  <si>
    <t>3.C.1.b</t>
  </si>
  <si>
    <t>3.C.1.c</t>
  </si>
  <si>
    <t>3.C.1.d</t>
  </si>
  <si>
    <t>3.C.2</t>
  </si>
  <si>
    <t>3.C.3</t>
  </si>
  <si>
    <t>3.C.4</t>
  </si>
  <si>
    <t>3.C.5</t>
  </si>
  <si>
    <t>3.C.6</t>
  </si>
  <si>
    <t>3.C.7</t>
  </si>
  <si>
    <t>3.C.8</t>
  </si>
  <si>
    <t>3.C.9</t>
  </si>
  <si>
    <t>3.C.10</t>
  </si>
  <si>
    <t>3.C.11</t>
  </si>
  <si>
    <t>3.C.12</t>
  </si>
  <si>
    <t>3.C.13</t>
  </si>
  <si>
    <t>3.D.1</t>
  </si>
  <si>
    <t>3.C.14 or 3.D.2</t>
  </si>
  <si>
    <t>2.A.1</t>
  </si>
  <si>
    <t>2.A.3</t>
  </si>
  <si>
    <t>2.B.1</t>
  </si>
  <si>
    <t>2.B.2</t>
  </si>
  <si>
    <t>2.B.3</t>
  </si>
  <si>
    <t>2.B.4</t>
  </si>
  <si>
    <t>2.B.5</t>
  </si>
  <si>
    <t>2.B.6</t>
  </si>
  <si>
    <t>2.B.7</t>
  </si>
  <si>
    <t>2.B.8</t>
  </si>
  <si>
    <t>2.B.9</t>
  </si>
  <si>
    <t>2.A.4</t>
  </si>
  <si>
    <t>2.A.5, 2.B.10 or 2.C.7</t>
  </si>
  <si>
    <t>2.C.1</t>
  </si>
  <si>
    <t>2.C.2</t>
  </si>
  <si>
    <t>2.C.3</t>
  </si>
  <si>
    <t>2.C.4</t>
  </si>
  <si>
    <t>2.C.5</t>
  </si>
  <si>
    <t>2.C.6</t>
  </si>
  <si>
    <t>2.D.1</t>
  </si>
  <si>
    <t>2.D.2</t>
  </si>
  <si>
    <t>2.D.3</t>
  </si>
  <si>
    <t>2.E.1</t>
  </si>
  <si>
    <t>2.E.2</t>
  </si>
  <si>
    <t>2.E.3</t>
  </si>
  <si>
    <t>2.E.4</t>
  </si>
  <si>
    <t>2.F.1.b</t>
  </si>
  <si>
    <t>2.F.1.a</t>
  </si>
  <si>
    <t>2.F.1</t>
  </si>
  <si>
    <t>2.F.2</t>
  </si>
  <si>
    <t>2.F.3</t>
  </si>
  <si>
    <t>2.F.4</t>
  </si>
  <si>
    <t>2.F.5</t>
  </si>
  <si>
    <t>2.D, 2.E, 2.F, 2.G</t>
  </si>
  <si>
    <t>2.G.1</t>
  </si>
  <si>
    <t>2.G.2</t>
  </si>
  <si>
    <t>2.G.3</t>
  </si>
  <si>
    <t>2.H.1</t>
  </si>
  <si>
    <t>2.H.2</t>
  </si>
  <si>
    <t>4.A</t>
  </si>
  <si>
    <t>Unmanaged waste disposal sites</t>
  </si>
  <si>
    <t>4.A.2</t>
  </si>
  <si>
    <t>Uncategorised waste disposal sites</t>
  </si>
  <si>
    <t>4.A.3</t>
  </si>
  <si>
    <t>4.A.1</t>
  </si>
  <si>
    <t>Landfill sites - Methane commitment</t>
  </si>
  <si>
    <t>Landfill sites - First order decay</t>
  </si>
  <si>
    <t>Other managed waste disposal site(s)</t>
  </si>
  <si>
    <t>Biological treatment of solid waste</t>
  </si>
  <si>
    <t>4.B</t>
  </si>
  <si>
    <t>Incineration and open burning of waste</t>
  </si>
  <si>
    <t>4.C</t>
  </si>
  <si>
    <t>4.C.1</t>
  </si>
  <si>
    <t>4.C.2</t>
  </si>
  <si>
    <t>4.D</t>
  </si>
  <si>
    <t>4.D.1</t>
  </si>
  <si>
    <t>4.D.2</t>
  </si>
  <si>
    <t>Waste types</t>
  </si>
  <si>
    <t>Organic waste types</t>
  </si>
  <si>
    <t>Waste incineration</t>
  </si>
  <si>
    <t>Open burning of waste</t>
  </si>
  <si>
    <t>2.A, 2.B, 2.C</t>
  </si>
  <si>
    <t>2.D.4, 2.E.5, 2.F.6, 2.G.4 or 2.H.3</t>
  </si>
  <si>
    <t>3.A</t>
  </si>
  <si>
    <t>3.B</t>
  </si>
  <si>
    <t>Forest land</t>
  </si>
  <si>
    <t>3.B.1</t>
  </si>
  <si>
    <t>3.B.2</t>
  </si>
  <si>
    <t>3.B.3</t>
  </si>
  <si>
    <t>3.B.4</t>
  </si>
  <si>
    <t>3.B.5</t>
  </si>
  <si>
    <t>3.B.6</t>
  </si>
  <si>
    <t>Crop land</t>
  </si>
  <si>
    <t>Grassland</t>
  </si>
  <si>
    <t>Wetlands</t>
  </si>
  <si>
    <t>Settlements</t>
  </si>
  <si>
    <t>Other land</t>
  </si>
  <si>
    <t>3.B.1.a</t>
  </si>
  <si>
    <t>3.B.1.b.i</t>
  </si>
  <si>
    <t>3.B.1.b.ii</t>
  </si>
  <si>
    <t>3.B.1.b.iii</t>
  </si>
  <si>
    <t>3.B.1.b.iv</t>
  </si>
  <si>
    <t>3.B.1.b.v</t>
  </si>
  <si>
    <t>3.B.2.a</t>
  </si>
  <si>
    <t>3.B.2.b.i</t>
  </si>
  <si>
    <t>3.B.2.b.ii</t>
  </si>
  <si>
    <t>3.B.2.b.iii</t>
  </si>
  <si>
    <t>3.B.2.b.iv</t>
  </si>
  <si>
    <t>3.B.2.b.v</t>
  </si>
  <si>
    <t>3.B.3.a</t>
  </si>
  <si>
    <t>3.B.3.b.i</t>
  </si>
  <si>
    <t>3.B.3.b.ii</t>
  </si>
  <si>
    <t>3.B.3.b.iii</t>
  </si>
  <si>
    <t>3.B.3.b.iv</t>
  </si>
  <si>
    <t>3.B.3.b.v</t>
  </si>
  <si>
    <t>3.B.4.a</t>
  </si>
  <si>
    <t>3.B.6.a</t>
  </si>
  <si>
    <t>3.B.6.b.v</t>
  </si>
  <si>
    <t>3.B.5.b.v</t>
  </si>
  <si>
    <t>3.B.5.a</t>
  </si>
  <si>
    <t>3.B.5.b.iv</t>
  </si>
  <si>
    <t>3.B.5.b.iii</t>
  </si>
  <si>
    <t>3.B.5.b.i</t>
  </si>
  <si>
    <t>3.B.6.b.i</t>
  </si>
  <si>
    <t>3.B.5.b.ii</t>
  </si>
  <si>
    <t>3.B.6.b.ii</t>
  </si>
  <si>
    <t>3.B.6.b.iii</t>
  </si>
  <si>
    <t>3.B.6.b.iv</t>
  </si>
  <si>
    <t>3.B.4.b</t>
  </si>
  <si>
    <t>3.A.1.a/3.A.2.a</t>
  </si>
  <si>
    <t>3.A.1.b/3.A.2.b</t>
  </si>
  <si>
    <t>3.A.1.c/3.A.2.c</t>
  </si>
  <si>
    <t>3.A.1.d/3.A.2.d</t>
  </si>
  <si>
    <t>3.A.1.e/3.A.2.e</t>
  </si>
  <si>
    <t>3.A.1.f/3.A.2.f</t>
  </si>
  <si>
    <t>3.A.1.g/3.A.2.g</t>
  </si>
  <si>
    <t>3.A.1.h/3.A.2.h</t>
  </si>
  <si>
    <t>3.A.2.i</t>
  </si>
  <si>
    <t>3.A.1.J/3.A.2.J</t>
  </si>
  <si>
    <t>1.A.3.B</t>
  </si>
  <si>
    <t>1.A.3.C</t>
  </si>
  <si>
    <t>1.A.3.D</t>
  </si>
  <si>
    <t>1.A.3.A</t>
  </si>
  <si>
    <t>1.B.1.a.i.3</t>
  </si>
  <si>
    <t>1.B.1.b</t>
  </si>
  <si>
    <t>1.B.1</t>
  </si>
  <si>
    <t>1.B.2</t>
  </si>
  <si>
    <t>2.A</t>
  </si>
  <si>
    <t>Mineral industry</t>
  </si>
  <si>
    <t xml:space="preserve">  Cement production</t>
  </si>
  <si>
    <t xml:space="preserve">  Lime production</t>
  </si>
  <si>
    <t>Chemical industry</t>
  </si>
  <si>
    <t>2.B</t>
  </si>
  <si>
    <t xml:space="preserve">  Ammonia production</t>
  </si>
  <si>
    <t xml:space="preserve">  Glass production</t>
  </si>
  <si>
    <t xml:space="preserve">  Other Process Uses of Carbonates</t>
  </si>
  <si>
    <t xml:space="preserve">  Nitric acid production</t>
  </si>
  <si>
    <t>Metal industry</t>
  </si>
  <si>
    <t>2.C</t>
  </si>
  <si>
    <t xml:space="preserve">  Iron and steel production</t>
  </si>
  <si>
    <t xml:space="preserve">  Ferroalloy production</t>
  </si>
  <si>
    <t xml:space="preserve">  Aluminium production</t>
  </si>
  <si>
    <t xml:space="preserve">  Magnesium production</t>
  </si>
  <si>
    <t xml:space="preserve">  Adipic acid production</t>
  </si>
  <si>
    <t xml:space="preserve">  Caprolactam production</t>
  </si>
  <si>
    <t xml:space="preserve">  Carbide production</t>
  </si>
  <si>
    <t xml:space="preserve">  Titanium dioxide production</t>
  </si>
  <si>
    <t xml:space="preserve">  Soda ash production</t>
  </si>
  <si>
    <t xml:space="preserve">  Petrochemical and black carbon production</t>
  </si>
  <si>
    <t xml:space="preserve">  Fluorochemical production</t>
  </si>
  <si>
    <t xml:space="preserve">  Lead production</t>
  </si>
  <si>
    <t xml:space="preserve">  Zinc production</t>
  </si>
  <si>
    <t xml:space="preserve">  Lubricant use</t>
  </si>
  <si>
    <t xml:space="preserve">  Parraffin wax use</t>
  </si>
  <si>
    <t xml:space="preserve">  Solvent use</t>
  </si>
  <si>
    <t>2.E</t>
  </si>
  <si>
    <t>2.D</t>
  </si>
  <si>
    <t>2.F</t>
  </si>
  <si>
    <t>2.G</t>
  </si>
  <si>
    <t>2.H</t>
  </si>
  <si>
    <t xml:space="preserve">  Pulp and paper industry</t>
  </si>
  <si>
    <t xml:space="preserve">  Food and beverages industry</t>
  </si>
  <si>
    <t xml:space="preserve">  N2O from product uses</t>
  </si>
  <si>
    <t xml:space="preserve">  SF6 and PFCs from other product uses</t>
  </si>
  <si>
    <t xml:space="preserve">  Electrical equipment</t>
  </si>
  <si>
    <t>Electronics industry</t>
  </si>
  <si>
    <t xml:space="preserve">  Refrigeration and air conditioning</t>
  </si>
  <si>
    <t xml:space="preserve">    Refrigeration and stationary air conditioning</t>
  </si>
  <si>
    <t xml:space="preserve">    Mobile air conditioning</t>
  </si>
  <si>
    <t xml:space="preserve">  Foam blowing agents</t>
  </si>
  <si>
    <t xml:space="preserve">  Fire protection</t>
  </si>
  <si>
    <t xml:space="preserve">  Aerosols</t>
  </si>
  <si>
    <t xml:space="preserve">  Solvents</t>
  </si>
  <si>
    <t xml:space="preserve">  Integrated circuit or semiconductor</t>
  </si>
  <si>
    <t xml:space="preserve">  TFT flat panel display</t>
  </si>
  <si>
    <t xml:space="preserve">  Photovoltaics</t>
  </si>
  <si>
    <t xml:space="preserve">  Heat transfer fluid</t>
  </si>
  <si>
    <t>Other product manufacture and use</t>
  </si>
  <si>
    <t>Non-energy products from fuels and solvent use</t>
  </si>
  <si>
    <t>Product uses as substitutes for ozone depleting substances</t>
  </si>
  <si>
    <t xml:space="preserve">  Burning in Forest land</t>
  </si>
  <si>
    <t xml:space="preserve">  Burning in Cropland</t>
  </si>
  <si>
    <t xml:space="preserve">  Burning in Grassland</t>
  </si>
  <si>
    <t xml:space="preserve">  Burning in All Other land</t>
  </si>
  <si>
    <t xml:space="preserve">  Forest land remaining Forest land</t>
  </si>
  <si>
    <t xml:space="preserve">  Crop land converted to Forest land</t>
  </si>
  <si>
    <t xml:space="preserve">  Grassland converted to Forest land</t>
  </si>
  <si>
    <t xml:space="preserve">  Settlements converted to Forest land</t>
  </si>
  <si>
    <t xml:space="preserve">  Wetlands converted to Forest land</t>
  </si>
  <si>
    <t xml:space="preserve">  Other land converted to Forest land</t>
  </si>
  <si>
    <t xml:space="preserve">  Crop land remaining Crop land</t>
  </si>
  <si>
    <t xml:space="preserve">  Forest land converted to Crop land</t>
  </si>
  <si>
    <t xml:space="preserve">  Grassland converted to Crop land</t>
  </si>
  <si>
    <t xml:space="preserve">  Settlements converted to Crop land</t>
  </si>
  <si>
    <t xml:space="preserve">  Wetlands converted to Crop land</t>
  </si>
  <si>
    <t xml:space="preserve">  Other land converted to Crop land</t>
  </si>
  <si>
    <t xml:space="preserve">  Grassland remaining Grassland</t>
  </si>
  <si>
    <t xml:space="preserve">  Forest land converted to Grassland</t>
  </si>
  <si>
    <t xml:space="preserve">  Crop land converted to Grassland</t>
  </si>
  <si>
    <t xml:space="preserve">  Wetlands converted to Grassland</t>
  </si>
  <si>
    <t xml:space="preserve">  Settlements converted to Grassland</t>
  </si>
  <si>
    <t xml:space="preserve">  Other land converted to Grassland</t>
  </si>
  <si>
    <t xml:space="preserve">  Wetlands remaining Wetlands</t>
  </si>
  <si>
    <t xml:space="preserve">  Forest land converted to Wetlands</t>
  </si>
  <si>
    <t xml:space="preserve">  Crop land converted to Wetlands</t>
  </si>
  <si>
    <t xml:space="preserve">  Grassland converted to Wetlands</t>
  </si>
  <si>
    <t xml:space="preserve">  Settlements converted to Wetlands</t>
  </si>
  <si>
    <t xml:space="preserve">  Other land converted to Wetlands</t>
  </si>
  <si>
    <t xml:space="preserve">  Settlements remaining Settlements</t>
  </si>
  <si>
    <t xml:space="preserve">  Forest land converted to Settlements</t>
  </si>
  <si>
    <t xml:space="preserve">  Crop land converted to Settlements</t>
  </si>
  <si>
    <t xml:space="preserve">  Grassland converted to Settlements</t>
  </si>
  <si>
    <t xml:space="preserve">  Wetlands converted to Settlements</t>
  </si>
  <si>
    <t xml:space="preserve">  Other land converted to Settlements</t>
  </si>
  <si>
    <t xml:space="preserve">  Other land remaining Other land</t>
  </si>
  <si>
    <t xml:space="preserve">  Forest land converted to Other land</t>
  </si>
  <si>
    <t xml:space="preserve">  Crop land converted to Other land</t>
  </si>
  <si>
    <t xml:space="preserve">  Grassland converted to Other land</t>
  </si>
  <si>
    <t xml:space="preserve">  Wetlands converted to Other land</t>
  </si>
  <si>
    <t xml:space="preserve">  Settlements converted to Other land</t>
  </si>
  <si>
    <t>CH4 from drained organic soils</t>
  </si>
  <si>
    <t>CH4 from drainage ditches on organic soils</t>
  </si>
  <si>
    <t>CH4 from rewetting of organic soils</t>
  </si>
  <si>
    <t>CH4 emissions from rewetting of mangroves and tidal marshes</t>
  </si>
  <si>
    <t>N2O emissions from aquaculture</t>
  </si>
  <si>
    <t>CH4 emissions from rewetted and created wetlands on inland wetland mineral soils</t>
  </si>
  <si>
    <t>All livestock</t>
  </si>
  <si>
    <t>All land</t>
  </si>
  <si>
    <t>All product use</t>
  </si>
  <si>
    <t>All industrial processes</t>
  </si>
  <si>
    <t>Jet gasoline</t>
  </si>
  <si>
    <t xml:space="preserve">Kerosene </t>
  </si>
  <si>
    <t xml:space="preserve">Charcoal </t>
  </si>
  <si>
    <t xml:space="preserve">Biogasoline </t>
  </si>
  <si>
    <t xml:space="preserve">Biodiesels </t>
  </si>
  <si>
    <t xml:space="preserve">Sewage sludge </t>
  </si>
  <si>
    <t xml:space="preserve">Other liquid biofuels </t>
  </si>
  <si>
    <t xml:space="preserve">Landfill gas </t>
  </si>
  <si>
    <t xml:space="preserve">Sludge gas </t>
  </si>
  <si>
    <t xml:space="preserve">Other biogas </t>
  </si>
  <si>
    <t xml:space="preserve">Municipal wastes (biomass fraction) </t>
  </si>
  <si>
    <t xml:space="preserve">Wood or wood waste </t>
  </si>
  <si>
    <t xml:space="preserve">Municipal wastes (non-biomass fraction) </t>
  </si>
  <si>
    <t xml:space="preserve">Lubricants </t>
  </si>
  <si>
    <t xml:space="preserve">Bitumen </t>
  </si>
  <si>
    <t xml:space="preserve">Naphtha </t>
  </si>
  <si>
    <t xml:space="preserve">Residual fuel oil </t>
  </si>
  <si>
    <t>Gas (natural gas)</t>
  </si>
  <si>
    <t xml:space="preserve">Petroleum coke </t>
  </si>
  <si>
    <t>Electricity (CHP)</t>
  </si>
  <si>
    <t>Heating (CHP)</t>
  </si>
  <si>
    <t>Steam (CHP)</t>
  </si>
  <si>
    <t>Cooling (CHP)</t>
  </si>
  <si>
    <t xml:space="preserve">Municipal wastes (all) </t>
  </si>
  <si>
    <t>Energy Industries</t>
  </si>
  <si>
    <t>Electricity generation</t>
  </si>
  <si>
    <t>1.A.1.a.i</t>
  </si>
  <si>
    <t>1.A.1.a</t>
  </si>
  <si>
    <t>Heat plants</t>
  </si>
  <si>
    <t>1.A.1.a.ii</t>
  </si>
  <si>
    <t>1.A.1.a.iii</t>
  </si>
  <si>
    <t>Combined heat and power generation (CHP)</t>
  </si>
  <si>
    <t>Diesel oil</t>
  </si>
  <si>
    <t>Other liquid biofuels</t>
  </si>
  <si>
    <t>Biodiesels</t>
  </si>
  <si>
    <t>Liquefied petroleum gases (LPG)</t>
  </si>
  <si>
    <t>Liquefied natural gas (LNG)</t>
  </si>
  <si>
    <t>Compressed natural gas (CNG)</t>
  </si>
  <si>
    <t>Liquefied petroleum gas (LPG)</t>
  </si>
  <si>
    <t xml:space="preserve">Gas oil </t>
  </si>
  <si>
    <t xml:space="preserve">Diesel oil </t>
  </si>
  <si>
    <t xml:space="preserve">Crude oil </t>
  </si>
  <si>
    <t>I. MACRO</t>
  </si>
  <si>
    <t>T&amp;D losses from grid-supplied energy consumption</t>
  </si>
  <si>
    <t>Name of city</t>
  </si>
  <si>
    <t>Country</t>
  </si>
  <si>
    <t>Climate</t>
  </si>
  <si>
    <t>Other information</t>
  </si>
  <si>
    <t>Emissions from transboundary journeys occurring outside the city, and T&amp;D losses from grid-supplied energy consumption</t>
  </si>
  <si>
    <t>II.5.3</t>
  </si>
  <si>
    <t>II. MACRO</t>
  </si>
  <si>
    <t>III. MACRO</t>
  </si>
  <si>
    <t>IV. MACRO</t>
  </si>
  <si>
    <t>V. MACRO</t>
  </si>
  <si>
    <t>VI. MACRO</t>
  </si>
  <si>
    <t>Goods and services</t>
  </si>
  <si>
    <t>Upstream emissions from energy use</t>
  </si>
  <si>
    <t>Food</t>
  </si>
  <si>
    <t>Construction</t>
  </si>
  <si>
    <t>Oil</t>
  </si>
  <si>
    <t>1.B.2.a</t>
  </si>
  <si>
    <t xml:space="preserve">  Venting</t>
  </si>
  <si>
    <t xml:space="preserve">  Flaring</t>
  </si>
  <si>
    <t>1.B.2.a.i</t>
  </si>
  <si>
    <t>1.B.2.a.ii</t>
  </si>
  <si>
    <t>Natural gas</t>
  </si>
  <si>
    <t>1.B.2.b.i</t>
  </si>
  <si>
    <t>1.B.2.b.ii</t>
  </si>
  <si>
    <t>1.B.2.b</t>
  </si>
  <si>
    <t xml:space="preserve">  Exploration</t>
  </si>
  <si>
    <t xml:space="preserve">  Production and Upgrading</t>
  </si>
  <si>
    <t xml:space="preserve">  Transport</t>
  </si>
  <si>
    <t xml:space="preserve">  Refining</t>
  </si>
  <si>
    <t xml:space="preserve">  Distribution of oil products</t>
  </si>
  <si>
    <t xml:space="preserve">  Other</t>
  </si>
  <si>
    <t>1.B.2.a.iii.6</t>
  </si>
  <si>
    <t>1.B.2.a.iii.1</t>
  </si>
  <si>
    <t>1.B.2.a.iii.2</t>
  </si>
  <si>
    <t>1.B.2.a.iii.3</t>
  </si>
  <si>
    <t>1.B.2.a.iii.4</t>
  </si>
  <si>
    <t>1.B.2.a.iii.5</t>
  </si>
  <si>
    <t>1.B.2.b.iii.1</t>
  </si>
  <si>
    <t>1.B.2.b.iii.2</t>
  </si>
  <si>
    <t>1.B.2.b.iii.3</t>
  </si>
  <si>
    <t>1.B.2.b.iii.4</t>
  </si>
  <si>
    <t>1.B.2.b.iii.5</t>
  </si>
  <si>
    <t>1.B.2.b.iii.6</t>
  </si>
  <si>
    <t xml:space="preserve">  Production</t>
  </si>
  <si>
    <t xml:space="preserve">  Processing</t>
  </si>
  <si>
    <t xml:space="preserve">  Transmission and storage</t>
  </si>
  <si>
    <t xml:space="preserve">  Distribution</t>
  </si>
  <si>
    <t>1.B.1.a.i.1</t>
  </si>
  <si>
    <t>1.B.1.a.ii.1</t>
  </si>
  <si>
    <t>1.B.1.a.ii</t>
  </si>
  <si>
    <t>1.B.1.a.i</t>
  </si>
  <si>
    <t>1.B.1.a</t>
  </si>
  <si>
    <t>Coal mining and handling</t>
  </si>
  <si>
    <t xml:space="preserve">  Underground mines</t>
  </si>
  <si>
    <t xml:space="preserve">    Mining</t>
  </si>
  <si>
    <t xml:space="preserve">    Post-mining seam gas emissions</t>
  </si>
  <si>
    <t>1.B.1.a.i.2</t>
  </si>
  <si>
    <t>1.B.1.a.i.4</t>
  </si>
  <si>
    <t xml:space="preserve">    Flaring of drained CH4 or conversion of CH4 to CO2</t>
  </si>
  <si>
    <t xml:space="preserve">  Surface mines</t>
  </si>
  <si>
    <t>1.B.1.a.ii.2</t>
  </si>
  <si>
    <t>1.B.1.c</t>
  </si>
  <si>
    <t>Solid fuel transformation</t>
  </si>
  <si>
    <t xml:space="preserve">    Abandoned underground mines</t>
  </si>
  <si>
    <t>INDUSTRIAL PROCESSES and PRODUCT USES</t>
  </si>
  <si>
    <t>AGRICULTURE, FORESTRY and OTHER LAND USE</t>
  </si>
  <si>
    <t>SUB-TOTAL</t>
  </si>
  <si>
    <t>TOTAL</t>
  </si>
  <si>
    <t>Boundary</t>
  </si>
  <si>
    <t>Economy</t>
  </si>
  <si>
    <t xml:space="preserve">Administrative boundary of a local government </t>
  </si>
  <si>
    <t>Combination of administrative divisions</t>
  </si>
  <si>
    <t>A metropolitan area</t>
  </si>
  <si>
    <t>Industry &amp; Manufacturing</t>
  </si>
  <si>
    <t>Agriculture &amp; Fishing</t>
  </si>
  <si>
    <t>Services</t>
  </si>
  <si>
    <t>Tropical rainforest</t>
  </si>
  <si>
    <t>Tropical monsoon</t>
  </si>
  <si>
    <t>Tropical savannah</t>
  </si>
  <si>
    <t>Dry desert</t>
  </si>
  <si>
    <t>Temperate, dry summer (Mediterranean)</t>
  </si>
  <si>
    <t>Cold, dry summer</t>
  </si>
  <si>
    <t>Cold, dry winter</t>
  </si>
  <si>
    <t>Cold, hot summer</t>
  </si>
  <si>
    <t>Cold, warm summer</t>
  </si>
  <si>
    <t>Cold, cold summer</t>
  </si>
  <si>
    <t>Cold, very cold winter</t>
  </si>
  <si>
    <t>Polar, tundra</t>
  </si>
  <si>
    <t>Polar, frost</t>
  </si>
  <si>
    <t>Temperate, dry winter</t>
  </si>
  <si>
    <t>Temperate, hot summer</t>
  </si>
  <si>
    <t>Temperate, warm summer</t>
  </si>
  <si>
    <t>Temperate, cold summer</t>
  </si>
  <si>
    <t>Dry steppe (hot)</t>
  </si>
  <si>
    <t>Dry steppe (cold)</t>
  </si>
  <si>
    <t>Geographic boundary (select from list of values)</t>
  </si>
  <si>
    <t>Climate (select from list of values)</t>
  </si>
  <si>
    <t>Predominant type of economy (select from list of values)</t>
  </si>
  <si>
    <t>III.1.1/2</t>
  </si>
  <si>
    <t>III.2.1/2</t>
  </si>
  <si>
    <t>III.3.1/2</t>
  </si>
  <si>
    <t>III.4.1/2</t>
  </si>
  <si>
    <t>I.4.1/2/3</t>
  </si>
  <si>
    <t>(all VI emissions)</t>
  </si>
  <si>
    <t>Waste enerated outside city (III.X.3)</t>
  </si>
  <si>
    <t>Waste generated in the city (III.X.1 and III.X.2)</t>
  </si>
  <si>
    <t>(city induced framework only)</t>
  </si>
  <si>
    <t>GPC GHG Overview</t>
  </si>
  <si>
    <r>
      <t>Total GHGs (metric tonnes CO</t>
    </r>
    <r>
      <rPr>
        <b/>
        <vertAlign val="subscript"/>
        <sz val="12"/>
        <color rgb="FFFFFFFF"/>
        <rFont val="Calibri"/>
        <family val="2"/>
      </rPr>
      <t>2</t>
    </r>
    <r>
      <rPr>
        <b/>
        <sz val="12"/>
        <color rgb="FFFFFFFF"/>
        <rFont val="Calibri"/>
        <family val="2"/>
      </rPr>
      <t>e)</t>
    </r>
  </si>
  <si>
    <t>DATA SOURCES</t>
  </si>
  <si>
    <t>Data</t>
  </si>
  <si>
    <t>Source</t>
  </si>
  <si>
    <t>Reporting period</t>
  </si>
  <si>
    <t>Frequency</t>
  </si>
  <si>
    <t>Release date</t>
  </si>
  <si>
    <t>Available from</t>
  </si>
  <si>
    <t>Latest year</t>
  </si>
  <si>
    <t>Link</t>
  </si>
  <si>
    <t>EMISSION FACTORS</t>
  </si>
  <si>
    <t>Scale</t>
  </si>
  <si>
    <t>Year</t>
  </si>
  <si>
    <t>Reporting Period</t>
  </si>
  <si>
    <t>Annual</t>
  </si>
  <si>
    <t>Every 2 years</t>
  </si>
  <si>
    <t>Every 3 years</t>
  </si>
  <si>
    <t>Every 4 years</t>
  </si>
  <si>
    <t>Every 5 years</t>
  </si>
  <si>
    <t>As required</t>
  </si>
  <si>
    <t>Once</t>
  </si>
  <si>
    <t>Local</t>
  </si>
  <si>
    <t>Metro</t>
  </si>
  <si>
    <t>Regional</t>
  </si>
  <si>
    <t>National</t>
  </si>
  <si>
    <t>International</t>
  </si>
  <si>
    <t>VII. MACRO</t>
  </si>
  <si>
    <t>VIII. MACRO</t>
  </si>
  <si>
    <t>Financial year</t>
  </si>
  <si>
    <t>Calendar year</t>
  </si>
  <si>
    <t>Emission factors</t>
  </si>
  <si>
    <t>Emissions from energy used in power plant auxiliary operations within the city</t>
  </si>
  <si>
    <t>Emissions from grid-supplied energy consumed  in power plant auxiliary operations within the city</t>
  </si>
  <si>
    <t>INVENTORY YEAR:</t>
  </si>
  <si>
    <t>BOUNDARY:</t>
  </si>
  <si>
    <t>NAME OF CITY:</t>
  </si>
  <si>
    <t>POPULATION:</t>
  </si>
  <si>
    <t>GDP (US$ bn):</t>
  </si>
  <si>
    <t>LAND AREA (km2):</t>
  </si>
  <si>
    <t>GHG Emissions Source (By Sector)</t>
  </si>
  <si>
    <t>Total GHGs (metric tonnes CO2e)</t>
  </si>
  <si>
    <t>GPC GHG Summary Graphs</t>
  </si>
  <si>
    <t>Stationary energy</t>
  </si>
  <si>
    <t>Transportation</t>
  </si>
  <si>
    <t>Waste</t>
  </si>
  <si>
    <t>Other scope 3</t>
  </si>
  <si>
    <t xml:space="preserve">                       BASIC                                                     BASIC+                                      BASIC+ Other scope 3</t>
  </si>
  <si>
    <t>BASIC+ Other scope 3</t>
  </si>
  <si>
    <t>BASIC/BASIC+ by subsector and scope</t>
  </si>
  <si>
    <t>Residential</t>
  </si>
  <si>
    <t>Commercial / institutional</t>
  </si>
  <si>
    <t>Manufacturing / construction</t>
  </si>
  <si>
    <t>Agriculture</t>
  </si>
  <si>
    <t>Fugitive emissions (coal)</t>
  </si>
  <si>
    <t>Fugitive emissions (oil and gas)</t>
  </si>
  <si>
    <t>Waterborne</t>
  </si>
  <si>
    <t>Solid waste</t>
  </si>
  <si>
    <t>Biological waste</t>
  </si>
  <si>
    <t>Incineraton</t>
  </si>
  <si>
    <t>Wastewater</t>
  </si>
  <si>
    <t>Subsector</t>
  </si>
  <si>
    <t>By scope</t>
  </si>
  <si>
    <t>Other territorial</t>
  </si>
  <si>
    <t>BASIC+ (additional)</t>
  </si>
  <si>
    <t>GPC GHG Summary Tables</t>
  </si>
  <si>
    <t>GWP</t>
  </si>
  <si>
    <t>Reference</t>
  </si>
  <si>
    <t>Emission factor</t>
  </si>
  <si>
    <t>Description of methods used</t>
  </si>
  <si>
    <t>Multiplier</t>
  </si>
  <si>
    <t>kg</t>
  </si>
  <si>
    <t>GPC</t>
  </si>
  <si>
    <t>INVENTORY INFORMATION</t>
  </si>
  <si>
    <t>NOTATION KEYS</t>
  </si>
  <si>
    <t>Comments on change in total emissions since last reported inventory</t>
  </si>
  <si>
    <t>Audit</t>
  </si>
  <si>
    <t>GPC reporting level (select from list)</t>
  </si>
  <si>
    <t>Greenhouse gases included in inventory (select from list)</t>
  </si>
  <si>
    <t>Global Warming Potential (select relevant IPCC AR from list)</t>
  </si>
  <si>
    <t>Relevant local, regional and national regulations</t>
  </si>
  <si>
    <t>Has the inventory been audited or verified by a third party?</t>
  </si>
  <si>
    <t>Inventory</t>
  </si>
  <si>
    <t>Information</t>
  </si>
  <si>
    <t>Yes - audited</t>
  </si>
  <si>
    <t>Yes - verified</t>
  </si>
  <si>
    <t>No</t>
  </si>
  <si>
    <t>IPCC Fifth Assessment Report (2013)</t>
  </si>
  <si>
    <t>IPCC Second Assessment Report (1995)</t>
  </si>
  <si>
    <t>IPCC Third Assessment Report (2001)</t>
  </si>
  <si>
    <t>IPCC Fourth Assessment Report (2007)</t>
  </si>
  <si>
    <t>Reference(s)</t>
  </si>
  <si>
    <t>Nitrous Oxide</t>
  </si>
  <si>
    <t>Methane</t>
  </si>
  <si>
    <t>Carbon Dioxide</t>
  </si>
  <si>
    <t>IPCC Assessment Report</t>
  </si>
  <si>
    <t xml:space="preserve">Greenhouse gas </t>
  </si>
  <si>
    <t>Formula</t>
  </si>
  <si>
    <t>Name</t>
  </si>
  <si>
    <t>Fuel type or activity</t>
  </si>
  <si>
    <t>A more complete list of conversions is available at www.onlineconversion.com</t>
  </si>
  <si>
    <t>From</t>
  </si>
  <si>
    <t>To</t>
  </si>
  <si>
    <t>Full references to the IPCC Assessment Reports are provided in the GPC</t>
  </si>
  <si>
    <t>Geographic / Territorial</t>
  </si>
  <si>
    <t>Quantity of energy
(kWh, MW h, BTU , etc.)</t>
  </si>
  <si>
    <t>Emission factor conveyed
by the instrument</t>
  </si>
  <si>
    <t>Total GHG emissions (tCO2e)</t>
  </si>
  <si>
    <t>TOTAL market-based scope 2 emissions (in tCO2e)</t>
  </si>
  <si>
    <t>Offset credits generated within the
 geographic boundary and sold</t>
  </si>
  <si>
    <t>Offset credits purchased from outside the geographic 
boundary (e.g. to meet a city reduction goal)</t>
  </si>
  <si>
    <t>If outside boundary, percentage
of ownership by city?</t>
  </si>
  <si>
    <t>Located in geographic boundary?</t>
  </si>
  <si>
    <t>Total annual production of grid-delivered energy</t>
  </si>
  <si>
    <t>Technology type</t>
  </si>
  <si>
    <t>Contractual instrument or program type</t>
  </si>
  <si>
    <t>B. INVENTORY INFORMATION</t>
  </si>
  <si>
    <t>Name of source</t>
  </si>
  <si>
    <t>Provider</t>
  </si>
  <si>
    <t>www.ipcc-nggip.iges.or.jp/EFDB/main.php</t>
  </si>
  <si>
    <t>Data quality explanation (optional)</t>
  </si>
  <si>
    <t>Fugitive emissions from oil and natural gas systems within the city boundary</t>
  </si>
  <si>
    <t>Emissions from transboundary journeys occurring outside the city, and T and D losses from grid-supplied energy use</t>
  </si>
  <si>
    <t>Fugitive emissions from mining, processing, storage, and transportation of coal within the city boundary</t>
  </si>
  <si>
    <t>Average emission factor for national electricity grid</t>
  </si>
  <si>
    <t>Ministry of the Environment</t>
  </si>
  <si>
    <t>April</t>
  </si>
  <si>
    <t>National emissions factor database</t>
  </si>
  <si>
    <t>Use this table to record all the data sources used to compile the inventory. References provided in column C may be used to select the relevant data sources in the emission factors and sector tabs.</t>
  </si>
  <si>
    <t>Date</t>
  </si>
  <si>
    <t>Version</t>
  </si>
  <si>
    <t>Compiler name</t>
  </si>
  <si>
    <t>Department</t>
  </si>
  <si>
    <t>Contact information</t>
  </si>
  <si>
    <t>Links</t>
  </si>
  <si>
    <t>SECTOR TABS</t>
  </si>
  <si>
    <t>5AR</t>
  </si>
  <si>
    <t>4AR</t>
  </si>
  <si>
    <t>3AR</t>
  </si>
  <si>
    <t>2AR</t>
  </si>
  <si>
    <t>GPW</t>
  </si>
  <si>
    <t>Activity data multiplier</t>
  </si>
  <si>
    <r>
      <t>Total CO</t>
    </r>
    <r>
      <rPr>
        <b/>
        <vertAlign val="subscript"/>
        <sz val="12"/>
        <color rgb="FFFFFFFF"/>
        <rFont val="Calibri"/>
        <family val="2"/>
      </rPr>
      <t>2</t>
    </r>
    <r>
      <rPr>
        <b/>
        <sz val="12"/>
        <color rgb="FFFFFFFF"/>
        <rFont val="Calibri"/>
        <family val="2"/>
      </rPr>
      <t>e</t>
    </r>
  </si>
  <si>
    <t>CF4</t>
  </si>
  <si>
    <t>C2F6</t>
  </si>
  <si>
    <t>CHF3</t>
  </si>
  <si>
    <t>CH2F2</t>
  </si>
  <si>
    <t>CH3F</t>
  </si>
  <si>
    <t>C2HF5</t>
  </si>
  <si>
    <t>C2H2F4</t>
  </si>
  <si>
    <t>CH2FCF3</t>
  </si>
  <si>
    <t>C2H3F3</t>
  </si>
  <si>
    <t>C2H4F3</t>
  </si>
  <si>
    <t>C2H4F2</t>
  </si>
  <si>
    <t>C3HF7</t>
  </si>
  <si>
    <t>C3H2F6</t>
  </si>
  <si>
    <t>C3H3F5</t>
  </si>
  <si>
    <t>Sulphur hexafluoride</t>
  </si>
  <si>
    <t>Nitrogen trifluoride</t>
  </si>
  <si>
    <t>Planned improvements</t>
  </si>
  <si>
    <t>D1. Scope 2 emissions based on market-based method</t>
  </si>
  <si>
    <t>D2. Offset credit transactions</t>
  </si>
  <si>
    <t>D3. Renewable energy production or investments</t>
  </si>
  <si>
    <t>C. INVENTORY COMPILER</t>
  </si>
  <si>
    <t>Description of overall methodology and tools used</t>
  </si>
  <si>
    <t>Land area (km2) within city boundary</t>
  </si>
  <si>
    <t>Resident population within city boundary</t>
  </si>
  <si>
    <t>GDP (US$) of economic activity within city boundary</t>
  </si>
  <si>
    <r>
      <t xml:space="preserve">A. INVENTORY BOUNDARY </t>
    </r>
    <r>
      <rPr>
        <sz val="14"/>
        <color theme="1"/>
        <rFont val="Calibri"/>
        <family val="2"/>
        <scheme val="minor"/>
      </rPr>
      <t>(GPC table 4.1 page 40)</t>
    </r>
  </si>
  <si>
    <t>Carbon tetrafluoride</t>
  </si>
  <si>
    <t>Hexafluoroethane</t>
  </si>
  <si>
    <t>HFC-23</t>
  </si>
  <si>
    <t>HFC-32</t>
  </si>
  <si>
    <t>HFC-41</t>
  </si>
  <si>
    <t>HFC-125</t>
  </si>
  <si>
    <t>HFC-134</t>
  </si>
  <si>
    <t>HFC-134a</t>
  </si>
  <si>
    <t>HFC-143</t>
  </si>
  <si>
    <t>HFC-143a</t>
  </si>
  <si>
    <t>HFC-152a</t>
  </si>
  <si>
    <t>HFC-227ea</t>
  </si>
  <si>
    <t>HFC-236fa</t>
  </si>
  <si>
    <t>HFC-245ca</t>
  </si>
  <si>
    <t>TJ</t>
  </si>
  <si>
    <t>Gcal</t>
  </si>
  <si>
    <t>Mtoe</t>
  </si>
  <si>
    <t>GWh</t>
  </si>
  <si>
    <t>Multiply by:</t>
  </si>
  <si>
    <t>Mbtu</t>
  </si>
  <si>
    <t>Source: International Energy Agency: www.iea.org/newsroomandevents/resources/conversiontables</t>
  </si>
  <si>
    <t>General conversion factors for energy</t>
  </si>
  <si>
    <t>General conversion factors for mass</t>
  </si>
  <si>
    <t>General conversion factors for volume</t>
  </si>
  <si>
    <t>Kilogramme (kg)</t>
  </si>
  <si>
    <t>Long ton (lt)</t>
  </si>
  <si>
    <t>Short ton (st)</t>
  </si>
  <si>
    <t>Pound (lb)</t>
  </si>
  <si>
    <t>t</t>
  </si>
  <si>
    <t>lt</t>
  </si>
  <si>
    <t>st</t>
  </si>
  <si>
    <t>lb</t>
  </si>
  <si>
    <t>Gigawatt hours (GWh)</t>
  </si>
  <si>
    <t>Terajoules(TJ)</t>
  </si>
  <si>
    <t>Giga calories (Gcal)</t>
  </si>
  <si>
    <t>Metric tonne (t)</t>
  </si>
  <si>
    <t>Litre (l)</t>
  </si>
  <si>
    <t>Cubic metre (m3)</t>
  </si>
  <si>
    <t>Cubic foot (ft3)</t>
  </si>
  <si>
    <t>Barrel (bbl)</t>
  </si>
  <si>
    <t>UK gallon (gal)</t>
  </si>
  <si>
    <t>US gallon (gal)</t>
  </si>
  <si>
    <t>l</t>
  </si>
  <si>
    <t>m3</t>
  </si>
  <si>
    <t>ft3</t>
  </si>
  <si>
    <t>bbl</t>
  </si>
  <si>
    <t>UK gal</t>
  </si>
  <si>
    <t>US gal</t>
  </si>
  <si>
    <t>28.3</t>
  </si>
  <si>
    <t>7.48</t>
  </si>
  <si>
    <t>T</t>
  </si>
  <si>
    <t>G</t>
  </si>
  <si>
    <t>k</t>
  </si>
  <si>
    <r>
      <t>Kilo (k) - 1000, 10</t>
    </r>
    <r>
      <rPr>
        <vertAlign val="superscript"/>
        <sz val="12"/>
        <color theme="1"/>
        <rFont val="Calibri"/>
        <family val="2"/>
        <scheme val="minor"/>
      </rPr>
      <t>3</t>
    </r>
  </si>
  <si>
    <r>
      <t>Mega (M) - 1000000, 10</t>
    </r>
    <r>
      <rPr>
        <vertAlign val="superscript"/>
        <sz val="12"/>
        <color theme="1"/>
        <rFont val="Calibri"/>
        <family val="2"/>
        <scheme val="minor"/>
      </rPr>
      <t>6</t>
    </r>
  </si>
  <si>
    <r>
      <t>Giga (G) - 1000000000, 10</t>
    </r>
    <r>
      <rPr>
        <vertAlign val="superscript"/>
        <sz val="12"/>
        <color theme="1"/>
        <rFont val="Calibri"/>
        <family val="2"/>
        <scheme val="minor"/>
      </rPr>
      <t>9</t>
    </r>
  </si>
  <si>
    <r>
      <t>Tera (T) - 1000000000000, 10</t>
    </r>
    <r>
      <rPr>
        <vertAlign val="superscript"/>
        <sz val="12"/>
        <color theme="1"/>
        <rFont val="Calibri"/>
        <family val="2"/>
        <scheme val="minor"/>
      </rPr>
      <t>12</t>
    </r>
  </si>
  <si>
    <t>Conversion factors for SI prefixes</t>
  </si>
  <si>
    <t>Type</t>
  </si>
  <si>
    <t>/</t>
  </si>
  <si>
    <t>kWh</t>
  </si>
  <si>
    <t>GHG</t>
  </si>
  <si>
    <t>CO2e</t>
  </si>
  <si>
    <t>tCO2e</t>
  </si>
  <si>
    <t>Mass units</t>
  </si>
  <si>
    <r>
      <t>tCO</t>
    </r>
    <r>
      <rPr>
        <b/>
        <vertAlign val="subscript"/>
        <sz val="12"/>
        <color rgb="FFFFFFFF"/>
        <rFont val="Calibri"/>
        <family val="2"/>
      </rPr>
      <t>2</t>
    </r>
    <r>
      <rPr>
        <b/>
        <sz val="12"/>
        <color rgb="FFFFFFFF"/>
        <rFont val="Calibri"/>
        <family val="2"/>
      </rPr>
      <t>(b)</t>
    </r>
  </si>
  <si>
    <t>Factor</t>
  </si>
  <si>
    <r>
      <rPr>
        <b/>
        <sz val="12"/>
        <color rgb="FF000000"/>
        <rFont val="Wingdings"/>
        <charset val="2"/>
      </rPr>
      <t></t>
    </r>
  </si>
  <si>
    <t>Emissions data</t>
  </si>
  <si>
    <t>Convert activity data units</t>
  </si>
  <si>
    <r>
      <t>CO</t>
    </r>
    <r>
      <rPr>
        <b/>
        <vertAlign val="subscript"/>
        <sz val="12"/>
        <rFont val="Calibri"/>
        <family val="2"/>
      </rPr>
      <t>2</t>
    </r>
  </si>
  <si>
    <r>
      <t>CH</t>
    </r>
    <r>
      <rPr>
        <b/>
        <vertAlign val="subscript"/>
        <sz val="12"/>
        <rFont val="Calibri"/>
        <family val="2"/>
      </rPr>
      <t>4</t>
    </r>
  </si>
  <si>
    <r>
      <t>N</t>
    </r>
    <r>
      <rPr>
        <b/>
        <vertAlign val="subscript"/>
        <sz val="12"/>
        <rFont val="Calibri"/>
        <family val="2"/>
      </rPr>
      <t>2</t>
    </r>
    <r>
      <rPr>
        <b/>
        <sz val="12"/>
        <rFont val="Calibri"/>
        <family val="2"/>
      </rPr>
      <t>O</t>
    </r>
  </si>
  <si>
    <r>
      <t>Total tCO</t>
    </r>
    <r>
      <rPr>
        <b/>
        <vertAlign val="subscript"/>
        <sz val="12"/>
        <rFont val="Calibri"/>
        <family val="2"/>
      </rPr>
      <t>2</t>
    </r>
    <r>
      <rPr>
        <b/>
        <sz val="12"/>
        <rFont val="Calibri"/>
        <family val="2"/>
      </rPr>
      <t>e</t>
    </r>
  </si>
  <si>
    <r>
      <t>CO</t>
    </r>
    <r>
      <rPr>
        <b/>
        <vertAlign val="subscript"/>
        <sz val="12"/>
        <rFont val="Calibri"/>
        <family val="2"/>
      </rPr>
      <t>2</t>
    </r>
    <r>
      <rPr>
        <b/>
        <sz val="12"/>
        <rFont val="Calibri"/>
        <family val="2"/>
      </rPr>
      <t>(b)</t>
    </r>
  </si>
  <si>
    <t>View emission factor(s)</t>
  </si>
  <si>
    <r>
      <t>GHGs (metric tonnes CO</t>
    </r>
    <r>
      <rPr>
        <b/>
        <vertAlign val="subscript"/>
        <sz val="12"/>
        <rFont val="Calibri"/>
        <family val="2"/>
      </rPr>
      <t>2</t>
    </r>
    <r>
      <rPr>
        <b/>
        <sz val="12"/>
        <rFont val="Calibri"/>
        <family val="2"/>
      </rPr>
      <t>e)</t>
    </r>
  </si>
  <si>
    <t>Enter emissions data</t>
  </si>
  <si>
    <t xml:space="preserve">Use this table to record the emission factors used to calculate GHG emissions from all the activities included in the inventory. </t>
  </si>
  <si>
    <t>References provided in column D shall be used to identify the relevant emission factors in the sector tabs.</t>
  </si>
  <si>
    <t>F gases</t>
  </si>
  <si>
    <t>Convert to tonnes</t>
  </si>
  <si>
    <t>Description of method(s) used or explanation for using notation key(s)</t>
  </si>
  <si>
    <t>REFERENCE TABLES</t>
  </si>
  <si>
    <t xml:space="preserve">A. GPC OVERVIEW </t>
  </si>
  <si>
    <t>Notation key</t>
  </si>
  <si>
    <t>Not occurring</t>
  </si>
  <si>
    <t>Included elsewhere</t>
  </si>
  <si>
    <t>Description and examples</t>
  </si>
  <si>
    <t>An activity or process does not occur or exist within the city.</t>
  </si>
  <si>
    <t>Emissions occur but have not been estimated or reported; justification for exclusion shall be noted in the explanation</t>
  </si>
  <si>
    <t>Not estimated</t>
  </si>
  <si>
    <t>GHG emissions which could lead to the disclosure of confidential information and can therefore not be reported.</t>
  </si>
  <si>
    <t>Confidential</t>
  </si>
  <si>
    <t>GHG emissions for this activity are estimated and presented in another category of the inventory. That category shall be noted in the explanation.</t>
  </si>
  <si>
    <t>II.5.1 is reported in II.1.1. Fuel sales approach does not allow for disaggregation.</t>
  </si>
  <si>
    <t>Activity data for IV.1 is confidential. Data cannot be aggregated to provide confidentiality.</t>
  </si>
  <si>
    <t>I.7.1 does not occur. No coal-related activities within the city boundary.</t>
  </si>
  <si>
    <t>B. NOTATION KEYS</t>
  </si>
  <si>
    <t>B1. When to use notation keys?</t>
  </si>
  <si>
    <t>B2. Definitions</t>
  </si>
  <si>
    <t>C. GLOBAL WARMING POTENTIAL</t>
  </si>
  <si>
    <t>D. CONVERSION FACTORS</t>
  </si>
  <si>
    <t>Example</t>
  </si>
  <si>
    <t>III.1.2 is reported in I Stationary. Landfill gas is captured and burned as an energy source.</t>
  </si>
  <si>
    <t>III.4.3 has not been estimated. Activity not required for BASIC inventory.</t>
  </si>
  <si>
    <t>V.1 has not been estimated. No livetstock data available.</t>
  </si>
  <si>
    <t xml:space="preserve">II.5.1 is confidential. Military base within city boundary. </t>
  </si>
  <si>
    <t>CF4_CO2e</t>
  </si>
  <si>
    <t>CF4_tCO2e</t>
  </si>
  <si>
    <t>C2F6_CO2e</t>
  </si>
  <si>
    <t>C2F6_tCO2e</t>
  </si>
  <si>
    <t>SF6_CO2e</t>
  </si>
  <si>
    <t>SF6_tCO2e</t>
  </si>
  <si>
    <t>NF3_CO2e</t>
  </si>
  <si>
    <t>NF3_tCO2e</t>
  </si>
  <si>
    <t>CH4_CO2e</t>
  </si>
  <si>
    <t>CH4_tCO2e</t>
  </si>
  <si>
    <t>N2O_CO2e</t>
  </si>
  <si>
    <t>N2O_tCO2e</t>
  </si>
  <si>
    <t>HFC-23_CO2e</t>
  </si>
  <si>
    <t>HFC-23_tCO2e</t>
  </si>
  <si>
    <t>HFC-32_CO2e</t>
  </si>
  <si>
    <t>HFC-32_tCO2e</t>
  </si>
  <si>
    <t>HFC-41_CO2e</t>
  </si>
  <si>
    <t>HFC-41_tCO2e</t>
  </si>
  <si>
    <t>HFC-125_CO2e</t>
  </si>
  <si>
    <t>HFC-125_tCO2e</t>
  </si>
  <si>
    <t>HFC-134_CO2e</t>
  </si>
  <si>
    <t>HFC-134_tCO2e</t>
  </si>
  <si>
    <t>HFC-134a_CO2e</t>
  </si>
  <si>
    <t>HFC-134a_tCO2e</t>
  </si>
  <si>
    <t>HFC-143_CO2e</t>
  </si>
  <si>
    <t>HFC-143_tCO2e</t>
  </si>
  <si>
    <t>HFC-143a_CO2e</t>
  </si>
  <si>
    <t>HFC-143a_tCO2e</t>
  </si>
  <si>
    <t>HFC-152a_CO2e</t>
  </si>
  <si>
    <t>HFC-152a_tCO2e</t>
  </si>
  <si>
    <t>HFC-227ea_CO2e</t>
  </si>
  <si>
    <t>HFC-227ea_tCO2e</t>
  </si>
  <si>
    <t>HFC-236fa_CO2e</t>
  </si>
  <si>
    <t>HFC-236fa_tCO2e</t>
  </si>
  <si>
    <t>HFC-245ca_CO2e</t>
  </si>
  <si>
    <t>HFC-245ca_tCO2e</t>
  </si>
  <si>
    <t>Use this tab to record activity and emissions data for Transportation sources. Emission factors should be recorded in the 'Emission factors' tab.</t>
  </si>
  <si>
    <t>Use this tab to record activity and emissions data for Stationary energy sources. Emission factors should be recorded in the 'Emission factors' tab.</t>
  </si>
  <si>
    <t>Use this tab to record activity and emissions data for Waste sources. Emission factors should be recorded in the 'Emission factors' tab.</t>
  </si>
  <si>
    <r>
      <t>SF</t>
    </r>
    <r>
      <rPr>
        <b/>
        <vertAlign val="subscript"/>
        <sz val="12"/>
        <rFont val="Calibri"/>
        <family val="2"/>
      </rPr>
      <t>6</t>
    </r>
  </si>
  <si>
    <r>
      <t>NF</t>
    </r>
    <r>
      <rPr>
        <b/>
        <vertAlign val="subscript"/>
        <sz val="12"/>
        <rFont val="Calibri"/>
        <family val="2"/>
      </rPr>
      <t>3</t>
    </r>
  </si>
  <si>
    <t>F-gases</t>
  </si>
  <si>
    <t>II.2.2 does not occur. Number of electric vehicles is negligible compared to total vehicle fleet (0.01% of vehicle sales in 2014 were electric).</t>
  </si>
  <si>
    <t>Use this tab to record activity and emissions data for IPPU sources. This is required for BASIC+ only. Emission factors should be recorded in the 'Emission factors' tab.</t>
  </si>
  <si>
    <t>Use this tab to record activity and emissions data for AFOLU sources. This is required for BASIC+ only. Emission factors should be recorded in the 'Emission factors' tab.</t>
  </si>
  <si>
    <t>Use this tab to record activity and emissions data for Other scope 3 sources. This sector is optional. Emission factors should be recorded in the 'Emission factors' tab.</t>
  </si>
  <si>
    <t>Inventory year (if not calendar year, please specify the full 12-month period, e.g. 01 April 2014 - 31 March 2015)</t>
  </si>
  <si>
    <t>Fuel A</t>
  </si>
  <si>
    <t>EF_Fuel A</t>
  </si>
  <si>
    <t>EMISSIONS</t>
  </si>
  <si>
    <t>✓</t>
  </si>
  <si>
    <t xml:space="preserve">Autonomous City of Buenos Aires </t>
  </si>
  <si>
    <t>Argentina</t>
  </si>
  <si>
    <t>Electricity consumption by residential users in a year period</t>
  </si>
  <si>
    <t>MWh</t>
  </si>
  <si>
    <t xml:space="preserve">There are no heating, cooling or steam grid-energy supply  in the City </t>
  </si>
  <si>
    <t>Consumption billed to commercial and official sector reported by the national body for gas regulation</t>
  </si>
  <si>
    <t>Consumption billed to industrial reported by the national body for gas regulation</t>
  </si>
  <si>
    <t>Electricity billed to industrial sector reported by energy service suppliers</t>
  </si>
  <si>
    <t xml:space="preserve">The city is still not ready to report this emissions sources due to lack of studies </t>
  </si>
  <si>
    <t xml:space="preserve">Waste disposed in the landfill </t>
  </si>
  <si>
    <t xml:space="preserve">There are no landfills within the City boundaries, and open dumps have been eradicated </t>
  </si>
  <si>
    <t>I.5.1 does not occur. No agricultural activities within the city boundary</t>
  </si>
  <si>
    <t>I.5.2 does not occur. No agricultural activities within the city boundary</t>
  </si>
  <si>
    <t>I.5.3 does not occur. No agricultural activities within the city boundary</t>
  </si>
  <si>
    <t>I.6.1 does not occur. No non-specified sources within the city boundary</t>
  </si>
  <si>
    <t>I.6.2 does not occur. No non-specified sources within the city boundary</t>
  </si>
  <si>
    <t>I.6.3 does not occur. No non-specified sources within the city boundary</t>
  </si>
  <si>
    <t>II.4.2 does not occur</t>
  </si>
  <si>
    <t>II.3.2 does not occur</t>
  </si>
  <si>
    <t>II.5.2 does not occur</t>
  </si>
  <si>
    <t>Calendar year: 1st of January 2013 to 31st of December 2013.</t>
  </si>
  <si>
    <t>Year 2013 projection by the Treasury Secretariat of Buenos Aires City Governement.  www.buenosaires.gob.ar/areas/hacienda/sis_estadistico/ir_2013_580.pdf</t>
  </si>
  <si>
    <t>Source: General direction of legislative documentation (CEDOM) http://www.cedom.gov.ar/es/ciudad/barrios/ciudad/ciudad.html</t>
  </si>
  <si>
    <t>202.04</t>
  </si>
  <si>
    <t>Source: Treasury Secretariat converted to US Dollar based on exchange currency price in january 2014 = $6,52 (National Bank).</t>
  </si>
  <si>
    <t xml:space="preserve">It´s located in a region with humid subtropical climate, with scarce rainfalls during winter, and a prolonged warm season (Camilloni, 2012). </t>
  </si>
  <si>
    <t>Source: Treasury Secretariat - Statistics and Census General Direction (Anual report 2013)</t>
  </si>
  <si>
    <t>In the medium term, the City plans to upgrade to BASIC+ by measuring transboundary trips (on road, aviation and water-borne navigation) and product use for IPPU.</t>
  </si>
  <si>
    <t>Climate Change sub-department, EPA City of Buenos Aires</t>
  </si>
  <si>
    <t>http://www.buenosaires.gob.ar/agenciaambiental/cambioclimatico/english-information-available-here</t>
  </si>
  <si>
    <t>Natural gas stationary consumption</t>
  </si>
  <si>
    <t>ENARGAS</t>
  </si>
  <si>
    <t>http://www.enargas.gov.ar/DatosOper/Indice.php</t>
  </si>
  <si>
    <t>Other (monthly)</t>
  </si>
  <si>
    <t>January</t>
  </si>
  <si>
    <t>February</t>
  </si>
  <si>
    <t>Fuel consumptions transport and manufacturing industries</t>
  </si>
  <si>
    <t>http://www.energia.gov.ar/contenidos/verpagina.php?idpagina=3300</t>
  </si>
  <si>
    <t>CAMMESA</t>
  </si>
  <si>
    <t>Other (by energy plant)</t>
  </si>
  <si>
    <t>http://portalweb.cammesa.com/memnet1/Pages/descargas.aspx</t>
  </si>
  <si>
    <t>Fuel consumptions municipal fleet</t>
  </si>
  <si>
    <t>DGMFMH</t>
  </si>
  <si>
    <t>March</t>
  </si>
  <si>
    <t>Fuel consumption of railways</t>
  </si>
  <si>
    <t xml:space="preserve">Formal request - BARTOLOMÉ MITRE 2815, CABA </t>
  </si>
  <si>
    <t>CEAMSE</t>
  </si>
  <si>
    <t>Other (semestral)</t>
  </si>
  <si>
    <t>http://www.ceamse.gov.ar/estadisticas/</t>
  </si>
  <si>
    <t>AYSA</t>
  </si>
  <si>
    <t>Grid-supplied electricity stationary and transport consumption of the City</t>
  </si>
  <si>
    <t xml:space="preserve">Formal request </t>
  </si>
  <si>
    <t>Transmission and distribution losses</t>
  </si>
  <si>
    <t>http://www.cammesa.com/linfoanu.nsf/MINFOANU?OpenFrameSet / http://www.edenor.com.ar/cms/SP/EMP/ACE/COM_EST_perdidas.html / www.edesur.com.ar/documentos/MemoriayBalance2013.pdf</t>
  </si>
  <si>
    <t>June</t>
  </si>
  <si>
    <t>Natural gas consumption by residential users reported by the national body for gas regulation</t>
  </si>
  <si>
    <t>Electricity billed to commercial and oficial users reported by energy service suppliers (includes water treatment plant energy consumption)</t>
  </si>
  <si>
    <t>Electricity consumed multiplied the national emission factor of the grid for the activity data calendar year</t>
  </si>
  <si>
    <t>Fuel sold to private owners within the city, reported by a national source based on invoiced sales</t>
  </si>
  <si>
    <t>Fuel sales to private owners within the city reported by a national source based on invoiced sales</t>
  </si>
  <si>
    <t xml:space="preserve">CNG sold in fuel stations, reported in local annual statistic report </t>
  </si>
  <si>
    <t>Treasury Secretariat  - GCBA</t>
  </si>
  <si>
    <t>http://www.buenosaires.gob.ar/areas/hacienda/sis_estadistico/buscador.php?tipopubli=33</t>
  </si>
  <si>
    <t>CNG sold for transportation in the City</t>
  </si>
  <si>
    <t>There are no records of electric road transport and are assumed to be insignificant</t>
  </si>
  <si>
    <t xml:space="preserve">Grid-supplied electricity used by regional trains and subways travelling within the city boundary </t>
  </si>
  <si>
    <t>II.3.1 is considered to be insignificant as trips are mainly transboundary</t>
  </si>
  <si>
    <t>II.3.3 has not been estimated due to lack of studies</t>
  </si>
  <si>
    <t>II.4.1 is considered to be insignificant as trips are mainly transboundary</t>
  </si>
  <si>
    <t>II.4.3 has not been estimated due to lack of studies</t>
  </si>
  <si>
    <t>II.5.3 has not been estimated due to lack of studies</t>
  </si>
  <si>
    <t>There are no landfills within the City boundaries, and open dumps have been eradicated, so no waste generated out of the city´s boundary is disposed within it</t>
  </si>
  <si>
    <t xml:space="preserve">There are no biological treatment of waste within the city boundaries </t>
  </si>
  <si>
    <t>Other (Biological Treatment Plant)</t>
  </si>
  <si>
    <t>Solid waste biostabilized in the BTP outside the city boundary</t>
  </si>
  <si>
    <t xml:space="preserve">Local law does not allow the city´s waste to be incinerated, at least until a disposed reduction target is reached (in the case of MSW). </t>
  </si>
  <si>
    <t>There is no wastewater generated outside the city limits treated within it</t>
  </si>
  <si>
    <t xml:space="preserve">According to experts criteria, there are no IPPU GHG emissions to report for the city. Cement, lime, plain glass and iron and steal casting industries are not allow to install within the city boundary, as well as pesticides and other chemical products of agriculture use production indutries. </t>
  </si>
  <si>
    <t xml:space="preserve">The City is working to gather information to report GHG emissions for product use. No information at a national level (Third National Communication).  </t>
  </si>
  <si>
    <t>V.1 does not occur. The city is 100% urban with no livestock farming activity, just a meat market with 20.000 heads sold per week</t>
  </si>
  <si>
    <t>V.2 does not occur. The city has no agriculture activity and emissions from land use changes is considered to be insignificant. Furthermore, studies will take place in the medium term</t>
  </si>
  <si>
    <t>V.3 does not occur. No non-CO2 emission sources activities take place within the city boundary</t>
  </si>
  <si>
    <t>At the moment there are no further sources the City would like to report</t>
  </si>
  <si>
    <t>Local Law on Adaptation and Mitigation to Climate Change (N° 3,871/11); National Law aproving Kyoto Protocol (N°25,438/01);  Nation Law on rewable energies (N°26,190/07); Local Law on waste reduction (N° 1,854/05 Cero Waste)</t>
  </si>
  <si>
    <t>It has been audited by Ricardo AEA as a technical assistance by C40.</t>
  </si>
  <si>
    <t>Primarly, IPCC 2006 guidelines are used when possible, using local activity data when available</t>
  </si>
  <si>
    <t>Solid waste landfilled, and gases recovered for energy or flared</t>
  </si>
  <si>
    <t/>
  </si>
  <si>
    <t>EF_natural gas</t>
  </si>
  <si>
    <t>NCV &amp; DENSITY</t>
  </si>
  <si>
    <t>2006 IPCC Guidelines for National Greenhouse Gas Inventories</t>
  </si>
  <si>
    <t>IPCC</t>
  </si>
  <si>
    <t>http://www.ipcc-nggip.iges.or.jp/public/2006gl/</t>
  </si>
  <si>
    <t>Natural gas emission factor for stationary combustion</t>
  </si>
  <si>
    <t>EF_grid</t>
  </si>
  <si>
    <t>Emission Factor of the Argentinean National Interconnected System</t>
  </si>
  <si>
    <t>Fuels emission factors</t>
  </si>
  <si>
    <t>Grid emission factor</t>
  </si>
  <si>
    <t>CAMMESA, Secretaría de Energía, APrA</t>
  </si>
  <si>
    <t>CAMMESA Annual Report, SE grid EF calculator, APrA own calculations</t>
  </si>
  <si>
    <t>http://portalweb.cammesa.com/default.aspx; http://energia3.mecon.gov.ar/contenidos/verpagina.php?idpagina=2311</t>
  </si>
  <si>
    <t>Diesel Oil - Stationary combustion</t>
  </si>
  <si>
    <t>EF_diesel oil - stationary combustion</t>
  </si>
  <si>
    <t>EF_diesel oil - mobile combustion (exc. Trains)</t>
  </si>
  <si>
    <t>Diesel Oil - Mobile combustion (exc. trains)</t>
  </si>
  <si>
    <t>Diesel oil emission factor for stationary combustion</t>
  </si>
  <si>
    <t>Diesel oil emission factor for mobile combustion (exc. Trains)</t>
  </si>
  <si>
    <t xml:space="preserve">Diesel oil emission factor for trains combustion </t>
  </si>
  <si>
    <t xml:space="preserve">Diesel Oil - Trains combustion </t>
  </si>
  <si>
    <t>EF_diesel oil - Trains combustion</t>
  </si>
  <si>
    <t>Notes</t>
  </si>
  <si>
    <t>APrA own calculations based on CAMMESA and Secretariat of Energy information</t>
  </si>
  <si>
    <t>Argentinean Third National Communication; 2012 National GHG inventory</t>
  </si>
  <si>
    <t>D_natural gas</t>
  </si>
  <si>
    <t>Natural gas density</t>
  </si>
  <si>
    <t>Natural gas net calorific value</t>
  </si>
  <si>
    <t>Value</t>
  </si>
  <si>
    <t>NVC_natural gas</t>
  </si>
  <si>
    <t xml:space="preserve">Electricity generation within Buenos Aires city supplied to the grid </t>
  </si>
  <si>
    <t xml:space="preserve">Emission Factor of the electricity generation (within Buenos Aires city) supplied to the grid </t>
  </si>
  <si>
    <t>Electricity consumed multiplied by the national emission factor of the grid for the activity data calendar year</t>
  </si>
  <si>
    <t>Natural gas billed to residential sector (m3) multiplied by: NG density (t/m3, national data), NCV (TJ/t, IPCC 2006) and NG emission factors (t_GHG/TJ, IPCC 2006)</t>
  </si>
  <si>
    <t>Natural gas billed to commercial&amp;institutional buildings and facilities (m3) multiplied by: NG density (t/m3, national data), NCV (TJ/t, IPCC 2006) and NG emission factors (t_GHG/TJ, IPCC 2006)</t>
  </si>
  <si>
    <t>Natural gas billed to manufacturing industries&amp;construction (m3) multiplied by: NG density (t/m3, national data), NCV (TJ/t, IPCC 2006) and NG emission factors (t_GHG/TJ, IPCC 2006)</t>
  </si>
  <si>
    <t>Electricity generated by the power plants within Buenos Aires city multiplied by the emission factor of these power plants determined based on the fuel consumption of them as provided by CAMMESA.</t>
  </si>
  <si>
    <t>D_motor gasoline (petrol)</t>
  </si>
  <si>
    <t>NVC_motor gasoline (petrol)</t>
  </si>
  <si>
    <t>Motor gasoline (petrol) net calorific value</t>
  </si>
  <si>
    <t>EF_Motor gasoline (petrol)</t>
  </si>
  <si>
    <t>Motor gasoline (petrol) emission factor for road transport</t>
  </si>
  <si>
    <t>Motor gasoline (petrol) density</t>
  </si>
  <si>
    <t>Secretariat of Energy; http://www.energia.gov.ar/contenidos/verpagina.php?idpagina=3622</t>
  </si>
  <si>
    <t xml:space="preserve">Volume 2; Chapter 2: Sationary Combution; </t>
  </si>
  <si>
    <t>Volume 2; Chapter 2: Sationary Combution</t>
  </si>
  <si>
    <t>Volume 2; Chapter 3: Mobile Combustion; Table 3.2.2; Page 3.21</t>
  </si>
  <si>
    <t>Volume 2; Chapter 3: Mobile Combustion; Table 3.4.1; page 3.43</t>
  </si>
  <si>
    <t>Volume 2; Chapter 3: Mobile Combustion; Table 3.2.1 and Table 3.2.2 (Motor Gasoline –Oxidation Catalyst)</t>
  </si>
  <si>
    <t>Volume 2 (ENERGY); Chapter 4; Table 4.2.5 (TIER 1 EMISSION FACTORS FOR FUGITIVE EMISSIONS (INCLUDING VENTING AND FLARING) FROM OIL AND GAS OPERATIONS IN DEVELOPING COUNTRIES AND COUNTRIES WITH ECONOMIES IN TRANSITION)); Natura gas/Transmission/Venting; Pag 4.57</t>
  </si>
  <si>
    <t>Fugitive emission from natural gas transmission venting</t>
  </si>
  <si>
    <t>NA</t>
  </si>
  <si>
    <t>Natural gas operational data - Distribution; ENARGAS</t>
  </si>
  <si>
    <t>Commercialization Division (Edenor S.A) and Environment Division (Edesur S.A)</t>
  </si>
  <si>
    <t>Edenor S.A. and Edesur S.A.</t>
  </si>
  <si>
    <t>Transport fuels sales; Secretariat of Energy</t>
  </si>
  <si>
    <t>Secretariat of Energy</t>
  </si>
  <si>
    <t>Monthly report - MEM - Detailed report; CAMMESA</t>
  </si>
  <si>
    <t>General Director of DGMFMH</t>
  </si>
  <si>
    <t>Statistics area, National Comission of Transport Regulation (CNRT)</t>
  </si>
  <si>
    <t>CNRT</t>
  </si>
  <si>
    <t>Statistics area, CEAMSE</t>
  </si>
  <si>
    <t>Edenor S.A, Edesur S.A &amp; CAMMESA Annual reports</t>
  </si>
  <si>
    <t>Edenor S.A, Edesur S.A &amp; CAMMESA</t>
  </si>
  <si>
    <t>Anual statistic report; Treasury Secretariat  - GCBA</t>
  </si>
  <si>
    <t xml:space="preserve"> Treasury Secretariat  - GCBA</t>
  </si>
  <si>
    <t>Fuels consumption power plants</t>
  </si>
  <si>
    <t>Charcoal consumption by residential users</t>
  </si>
  <si>
    <t>Wood consumption by residential users</t>
  </si>
  <si>
    <t>LPG consumption by residential users</t>
  </si>
  <si>
    <t>Kerosene consumption by residential users</t>
  </si>
  <si>
    <t>Estimated based on national consumption multiplied by a proxy based on the population within Buenos Aires city that utilizes this fuel divided by the total population of the country (data from the National Institute of Statistics (INDEC) from the 2010 Census)</t>
  </si>
  <si>
    <t xml:space="preserve">Fuels different from natural gas, stationary combustion </t>
  </si>
  <si>
    <t>National Energy Balance; Secretariat of Energy</t>
  </si>
  <si>
    <t>http://energia3.mecon.gov.ar/contenidos/verpagina.php?idpagina=3366</t>
  </si>
  <si>
    <t>LPG consumption by commercial and institutional buildings</t>
  </si>
  <si>
    <t>Charcoal consumption by commercial and institutional buildings</t>
  </si>
  <si>
    <t>Wood consumption by commercial and institutional buildings</t>
  </si>
  <si>
    <t>LPG - stationary combustion</t>
  </si>
  <si>
    <t>EF_LPG - stationary combustion</t>
  </si>
  <si>
    <t>LPG emission factor for stationary combustion</t>
  </si>
  <si>
    <t>Kerosene - stationary combustion</t>
  </si>
  <si>
    <t>EF_kerosene - stationary combustion</t>
  </si>
  <si>
    <t>Charcoal</t>
  </si>
  <si>
    <t>Wood</t>
  </si>
  <si>
    <t>EF_charcoal - stationary combustion</t>
  </si>
  <si>
    <t>EF_wood - stationary combustion</t>
  </si>
  <si>
    <t>Kerosene emission factor for stationary combustion</t>
  </si>
  <si>
    <t>Charcoal emission factor for stationary combustion</t>
  </si>
  <si>
    <t>Wood emission factor for stationary combustion</t>
  </si>
  <si>
    <t>D_diesel oil</t>
  </si>
  <si>
    <t>NCV_diesel oil</t>
  </si>
  <si>
    <t>Diesel oil density</t>
  </si>
  <si>
    <t>Diesel oil net calorific value</t>
  </si>
  <si>
    <t>Compressed Natural Gas (CNG)</t>
  </si>
  <si>
    <t>D_CNG</t>
  </si>
  <si>
    <t>NCV_CNG</t>
  </si>
  <si>
    <t>CNG density</t>
  </si>
  <si>
    <t>CNG net calorific value</t>
  </si>
  <si>
    <t>Compressed Natural Gas</t>
  </si>
  <si>
    <t>EF_CNG</t>
  </si>
  <si>
    <t>CNG combustion emission factor</t>
  </si>
  <si>
    <t>There are no treatment of waste within the city boundaries</t>
  </si>
  <si>
    <t>http://www.buenosaires.gob.ar/</t>
  </si>
  <si>
    <t>http://www.argentina.gob.ar/</t>
  </si>
  <si>
    <t>http://www.buenosaires.gob.ar/agenciaambiental/cambioclimatico/english-information-available-here/ghgs-emission-report</t>
  </si>
  <si>
    <t>Statistics area</t>
  </si>
  <si>
    <t>December</t>
  </si>
  <si>
    <t>http://www.aysa.com.ar/index.php?id_seccion=715</t>
  </si>
  <si>
    <t>Percentages of low tension losses by company, applied to the billed grid-supply electricity (for each company) in the calendar year; percentage of high tension losses applied to total grid-supply electricity  and multiplied by national emission factor</t>
  </si>
  <si>
    <t>High tension values include transmission and distribution consumption and losses; low tension technical and non technical losses reported by regional service providers</t>
  </si>
  <si>
    <t>Total fuel consumption multiplied by the ratio "distance travelled within the city boundary / total distance travelled"</t>
  </si>
  <si>
    <t xml:space="preserve">Grid-supply energy at point of supply only considering those within the city boundaries. </t>
  </si>
  <si>
    <t>Diesel consumption by commercial and institutional buildings</t>
  </si>
  <si>
    <t>Residual fuel oil consumption by commercial and institutional buildings</t>
  </si>
  <si>
    <t>EF_FO</t>
  </si>
  <si>
    <t>Fuel Oil</t>
  </si>
  <si>
    <t>Fuel oil combustion emission factor</t>
  </si>
  <si>
    <t>National consumption of LPG of the sector (as per the National Energy Balance) multiplied by the proxy "Gross value of production of C&amp;S sector in Bs.As. City  / Gross value of production of C&amp;S sector in Argentina" (provided by the National Economic Census)</t>
  </si>
  <si>
    <t>LPG consumption</t>
  </si>
  <si>
    <t xml:space="preserve">Diesel consumption </t>
  </si>
  <si>
    <t xml:space="preserve">Residual fuel oil consumption </t>
  </si>
  <si>
    <t xml:space="preserve">Wood consumption </t>
  </si>
  <si>
    <t>Biodiesel</t>
  </si>
  <si>
    <t>Total Diesel sales to private owners within the city reported by a national source based on invoiced sales, multiplied by the % of biodiesel in diesel</t>
  </si>
  <si>
    <t>Total Diesel sales to private owners within the city reported by a national source based on invoiced sales multiplied by the % of pure diesel (without biodiesel %)</t>
  </si>
  <si>
    <t>EF_biodiesel</t>
  </si>
  <si>
    <t>Biological treatment plant</t>
  </si>
  <si>
    <t>EF_Biological treament plant</t>
  </si>
  <si>
    <t>Emissions from bioestabilization of the MSW calculated as per equation 8.5 of GPC and emissions factors as per table 8.3</t>
  </si>
  <si>
    <t>Industrial and domestic wastewater collected in the city sewage and directly discharged into Rio de la Plata river</t>
  </si>
  <si>
    <t xml:space="preserve">CH4 and N2O emissions calculated as per equations 8.9, 8.10 and 8.11 of GPC and utilizing national data available and IPCC 2006 default values. </t>
  </si>
  <si>
    <t xml:space="preserve">Metropolitan trains - Fuel consumption for the distance travelled within the city boundary </t>
  </si>
  <si>
    <t>The City doubles its population daily because of the more than 3 million people that enter the City for work, study and administrative process. Source: Estudio de Cohesión Social en la Región Metropolitana de Buenos Aires 2014. http://www.buenosaires.gob.ar/gobierno/estudio-de-cohesion-social-en-la-region-metropolitana-de-buenos-aires-2014</t>
  </si>
  <si>
    <t>October</t>
  </si>
  <si>
    <t>Biodisel proportion in On-road trasportation</t>
  </si>
  <si>
    <t>Asociación Argentina de Biocombustibles e Hidrógeno</t>
  </si>
  <si>
    <t>Statistics from Asociación Argentina de Biocombustibles e Hidrógeno</t>
  </si>
  <si>
    <t>Formal request</t>
  </si>
  <si>
    <t>National consumption of LPG of the sector (as per the National Energy Balance) multiplied by the proxy "Gross value of production of Industrial sector in Bs.As. City  / Gross value of production of Industrial sector in Argentina" (provided by the National Economic Census)</t>
  </si>
  <si>
    <t>Fuel sales to private owners within the city reported by a national source based on invoiced sales that include biodisel % out off total fuel used</t>
  </si>
  <si>
    <t>From 2006 up to now</t>
  </si>
  <si>
    <t>Valid since 2006</t>
  </si>
  <si>
    <t xml:space="preserve">Fuel consumption for the distance travelled outside the city boundary adjusted by the % of CABA resident travel </t>
  </si>
  <si>
    <t>Total fuel consumption multiplied by the ratio "distance travelled outside the city boundary / total distance travelled" and ajusted by the % of CABA population that travel by train to the metropolitan area according to data from CABA Government (MFG Consultants, Report 2013-2014)</t>
  </si>
  <si>
    <t xml:space="preserve">National trains - Fuel consumption for the distance travelled within the city boundary </t>
  </si>
  <si>
    <t>National trains travels frequency</t>
  </si>
  <si>
    <t>Satélite Ferroviario, Trenes Argentinos</t>
  </si>
  <si>
    <t>http://www.sateliteferroviario.com.ar/horarios/</t>
  </si>
  <si>
    <t>Wastewater treated</t>
  </si>
  <si>
    <t>Fuel consumption estimated based on average specific consumption of trains multiplied by the distance traveled within Buenos Aires city and the frequency of the travels</t>
  </si>
  <si>
    <t>ineslockhart@gmail.com; atorchelo@prosustentia.com</t>
  </si>
  <si>
    <t>29th August 2015</t>
  </si>
  <si>
    <t xml:space="preserve">It is the first inventory reported as per GPC </t>
  </si>
  <si>
    <t>Industrial wastewater treated inside the industries</t>
  </si>
  <si>
    <t>National Institute of Statistics and Census (INDEC)</t>
  </si>
  <si>
    <t>Total production of product i at national level;  Gross value of production of product i at National and Buenos Aires city level</t>
  </si>
  <si>
    <t>National and Local</t>
  </si>
  <si>
    <t>http://www.indec.gov.ar/</t>
  </si>
  <si>
    <t>Emissions estimated based on IPCC 2006 default values and formulas, estimating production levels of products produced within Buenos Aires city by the following method: Data on national production of product i (as per the National Institute of Statistics and Census) multiplied by the proxy "Gross value of production of producti in Bs.As. City  / Gross value of product i in Argentina" (provided by INDEC).</t>
  </si>
  <si>
    <t>EF_electricity generation Buenos Aires city</t>
  </si>
  <si>
    <t>2006 IPCC Guidelines for National Greenhouse Gas Inventories; Volume 2 - Energy; Chapter 1 - Introduction; Table 1.2; Page 1.18</t>
  </si>
  <si>
    <t>Adriana Torchelo; Josefina Uijt den Bogaard; Stefanía D'Annibali</t>
  </si>
  <si>
    <t>3,389,350 commuters</t>
  </si>
  <si>
    <r>
      <t xml:space="preserve">D. OPTIONAL INFORMATION ITEMS </t>
    </r>
    <r>
      <rPr>
        <sz val="14"/>
        <rFont val="Calibri"/>
        <family val="2"/>
        <scheme val="minor"/>
      </rPr>
      <t>(GPC section 4.3 page 40)</t>
    </r>
  </si>
  <si>
    <t>Biodisel combustion emission factor</t>
  </si>
  <si>
    <t>I.4.1 is reported in I.3.1 Manufacturing industries and construction. It is not possible to dissagregate the fuel comsuption for power plant auxiliary operations.</t>
  </si>
  <si>
    <t>I.4.2 is reported in I.3.2 Manufacturing industries and construction.It is not possible to dissagregate the fuel comsuption for power plant auxiliary operations.</t>
  </si>
  <si>
    <t>I.4.3 is reported in I.3.3 Manufacturing industries and construction. It is not possible to dissagregate the fuel comsuption for power plant auxiliary operations.</t>
  </si>
  <si>
    <t>II.5.1 is reported in II.1.1. Fuel sales approach source does not allow for disaggregation</t>
  </si>
  <si>
    <t xml:space="preserve">It includes all solid waste reaching the landfill outside the City limits from the municipal recollection system. Emissions calculated as per the IPCC waste model tool with emission data. The amount of methane recovered from the SWDS has been included in the model. </t>
  </si>
  <si>
    <t>Emission Factor for Biological Treatment Plant</t>
  </si>
  <si>
    <t>Gas distribution</t>
  </si>
  <si>
    <t>EF_NG_distribution</t>
  </si>
  <si>
    <t>Natural gas sales in Buenos Aires city</t>
  </si>
  <si>
    <t>Data of natural gas sales in Buenos Aires city from ENARGAS multiplied by IPCC Gas distribution average emission factors in developing countries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</si>
</sst>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 #,##0.00_-;_-* &quot;-&quot;??_-;_-@_-"/>
    <numFmt numFmtId="164" formatCode="0;\-0;;@"/>
    <numFmt numFmtId="165" formatCode="_-* #,##0_-;\-* #,##0_-;_-* &quot;-&quot;??_-;_-@_-"/>
    <numFmt numFmtId="166" formatCode="0.000"/>
    <numFmt numFmtId="167" formatCode="0.000000"/>
    <numFmt numFmtId="168" formatCode="0.00000"/>
    <numFmt numFmtId="169" formatCode="_-* #,##0.0_-;\-* #,##0.0_-;_-* &quot;-&quot;??_-;_-@_-"/>
    <numFmt numFmtId="170" formatCode="0.0000"/>
    <numFmt numFmtId="171" formatCode="0.0"/>
    <numFmt numFmtId="172" formatCode="_-* #,##0.000_-;\-* #,##0.000_-;_-* &quot;-&quot;??_-;_-@_-"/>
  </numFmts>
  <fonts count="74">
    <font>
      <sz val="12"/>
      <color theme="1"/>
      <name val="Calibri"/>
      <family val="2"/>
      <scheme val="minor"/>
    </font>
    <font>
      <sz val="11"/>
      <color theme="1"/>
      <name val="Calibri"/>
      <family val="2"/>
      <scheme val="minor"/>
    </font>
    <font>
      <b/>
      <sz val="12"/>
      <color rgb="FFFFFFFF"/>
      <name val="Calibri"/>
      <family val="2"/>
      <scheme val="minor"/>
    </font>
    <font>
      <i/>
      <sz val="12"/>
      <color theme="1"/>
      <name val="Calibri"/>
      <family val="2"/>
      <scheme val="minor"/>
    </font>
    <font>
      <i/>
      <sz val="12"/>
      <color rgb="FF000000"/>
      <name val="Calibri"/>
      <family val="2"/>
      <scheme val="minor"/>
    </font>
    <font>
      <sz val="12"/>
      <color rgb="FF000000"/>
      <name val="Calibri"/>
      <family val="2"/>
      <scheme val="minor"/>
    </font>
    <font>
      <b/>
      <sz val="12"/>
      <color theme="1"/>
      <name val="Marlett"/>
      <charset val="2"/>
    </font>
    <font>
      <sz val="12"/>
      <color theme="1"/>
      <name val="Marlett"/>
      <charset val="2"/>
    </font>
    <font>
      <u/>
      <sz val="12"/>
      <color theme="10"/>
      <name val="Calibri"/>
      <family val="2"/>
      <scheme val="minor"/>
    </font>
    <font>
      <u/>
      <sz val="12"/>
      <color theme="11"/>
      <name val="Calibri"/>
      <family val="2"/>
      <scheme val="minor"/>
    </font>
    <font>
      <sz val="8"/>
      <name val="Calibri"/>
      <family val="2"/>
      <scheme val="minor"/>
    </font>
    <font>
      <sz val="10"/>
      <color rgb="FF000000"/>
      <name val="Calibri"/>
      <family val="2"/>
    </font>
    <font>
      <b/>
      <sz val="10"/>
      <color rgb="FF000000"/>
      <name val="Calibri"/>
      <family val="2"/>
    </font>
    <font>
      <sz val="10"/>
      <color theme="1"/>
      <name val="Calibri"/>
      <family val="2"/>
    </font>
    <font>
      <i/>
      <sz val="10"/>
      <color rgb="FF000000"/>
      <name val="Calibri"/>
      <family val="2"/>
    </font>
    <font>
      <sz val="10"/>
      <color rgb="FF000000"/>
      <name val="Marlett"/>
      <charset val="2"/>
    </font>
    <font>
      <b/>
      <sz val="12"/>
      <color theme="1"/>
      <name val="Calibri"/>
      <family val="2"/>
      <scheme val="minor"/>
    </font>
    <font>
      <b/>
      <sz val="10"/>
      <color theme="1"/>
      <name val="Calibri"/>
      <family val="2"/>
    </font>
    <font>
      <b/>
      <sz val="12"/>
      <color rgb="FF000000"/>
      <name val="Calibri"/>
      <family val="2"/>
    </font>
    <font>
      <sz val="12"/>
      <color rgb="FF000000"/>
      <name val="Calibri"/>
      <family val="2"/>
    </font>
    <font>
      <sz val="12"/>
      <color theme="1"/>
      <name val="Calibri"/>
      <family val="2"/>
    </font>
    <font>
      <b/>
      <sz val="12"/>
      <color theme="0"/>
      <name val="Calibri"/>
      <family val="2"/>
      <scheme val="minor"/>
    </font>
    <font>
      <sz val="12"/>
      <color theme="0"/>
      <name val="Calibri"/>
      <family val="2"/>
      <scheme val="minor"/>
    </font>
    <font>
      <b/>
      <sz val="14"/>
      <color rgb="FF000000"/>
      <name val="Calibri"/>
      <family val="2"/>
    </font>
    <font>
      <b/>
      <sz val="18"/>
      <color rgb="FF000000"/>
      <name val="Calibri"/>
      <family val="2"/>
    </font>
    <font>
      <b/>
      <sz val="18"/>
      <color theme="1"/>
      <name val="Calibri"/>
      <family val="2"/>
      <scheme val="minor"/>
    </font>
    <font>
      <b/>
      <sz val="14"/>
      <color theme="1"/>
      <name val="Calibri"/>
      <family val="2"/>
      <scheme val="minor"/>
    </font>
    <font>
      <sz val="18"/>
      <color theme="1"/>
      <name val="Calibri"/>
      <family val="2"/>
      <scheme val="minor"/>
    </font>
    <font>
      <sz val="14"/>
      <color theme="1"/>
      <name val="Calibri"/>
      <family val="2"/>
      <scheme val="minor"/>
    </font>
    <font>
      <sz val="10"/>
      <name val="Marlett"/>
      <charset val="2"/>
    </font>
    <font>
      <sz val="12"/>
      <name val="Calibri"/>
      <family val="2"/>
      <scheme val="minor"/>
    </font>
    <font>
      <b/>
      <sz val="12"/>
      <color theme="1"/>
      <name val="Calibri"/>
      <family val="2"/>
    </font>
    <font>
      <b/>
      <sz val="12"/>
      <color rgb="FFFFFFFF"/>
      <name val="Calibri"/>
      <family val="2"/>
    </font>
    <font>
      <b/>
      <vertAlign val="subscript"/>
      <sz val="12"/>
      <color rgb="FFFFFFFF"/>
      <name val="Calibri"/>
      <family val="2"/>
    </font>
    <font>
      <b/>
      <sz val="12"/>
      <color theme="0"/>
      <name val="Calibri"/>
      <family val="2"/>
    </font>
    <font>
      <sz val="11"/>
      <color theme="1"/>
      <name val="Arial"/>
      <family val="2"/>
    </font>
    <font>
      <b/>
      <sz val="14"/>
      <color theme="0"/>
      <name val="Calibri"/>
      <family val="2"/>
    </font>
    <font>
      <b/>
      <sz val="14"/>
      <color rgb="FFFFFFFF"/>
      <name val="Calibri"/>
      <family val="2"/>
      <scheme val="minor"/>
    </font>
    <font>
      <b/>
      <sz val="18"/>
      <color theme="1"/>
      <name val="Calibri"/>
      <family val="2"/>
    </font>
    <font>
      <b/>
      <sz val="14"/>
      <color theme="1"/>
      <name val="Calibri"/>
      <family val="2"/>
    </font>
    <font>
      <sz val="14"/>
      <color theme="1"/>
      <name val="Calibri"/>
      <family val="2"/>
    </font>
    <font>
      <sz val="16"/>
      <color theme="1"/>
      <name val="Calibri"/>
      <family val="2"/>
    </font>
    <font>
      <b/>
      <sz val="16"/>
      <color theme="1"/>
      <name val="Calibri"/>
      <family val="2"/>
    </font>
    <font>
      <sz val="16"/>
      <color theme="0" tint="-4.9989318521683403E-2"/>
      <name val="Calibri"/>
      <family val="2"/>
    </font>
    <font>
      <sz val="18"/>
      <color theme="1"/>
      <name val="Calibri"/>
      <family val="2"/>
    </font>
    <font>
      <sz val="18"/>
      <color theme="0" tint="-4.9989318521683403E-2"/>
      <name val="Calibri"/>
      <family val="2"/>
    </font>
    <font>
      <sz val="12"/>
      <color theme="0" tint="-4.9989318521683403E-2"/>
      <name val="Calibri"/>
      <family val="2"/>
    </font>
    <font>
      <sz val="12"/>
      <color theme="0" tint="-0.14999847407452621"/>
      <name val="Calibri"/>
      <family val="2"/>
    </font>
    <font>
      <sz val="12"/>
      <color theme="3"/>
      <name val="Calibri"/>
      <family val="2"/>
      <scheme val="minor"/>
    </font>
    <font>
      <b/>
      <sz val="12"/>
      <color rgb="FF000000"/>
      <name val="Calibri"/>
      <family val="2"/>
      <scheme val="minor"/>
    </font>
    <font>
      <b/>
      <sz val="12"/>
      <name val="Calibri"/>
      <family val="2"/>
      <scheme val="minor"/>
    </font>
    <font>
      <b/>
      <sz val="14"/>
      <name val="Calibri"/>
      <family val="2"/>
      <scheme val="minor"/>
    </font>
    <font>
      <b/>
      <sz val="18"/>
      <color rgb="FF000000"/>
      <name val="Calibri"/>
      <family val="2"/>
      <scheme val="minor"/>
    </font>
    <font>
      <b/>
      <sz val="14"/>
      <color theme="3"/>
      <name val="Calibri"/>
      <family val="2"/>
      <scheme val="minor"/>
    </font>
    <font>
      <sz val="12"/>
      <name val="Calibri"/>
      <family val="2"/>
    </font>
    <font>
      <i/>
      <sz val="12"/>
      <color rgb="FF000000"/>
      <name val="Calibri"/>
      <family val="2"/>
    </font>
    <font>
      <vertAlign val="superscript"/>
      <sz val="12"/>
      <color theme="1"/>
      <name val="Calibri"/>
      <family val="2"/>
      <scheme val="minor"/>
    </font>
    <font>
      <b/>
      <sz val="14"/>
      <color theme="3"/>
      <name val="Calibri"/>
      <family val="2"/>
    </font>
    <font>
      <i/>
      <sz val="12"/>
      <color theme="1"/>
      <name val="Calibri"/>
      <family val="2"/>
    </font>
    <font>
      <b/>
      <sz val="12"/>
      <color rgb="FF000000"/>
      <name val="Wingdings"/>
      <charset val="2"/>
    </font>
    <font>
      <b/>
      <sz val="12"/>
      <name val="Calibri"/>
      <family val="2"/>
    </font>
    <font>
      <b/>
      <vertAlign val="subscript"/>
      <sz val="12"/>
      <name val="Calibri"/>
      <family val="2"/>
    </font>
    <font>
      <sz val="12"/>
      <color theme="0" tint="-4.9989318521683403E-2"/>
      <name val="Calibri"/>
      <family val="2"/>
      <scheme val="minor"/>
    </font>
    <font>
      <sz val="10"/>
      <color theme="1"/>
      <name val="Zapf Dingbats"/>
    </font>
    <font>
      <sz val="12"/>
      <color indexed="8"/>
      <name val="Calibri"/>
      <family val="2"/>
    </font>
    <font>
      <u/>
      <sz val="12"/>
      <color theme="10"/>
      <name val="Calibri"/>
      <family val="2"/>
    </font>
    <font>
      <sz val="12"/>
      <color theme="1"/>
      <name val="Calibri"/>
      <family val="2"/>
    </font>
    <font>
      <sz val="12"/>
      <color rgb="FF000000"/>
      <name val="Calibri"/>
      <family val="2"/>
    </font>
    <font>
      <sz val="12"/>
      <color theme="1"/>
      <name val="Calibri"/>
      <family val="2"/>
      <scheme val="minor"/>
    </font>
    <font>
      <sz val="12"/>
      <color rgb="FFFF0000"/>
      <name val="Calibri"/>
      <family val="2"/>
      <scheme val="minor"/>
    </font>
    <font>
      <sz val="12"/>
      <color rgb="FFFF0000"/>
      <name val="Calibri"/>
      <family val="2"/>
    </font>
    <font>
      <b/>
      <sz val="18"/>
      <color rgb="FFFF0000"/>
      <name val="Calibri"/>
      <family val="2"/>
      <scheme val="minor"/>
    </font>
    <font>
      <u/>
      <sz val="12"/>
      <name val="Calibri"/>
      <family val="2"/>
    </font>
    <font>
      <sz val="14"/>
      <name val="Calibri"/>
      <family val="2"/>
      <scheme val="minor"/>
    </font>
  </fonts>
  <fills count="26">
    <fill>
      <patternFill patternType="none"/>
    </fill>
    <fill>
      <patternFill patternType="gray125"/>
    </fill>
    <fill>
      <patternFill patternType="solid">
        <fgColor rgb="FFD9D9D9"/>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rgb="FF808080"/>
        <bgColor indexed="64"/>
      </patternFill>
    </fill>
    <fill>
      <patternFill patternType="solid">
        <fgColor rgb="FFFFFFFF"/>
        <bgColor indexed="64"/>
      </patternFill>
    </fill>
    <fill>
      <patternFill patternType="solid">
        <fgColor rgb="FFE2F2E0"/>
        <bgColor indexed="64"/>
      </patternFill>
    </fill>
    <fill>
      <patternFill patternType="solid">
        <fgColor rgb="FFB8CDE7"/>
        <bgColor indexed="64"/>
      </patternFill>
    </fill>
    <fill>
      <patternFill patternType="solid">
        <fgColor rgb="FFE6D5ED"/>
        <bgColor indexed="64"/>
      </patternFill>
    </fill>
    <fill>
      <patternFill patternType="solid">
        <fgColor rgb="FFFDE9D9"/>
        <bgColor indexed="64"/>
      </patternFill>
    </fill>
    <fill>
      <patternFill patternType="solid">
        <fgColor rgb="FFEAF1DD"/>
        <bgColor indexed="64"/>
      </patternFill>
    </fill>
    <fill>
      <patternFill patternType="solid">
        <fgColor rgb="FFDBE5F1"/>
        <bgColor indexed="64"/>
      </patternFill>
    </fill>
    <fill>
      <patternFill patternType="solid">
        <fgColor theme="0"/>
        <bgColor indexed="64"/>
      </patternFill>
    </fill>
    <fill>
      <patternFill patternType="solid">
        <fgColor rgb="FFE2F2E0"/>
        <bgColor rgb="FF000000"/>
      </patternFill>
    </fill>
    <fill>
      <patternFill patternType="solid">
        <fgColor theme="0" tint="-0.49998474074526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FF"/>
        <bgColor rgb="FF000000"/>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D9D9D9"/>
        <bgColor rgb="FF000000"/>
      </patternFill>
    </fill>
    <fill>
      <patternFill patternType="solid">
        <fgColor theme="0"/>
        <bgColor rgb="FF000000"/>
      </patternFill>
    </fill>
    <fill>
      <patternFill patternType="solid">
        <fgColor theme="9" tint="0.79998168889431442"/>
        <bgColor indexed="64"/>
      </patternFill>
    </fill>
    <fill>
      <patternFill patternType="solid">
        <fgColor indexed="9"/>
        <bgColor indexed="64"/>
      </patternFill>
    </fill>
  </fills>
  <borders count="8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top style="medium">
        <color auto="1"/>
      </top>
      <bottom style="thin">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right/>
      <top style="thin">
        <color auto="1"/>
      </top>
      <bottom/>
      <diagonal/>
    </border>
    <border>
      <left style="thin">
        <color auto="1"/>
      </left>
      <right style="medium">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medium">
        <color auto="1"/>
      </right>
      <top/>
      <bottom style="thin">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medium">
        <color auto="1"/>
      </left>
      <right/>
      <top/>
      <bottom style="medium">
        <color auto="1"/>
      </bottom>
      <diagonal/>
    </border>
    <border>
      <left style="medium">
        <color auto="1"/>
      </left>
      <right/>
      <top style="thin">
        <color auto="1"/>
      </top>
      <bottom/>
      <diagonal/>
    </border>
    <border>
      <left/>
      <right/>
      <top style="thin">
        <color auto="1"/>
      </top>
      <bottom style="medium">
        <color auto="1"/>
      </bottom>
      <diagonal/>
    </border>
    <border>
      <left style="medium">
        <color auto="1"/>
      </left>
      <right style="thin">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thin">
        <color auto="1"/>
      </top>
      <bottom style="thin">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style="thin">
        <color auto="1"/>
      </right>
      <top style="medium">
        <color auto="1"/>
      </top>
      <bottom/>
      <diagonal/>
    </border>
    <border>
      <left style="medium">
        <color auto="1"/>
      </left>
      <right/>
      <top style="medium">
        <color auto="1"/>
      </top>
      <bottom/>
      <diagonal/>
    </border>
    <border>
      <left/>
      <right style="thin">
        <color auto="1"/>
      </right>
      <top/>
      <bottom style="medium">
        <color auto="1"/>
      </bottom>
      <diagonal/>
    </border>
    <border>
      <left style="thin">
        <color auto="1"/>
      </left>
      <right style="thin">
        <color auto="1"/>
      </right>
      <top style="thin">
        <color theme="0"/>
      </top>
      <bottom style="thin">
        <color theme="0"/>
      </bottom>
      <diagonal/>
    </border>
    <border>
      <left style="thin">
        <color auto="1"/>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diagonal/>
    </border>
    <border>
      <left style="thin">
        <color auto="1"/>
      </left>
      <right/>
      <top/>
      <bottom style="medium">
        <color auto="1"/>
      </bottom>
      <diagonal/>
    </border>
    <border>
      <left style="thin">
        <color auto="1"/>
      </left>
      <right/>
      <top/>
      <bottom/>
      <diagonal/>
    </border>
    <border>
      <left/>
      <right style="medium">
        <color auto="1"/>
      </right>
      <top style="medium">
        <color auto="1"/>
      </top>
      <bottom/>
      <diagonal/>
    </border>
    <border>
      <left/>
      <right style="medium">
        <color auto="1"/>
      </right>
      <top/>
      <bottom style="medium">
        <color auto="1"/>
      </bottom>
      <diagonal/>
    </border>
    <border>
      <left style="medium">
        <color auto="1"/>
      </left>
      <right/>
      <top/>
      <bottom/>
      <diagonal/>
    </border>
    <border>
      <left style="medium">
        <color auto="1"/>
      </left>
      <right/>
      <top/>
      <bottom style="thin">
        <color auto="1"/>
      </bottom>
      <diagonal/>
    </border>
    <border>
      <left/>
      <right/>
      <top/>
      <bottom style="medium">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tint="-0.14999847407452621"/>
      </left>
      <right style="thin">
        <color theme="0" tint="-0.14999847407452621"/>
      </right>
      <top/>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thin">
        <color theme="0"/>
      </left>
      <right style="thin">
        <color theme="0"/>
      </right>
      <top style="thin">
        <color theme="0"/>
      </top>
      <bottom style="thin">
        <color theme="0"/>
      </bottom>
      <diagonal/>
    </border>
    <border>
      <left/>
      <right style="thin">
        <color auto="1"/>
      </right>
      <top/>
      <bottom/>
      <diagonal/>
    </border>
    <border>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bottom/>
      <diagonal/>
    </border>
    <border>
      <left style="medium">
        <color auto="1"/>
      </left>
      <right style="thin">
        <color auto="1"/>
      </right>
      <top/>
      <bottom/>
      <diagonal/>
    </border>
    <border>
      <left style="medium">
        <color auto="1"/>
      </left>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s>
  <cellStyleXfs count="3005">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65" fillId="0" borderId="0" applyNumberFormat="0" applyFill="0" applyBorder="0" applyAlignment="0" applyProtection="0">
      <alignment vertical="top"/>
      <protection locked="0"/>
    </xf>
    <xf numFmtId="43" fontId="68"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cellStyleXfs>
  <cellXfs count="1220">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wrapText="1"/>
    </xf>
    <xf numFmtId="0" fontId="0" fillId="0" borderId="0" xfId="0" applyFont="1" applyAlignment="1"/>
    <xf numFmtId="0" fontId="16" fillId="0" borderId="0" xfId="0" applyFont="1"/>
    <xf numFmtId="0" fontId="0" fillId="0" borderId="0" xfId="0" applyAlignment="1">
      <alignment horizontal="center"/>
    </xf>
    <xf numFmtId="0" fontId="11" fillId="13" borderId="0" xfId="0" applyFont="1" applyFill="1" applyBorder="1" applyAlignment="1">
      <alignment horizontal="center" vertical="center"/>
    </xf>
    <xf numFmtId="0" fontId="11" fillId="13" borderId="0" xfId="0" applyFont="1" applyFill="1" applyBorder="1" applyAlignment="1">
      <alignment vertical="center"/>
    </xf>
    <xf numFmtId="0" fontId="13" fillId="13" borderId="0" xfId="0" applyFont="1" applyFill="1" applyBorder="1" applyAlignment="1">
      <alignment horizontal="center" vertical="center"/>
    </xf>
    <xf numFmtId="1" fontId="11" fillId="13" borderId="0" xfId="0" applyNumberFormat="1" applyFont="1" applyFill="1" applyBorder="1" applyAlignment="1">
      <alignment horizontal="center" vertical="center"/>
    </xf>
    <xf numFmtId="0" fontId="12" fillId="13" borderId="0" xfId="0" applyFont="1" applyFill="1" applyBorder="1" applyAlignment="1">
      <alignment horizontal="center" vertical="center"/>
    </xf>
    <xf numFmtId="0" fontId="12" fillId="13" borderId="0" xfId="0" applyFont="1" applyFill="1" applyBorder="1" applyAlignment="1">
      <alignment vertical="center"/>
    </xf>
    <xf numFmtId="0" fontId="14" fillId="13" borderId="0" xfId="0" applyFont="1" applyFill="1" applyBorder="1" applyAlignment="1">
      <alignment vertical="center"/>
    </xf>
    <xf numFmtId="0" fontId="16" fillId="13" borderId="0" xfId="0" applyFont="1" applyFill="1"/>
    <xf numFmtId="0" fontId="0" fillId="13" borderId="0" xfId="0" applyFill="1"/>
    <xf numFmtId="0" fontId="0" fillId="13" borderId="0" xfId="0" applyFill="1" applyAlignment="1">
      <alignment horizontal="center"/>
    </xf>
    <xf numFmtId="0" fontId="24" fillId="13" borderId="0" xfId="0" applyFont="1" applyFill="1" applyBorder="1" applyAlignment="1">
      <alignment horizontal="left" vertical="center"/>
    </xf>
    <xf numFmtId="0" fontId="18" fillId="13" borderId="0" xfId="0" applyFont="1" applyFill="1" applyBorder="1" applyAlignment="1">
      <alignment horizontal="center" vertical="center"/>
    </xf>
    <xf numFmtId="0" fontId="18" fillId="13" borderId="0" xfId="0" applyFont="1" applyFill="1" applyBorder="1" applyAlignment="1">
      <alignment vertical="center"/>
    </xf>
    <xf numFmtId="0" fontId="19" fillId="13" borderId="0" xfId="0" applyFont="1" applyFill="1" applyBorder="1" applyAlignment="1">
      <alignment horizontal="center" vertical="center"/>
    </xf>
    <xf numFmtId="0" fontId="18" fillId="13" borderId="0" xfId="0" applyFont="1" applyFill="1" applyBorder="1" applyAlignment="1">
      <alignment vertical="center" wrapText="1"/>
    </xf>
    <xf numFmtId="0" fontId="20" fillId="13" borderId="0" xfId="0" applyFont="1" applyFill="1" applyBorder="1"/>
    <xf numFmtId="0" fontId="23" fillId="13" borderId="0" xfId="0" applyFont="1" applyFill="1" applyBorder="1" applyAlignment="1">
      <alignment horizontal="left" vertical="center"/>
    </xf>
    <xf numFmtId="0" fontId="0" fillId="13" borderId="0" xfId="0" applyFill="1" applyBorder="1"/>
    <xf numFmtId="0" fontId="13" fillId="13" borderId="0" xfId="0" applyFont="1" applyFill="1" applyBorder="1" applyAlignment="1">
      <alignment vertical="center"/>
    </xf>
    <xf numFmtId="0" fontId="17" fillId="13" borderId="0" xfId="0" applyFont="1" applyFill="1" applyBorder="1" applyAlignment="1">
      <alignment vertical="center"/>
    </xf>
    <xf numFmtId="0" fontId="16" fillId="13" borderId="0" xfId="0" applyFont="1" applyFill="1" applyBorder="1"/>
    <xf numFmtId="0" fontId="0" fillId="13" borderId="0" xfId="0" applyFont="1" applyFill="1" applyBorder="1"/>
    <xf numFmtId="0" fontId="0" fillId="13" borderId="0" xfId="0" applyFill="1" applyBorder="1" applyAlignment="1">
      <alignment horizontal="center"/>
    </xf>
    <xf numFmtId="1" fontId="19" fillId="13" borderId="0" xfId="0" applyNumberFormat="1" applyFont="1" applyFill="1" applyBorder="1" applyAlignment="1">
      <alignment horizontal="center" vertical="center"/>
    </xf>
    <xf numFmtId="0" fontId="19" fillId="6" borderId="0" xfId="0" applyFont="1" applyFill="1" applyBorder="1" applyAlignment="1">
      <alignment horizontal="center" vertical="center"/>
    </xf>
    <xf numFmtId="0" fontId="18" fillId="6" borderId="0" xfId="0" applyFont="1" applyFill="1" applyBorder="1" applyAlignment="1">
      <alignment vertical="center"/>
    </xf>
    <xf numFmtId="0" fontId="18" fillId="6" borderId="0" xfId="0" applyFont="1" applyFill="1" applyBorder="1" applyAlignment="1">
      <alignment horizontal="center" vertical="center"/>
    </xf>
    <xf numFmtId="0" fontId="18" fillId="6" borderId="0" xfId="0" applyFont="1" applyFill="1" applyBorder="1" applyAlignment="1">
      <alignment vertical="center" wrapText="1"/>
    </xf>
    <xf numFmtId="0" fontId="20" fillId="0" borderId="0" xfId="0" applyFont="1" applyBorder="1"/>
    <xf numFmtId="0" fontId="25" fillId="13" borderId="0" xfId="0" applyFont="1" applyFill="1"/>
    <xf numFmtId="1" fontId="19" fillId="6" borderId="0" xfId="0" applyNumberFormat="1" applyFont="1" applyFill="1" applyBorder="1" applyAlignment="1">
      <alignment horizontal="center" vertical="center"/>
    </xf>
    <xf numFmtId="0" fontId="26" fillId="13" borderId="0" xfId="0" applyFont="1" applyFill="1"/>
    <xf numFmtId="0" fontId="27" fillId="13" borderId="0" xfId="0" applyFont="1" applyFill="1"/>
    <xf numFmtId="0" fontId="28" fillId="13" borderId="0" xfId="0" applyFont="1" applyFill="1"/>
    <xf numFmtId="0" fontId="27" fillId="13" borderId="0" xfId="0" applyFont="1" applyFill="1" applyAlignment="1">
      <alignment horizontal="center"/>
    </xf>
    <xf numFmtId="0" fontId="28" fillId="13" borderId="0" xfId="0" applyFont="1" applyFill="1" applyAlignment="1">
      <alignment horizontal="center"/>
    </xf>
    <xf numFmtId="0" fontId="0" fillId="13" borderId="0" xfId="0" applyFont="1" applyFill="1"/>
    <xf numFmtId="0" fontId="0" fillId="13" borderId="0" xfId="0" applyFont="1" applyFill="1" applyAlignment="1">
      <alignment wrapText="1"/>
    </xf>
    <xf numFmtId="0" fontId="0" fillId="13" borderId="0" xfId="0" applyFont="1" applyFill="1" applyAlignment="1"/>
    <xf numFmtId="0" fontId="0" fillId="13" borderId="0" xfId="0" applyFont="1" applyFill="1" applyAlignment="1">
      <alignment horizontal="center"/>
    </xf>
    <xf numFmtId="0" fontId="0" fillId="13" borderId="0" xfId="0" applyFont="1" applyFill="1" applyBorder="1" applyAlignment="1"/>
    <xf numFmtId="0" fontId="25" fillId="13" borderId="0" xfId="0" applyFont="1" applyFill="1" applyAlignment="1"/>
    <xf numFmtId="0" fontId="30" fillId="13" borderId="0" xfId="0" applyFont="1" applyFill="1"/>
    <xf numFmtId="0" fontId="2" fillId="15" borderId="36" xfId="0" applyFont="1" applyFill="1" applyBorder="1" applyAlignment="1">
      <alignment horizontal="center" vertical="center" wrapText="1"/>
    </xf>
    <xf numFmtId="0" fontId="2" fillId="15" borderId="52" xfId="0" applyFont="1" applyFill="1" applyBorder="1" applyAlignment="1">
      <alignment horizontal="center" vertical="center" wrapText="1"/>
    </xf>
    <xf numFmtId="0" fontId="20" fillId="13" borderId="0" xfId="0" applyFont="1" applyFill="1" applyBorder="1" applyAlignment="1">
      <alignment horizontal="center"/>
    </xf>
    <xf numFmtId="0" fontId="16" fillId="13" borderId="0" xfId="0" applyFont="1" applyFill="1" applyAlignment="1">
      <alignment horizontal="center"/>
    </xf>
    <xf numFmtId="0" fontId="20" fillId="0" borderId="0" xfId="0" applyFont="1" applyBorder="1" applyAlignment="1">
      <alignment horizontal="center"/>
    </xf>
    <xf numFmtId="0" fontId="0" fillId="13" borderId="0" xfId="0" applyFill="1" applyProtection="1">
      <protection locked="0"/>
    </xf>
    <xf numFmtId="0" fontId="16" fillId="13" borderId="0" xfId="0" applyFont="1" applyFill="1" applyProtection="1">
      <protection locked="0"/>
    </xf>
    <xf numFmtId="0" fontId="25" fillId="13" borderId="0" xfId="0" applyFont="1" applyFill="1" applyProtection="1">
      <protection locked="0"/>
    </xf>
    <xf numFmtId="0" fontId="0" fillId="0" borderId="0" xfId="0" applyProtection="1">
      <protection locked="0"/>
    </xf>
    <xf numFmtId="0" fontId="20" fillId="13" borderId="0" xfId="0" applyFont="1" applyFill="1" applyProtection="1">
      <protection locked="0"/>
    </xf>
    <xf numFmtId="0" fontId="20" fillId="0" borderId="0" xfId="0" applyFont="1" applyProtection="1">
      <protection locked="0"/>
    </xf>
    <xf numFmtId="0" fontId="16" fillId="0" borderId="0" xfId="0" applyFont="1" applyProtection="1">
      <protection locked="0"/>
    </xf>
    <xf numFmtId="0" fontId="19" fillId="6" borderId="14" xfId="0" applyFont="1" applyFill="1" applyBorder="1" applyAlignment="1" applyProtection="1">
      <alignment horizontal="center" vertical="center"/>
    </xf>
    <xf numFmtId="0" fontId="18" fillId="6" borderId="7" xfId="0" applyFont="1" applyFill="1" applyBorder="1" applyAlignment="1" applyProtection="1">
      <alignment horizontal="center" vertical="center"/>
    </xf>
    <xf numFmtId="0" fontId="18" fillId="6" borderId="1" xfId="0" applyFont="1" applyFill="1" applyBorder="1" applyAlignment="1" applyProtection="1">
      <alignment horizontal="center" vertical="center"/>
    </xf>
    <xf numFmtId="0" fontId="18" fillId="6" borderId="2" xfId="0" applyFont="1" applyFill="1" applyBorder="1" applyAlignment="1" applyProtection="1">
      <alignment vertical="center"/>
    </xf>
    <xf numFmtId="0" fontId="19" fillId="6" borderId="3" xfId="0" applyFont="1" applyFill="1" applyBorder="1" applyAlignment="1" applyProtection="1">
      <alignment horizontal="center" vertical="center"/>
    </xf>
    <xf numFmtId="0" fontId="31" fillId="13" borderId="0" xfId="0" applyFont="1" applyFill="1"/>
    <xf numFmtId="0" fontId="31" fillId="0" borderId="0" xfId="0" applyFont="1"/>
    <xf numFmtId="0" fontId="20" fillId="13" borderId="0" xfId="0" applyFont="1" applyFill="1"/>
    <xf numFmtId="0" fontId="18" fillId="7" borderId="12" xfId="0" applyFont="1" applyFill="1" applyBorder="1" applyAlignment="1">
      <alignment horizontal="center" vertical="center"/>
    </xf>
    <xf numFmtId="0" fontId="18" fillId="7" borderId="13" xfId="0" applyFont="1" applyFill="1" applyBorder="1" applyAlignment="1">
      <alignment horizontal="center" vertical="center"/>
    </xf>
    <xf numFmtId="0" fontId="18" fillId="7" borderId="13" xfId="0" applyFont="1" applyFill="1" applyBorder="1" applyAlignment="1">
      <alignment vertical="center"/>
    </xf>
    <xf numFmtId="0" fontId="19" fillId="7" borderId="14" xfId="0" applyFont="1" applyFill="1" applyBorder="1" applyAlignment="1">
      <alignment horizontal="center" vertical="center"/>
    </xf>
    <xf numFmtId="0" fontId="20" fillId="0" borderId="0" xfId="0" applyFont="1"/>
    <xf numFmtId="0" fontId="19" fillId="13" borderId="7" xfId="0" applyFont="1" applyFill="1" applyBorder="1" applyAlignment="1">
      <alignment horizontal="center" vertical="center"/>
    </xf>
    <xf numFmtId="0" fontId="19" fillId="13" borderId="1" xfId="0" applyFont="1" applyFill="1" applyBorder="1" applyAlignment="1">
      <alignment horizontal="center" vertical="center"/>
    </xf>
    <xf numFmtId="0" fontId="19" fillId="13" borderId="29" xfId="0" applyFont="1" applyFill="1" applyBorder="1" applyAlignment="1">
      <alignment vertical="center"/>
    </xf>
    <xf numFmtId="1" fontId="19" fillId="13" borderId="29" xfId="0" applyNumberFormat="1" applyFont="1" applyFill="1" applyBorder="1" applyAlignment="1">
      <alignment horizontal="center" vertical="center"/>
    </xf>
    <xf numFmtId="0" fontId="19" fillId="13" borderId="29" xfId="0" applyFont="1" applyFill="1" applyBorder="1" applyAlignment="1">
      <alignment horizontal="center" vertical="center"/>
    </xf>
    <xf numFmtId="0" fontId="19" fillId="13" borderId="23" xfId="0" applyFont="1" applyFill="1" applyBorder="1" applyAlignment="1">
      <alignment vertical="center"/>
    </xf>
    <xf numFmtId="1" fontId="19" fillId="13" borderId="1" xfId="0" applyNumberFormat="1" applyFont="1" applyFill="1" applyBorder="1" applyAlignment="1">
      <alignment horizontal="center" vertical="center"/>
    </xf>
    <xf numFmtId="0" fontId="18" fillId="7" borderId="7" xfId="0" applyFont="1" applyFill="1" applyBorder="1" applyAlignment="1">
      <alignment horizontal="center" vertical="center"/>
    </xf>
    <xf numFmtId="0" fontId="18" fillId="7" borderId="2" xfId="0" applyFont="1" applyFill="1" applyBorder="1" applyAlignment="1">
      <alignment horizontal="center" vertical="center"/>
    </xf>
    <xf numFmtId="0" fontId="18" fillId="7" borderId="2" xfId="0" applyFont="1" applyFill="1" applyBorder="1" applyAlignment="1">
      <alignment vertical="center"/>
    </xf>
    <xf numFmtId="0" fontId="19" fillId="7" borderId="20" xfId="0" applyFont="1" applyFill="1" applyBorder="1" applyAlignment="1">
      <alignment horizontal="center" vertical="center"/>
    </xf>
    <xf numFmtId="0" fontId="19" fillId="7" borderId="3" xfId="0" applyFont="1" applyFill="1" applyBorder="1" applyAlignment="1">
      <alignment horizontal="center" vertical="center"/>
    </xf>
    <xf numFmtId="0" fontId="19" fillId="13" borderId="23" xfId="0" applyFont="1" applyFill="1" applyBorder="1" applyAlignment="1">
      <alignment horizontal="center" vertical="center"/>
    </xf>
    <xf numFmtId="0" fontId="31" fillId="8" borderId="7" xfId="0" applyFont="1" applyFill="1" applyBorder="1" applyAlignment="1">
      <alignment horizontal="center" vertical="center"/>
    </xf>
    <xf numFmtId="0" fontId="31" fillId="8" borderId="2" xfId="0" applyFont="1" applyFill="1" applyBorder="1" applyAlignment="1">
      <alignment horizontal="center" vertical="center"/>
    </xf>
    <xf numFmtId="0" fontId="31" fillId="8" borderId="2" xfId="0" applyFont="1" applyFill="1" applyBorder="1" applyAlignment="1">
      <alignment vertical="center"/>
    </xf>
    <xf numFmtId="0" fontId="20" fillId="8" borderId="3" xfId="0" applyFont="1" applyFill="1" applyBorder="1" applyAlignment="1">
      <alignment horizontal="center" vertical="center"/>
    </xf>
    <xf numFmtId="0" fontId="20" fillId="8" borderId="2" xfId="0" applyFont="1" applyFill="1" applyBorder="1" applyAlignment="1">
      <alignment horizontal="center" vertical="center"/>
    </xf>
    <xf numFmtId="0" fontId="20" fillId="13" borderId="7" xfId="0" applyFont="1" applyFill="1" applyBorder="1" applyAlignment="1">
      <alignment horizontal="center" vertical="center"/>
    </xf>
    <xf numFmtId="0" fontId="20" fillId="13" borderId="1" xfId="0" applyFont="1" applyFill="1" applyBorder="1" applyAlignment="1">
      <alignment horizontal="center" vertical="center"/>
    </xf>
    <xf numFmtId="0" fontId="20" fillId="13" borderId="29" xfId="0" applyFont="1" applyFill="1" applyBorder="1" applyAlignment="1">
      <alignment horizontal="center" vertical="center"/>
    </xf>
    <xf numFmtId="0" fontId="20" fillId="13" borderId="9" xfId="0" applyFont="1" applyFill="1" applyBorder="1" applyAlignment="1">
      <alignment horizontal="center" vertical="center"/>
    </xf>
    <xf numFmtId="0" fontId="20" fillId="13" borderId="10" xfId="0" applyFont="1" applyFill="1" applyBorder="1" applyAlignment="1">
      <alignment horizontal="center" vertical="center"/>
    </xf>
    <xf numFmtId="0" fontId="19" fillId="13" borderId="10" xfId="0" applyFont="1" applyFill="1" applyBorder="1" applyAlignment="1">
      <alignment vertical="center"/>
    </xf>
    <xf numFmtId="0" fontId="19" fillId="13" borderId="10" xfId="0" applyFont="1" applyFill="1" applyBorder="1" applyAlignment="1">
      <alignment horizontal="center" vertical="center"/>
    </xf>
    <xf numFmtId="1" fontId="32" fillId="5" borderId="10" xfId="0" applyNumberFormat="1" applyFont="1" applyFill="1" applyBorder="1" applyAlignment="1">
      <alignment horizontal="center" vertical="center"/>
    </xf>
    <xf numFmtId="0" fontId="18" fillId="7" borderId="1" xfId="0" applyFont="1" applyFill="1" applyBorder="1" applyAlignment="1">
      <alignment horizontal="center" vertical="center"/>
    </xf>
    <xf numFmtId="0" fontId="19" fillId="7" borderId="1" xfId="0" applyFont="1" applyFill="1" applyBorder="1" applyAlignment="1">
      <alignment horizontal="center" vertical="center"/>
    </xf>
    <xf numFmtId="0" fontId="19" fillId="7" borderId="2" xfId="0" applyFont="1" applyFill="1" applyBorder="1" applyAlignment="1">
      <alignment horizontal="center" vertical="center"/>
    </xf>
    <xf numFmtId="0" fontId="19" fillId="13" borderId="1" xfId="0" applyFont="1" applyFill="1" applyBorder="1" applyAlignment="1">
      <alignment vertical="center"/>
    </xf>
    <xf numFmtId="0" fontId="18" fillId="8" borderId="7" xfId="0" applyFont="1" applyFill="1" applyBorder="1" applyAlignment="1">
      <alignment horizontal="center" vertical="center"/>
    </xf>
    <xf numFmtId="0" fontId="18" fillId="8" borderId="1" xfId="0" applyFont="1" applyFill="1" applyBorder="1" applyAlignment="1">
      <alignment horizontal="center" vertical="center"/>
    </xf>
    <xf numFmtId="0" fontId="19" fillId="13" borderId="9" xfId="0" applyFont="1" applyFill="1" applyBorder="1" applyAlignment="1">
      <alignment horizontal="center" vertical="center"/>
    </xf>
    <xf numFmtId="0" fontId="19" fillId="13" borderId="12" xfId="0" applyFont="1" applyFill="1" applyBorder="1" applyAlignment="1">
      <alignment horizontal="center" vertical="center"/>
    </xf>
    <xf numFmtId="0" fontId="19" fillId="13" borderId="13" xfId="0" applyFont="1" applyFill="1" applyBorder="1" applyAlignment="1">
      <alignment vertical="center"/>
    </xf>
    <xf numFmtId="0" fontId="18" fillId="9" borderId="7" xfId="0" applyFont="1" applyFill="1" applyBorder="1" applyAlignment="1">
      <alignment horizontal="center" vertical="center"/>
    </xf>
    <xf numFmtId="0" fontId="18" fillId="9" borderId="2" xfId="0" applyFont="1" applyFill="1" applyBorder="1" applyAlignment="1">
      <alignment horizontal="center" vertical="center"/>
    </xf>
    <xf numFmtId="0" fontId="18" fillId="9" borderId="2" xfId="0" applyFont="1" applyFill="1" applyBorder="1" applyAlignment="1">
      <alignment vertical="center"/>
    </xf>
    <xf numFmtId="0" fontId="19" fillId="9" borderId="3"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20" xfId="0" applyFont="1" applyFill="1" applyBorder="1" applyAlignment="1">
      <alignment horizontal="center" vertical="center"/>
    </xf>
    <xf numFmtId="0" fontId="18" fillId="8" borderId="2" xfId="0" applyFont="1" applyFill="1" applyBorder="1" applyAlignment="1">
      <alignment horizontal="center" vertical="center"/>
    </xf>
    <xf numFmtId="0" fontId="19" fillId="13" borderId="57" xfId="0" applyFont="1" applyFill="1" applyBorder="1" applyAlignment="1">
      <alignment vertical="center"/>
    </xf>
    <xf numFmtId="0" fontId="18" fillId="7" borderId="29" xfId="0" applyFont="1" applyFill="1" applyBorder="1" applyAlignment="1">
      <alignment horizontal="center" vertical="center"/>
    </xf>
    <xf numFmtId="0" fontId="19" fillId="7" borderId="29" xfId="0" applyFont="1" applyFill="1" applyBorder="1" applyAlignment="1">
      <alignment horizontal="center" vertical="center"/>
    </xf>
    <xf numFmtId="0" fontId="31" fillId="13" borderId="0" xfId="0" applyFont="1" applyFill="1" applyBorder="1"/>
    <xf numFmtId="0" fontId="20" fillId="13" borderId="0" xfId="0" applyFont="1" applyFill="1" applyAlignment="1" applyProtection="1">
      <alignment vertical="center"/>
      <protection locked="0"/>
    </xf>
    <xf numFmtId="0" fontId="20" fillId="13" borderId="0" xfId="0" applyFont="1" applyFill="1" applyAlignment="1" applyProtection="1">
      <alignment horizontal="center" vertical="center"/>
      <protection locked="0"/>
    </xf>
    <xf numFmtId="0" fontId="0" fillId="13" borderId="0" xfId="0" applyFont="1" applyFill="1" applyProtection="1">
      <protection locked="0"/>
    </xf>
    <xf numFmtId="0" fontId="18" fillId="7" borderId="7" xfId="0" applyFont="1" applyFill="1" applyBorder="1" applyAlignment="1" applyProtection="1">
      <alignment horizontal="center" vertical="center"/>
    </xf>
    <xf numFmtId="0" fontId="18" fillId="7" borderId="1" xfId="0" applyFont="1" applyFill="1" applyBorder="1" applyAlignment="1" applyProtection="1">
      <alignment horizontal="center" vertical="center"/>
    </xf>
    <xf numFmtId="0" fontId="18" fillId="7" borderId="1" xfId="0" applyFont="1" applyFill="1" applyBorder="1" applyAlignment="1" applyProtection="1">
      <alignment vertical="center"/>
    </xf>
    <xf numFmtId="0" fontId="19" fillId="7" borderId="1" xfId="0" applyFont="1" applyFill="1" applyBorder="1" applyAlignment="1" applyProtection="1">
      <alignment horizontal="center" vertical="center"/>
    </xf>
    <xf numFmtId="0" fontId="31" fillId="8" borderId="7" xfId="0" applyFont="1" applyFill="1" applyBorder="1" applyAlignment="1" applyProtection="1">
      <alignment horizontal="center" vertical="center"/>
    </xf>
    <xf numFmtId="0" fontId="31" fillId="8" borderId="1" xfId="0" applyFont="1" applyFill="1" applyBorder="1" applyAlignment="1" applyProtection="1">
      <alignment horizontal="center" vertical="center"/>
    </xf>
    <xf numFmtId="0" fontId="31" fillId="8" borderId="1" xfId="0" applyFont="1" applyFill="1" applyBorder="1" applyAlignment="1" applyProtection="1">
      <alignment vertical="center"/>
    </xf>
    <xf numFmtId="0" fontId="20" fillId="8" borderId="1" xfId="0" applyFont="1" applyFill="1" applyBorder="1" applyAlignment="1" applyProtection="1">
      <alignment horizontal="center" vertical="center"/>
    </xf>
    <xf numFmtId="0" fontId="18" fillId="8" borderId="7" xfId="0" applyFont="1" applyFill="1" applyBorder="1" applyAlignment="1" applyProtection="1">
      <alignment horizontal="center" vertical="center"/>
    </xf>
    <xf numFmtId="0" fontId="18" fillId="8" borderId="1" xfId="0" applyFont="1" applyFill="1" applyBorder="1" applyAlignment="1" applyProtection="1">
      <alignment horizontal="center" vertical="center"/>
    </xf>
    <xf numFmtId="0" fontId="18" fillId="8" borderId="1" xfId="0" applyFont="1" applyFill="1" applyBorder="1" applyAlignment="1" applyProtection="1">
      <alignment vertical="center"/>
    </xf>
    <xf numFmtId="0" fontId="18" fillId="9" borderId="7" xfId="0" applyFont="1" applyFill="1" applyBorder="1" applyAlignment="1" applyProtection="1">
      <alignment horizontal="center" vertical="center"/>
    </xf>
    <xf numFmtId="0" fontId="18" fillId="9" borderId="1" xfId="0" applyFont="1" applyFill="1" applyBorder="1" applyAlignment="1" applyProtection="1">
      <alignment horizontal="center" vertical="center"/>
    </xf>
    <xf numFmtId="0" fontId="18" fillId="9" borderId="1" xfId="0" applyFont="1" applyFill="1" applyBorder="1" applyAlignment="1" applyProtection="1">
      <alignment vertical="center"/>
    </xf>
    <xf numFmtId="0" fontId="19" fillId="9" borderId="1" xfId="0" applyFont="1" applyFill="1" applyBorder="1" applyAlignment="1" applyProtection="1">
      <alignment horizontal="center" vertical="center"/>
    </xf>
    <xf numFmtId="0" fontId="19" fillId="8" borderId="1" xfId="0" applyFont="1" applyFill="1" applyBorder="1" applyAlignment="1" applyProtection="1">
      <alignment horizontal="center" vertical="center"/>
    </xf>
    <xf numFmtId="0" fontId="31" fillId="7" borderId="7" xfId="0" applyFont="1" applyFill="1" applyBorder="1" applyAlignment="1" applyProtection="1">
      <alignment horizontal="center" vertical="center"/>
    </xf>
    <xf numFmtId="0" fontId="31" fillId="7" borderId="1" xfId="0" applyFont="1" applyFill="1" applyBorder="1" applyAlignment="1" applyProtection="1">
      <alignment horizontal="center" vertical="center"/>
    </xf>
    <xf numFmtId="0" fontId="18" fillId="10" borderId="9" xfId="0" applyFont="1" applyFill="1" applyBorder="1" applyAlignment="1" applyProtection="1">
      <alignment horizontal="center" vertical="center"/>
    </xf>
    <xf numFmtId="0" fontId="18" fillId="10" borderId="10" xfId="0" applyFont="1" applyFill="1" applyBorder="1" applyAlignment="1" applyProtection="1">
      <alignment horizontal="center" vertical="center"/>
    </xf>
    <xf numFmtId="0" fontId="18" fillId="10" borderId="10" xfId="0" applyFont="1" applyFill="1" applyBorder="1" applyAlignment="1" applyProtection="1">
      <alignment vertical="center"/>
    </xf>
    <xf numFmtId="0" fontId="19" fillId="10" borderId="10" xfId="0" applyFont="1" applyFill="1" applyBorder="1" applyAlignment="1" applyProtection="1">
      <alignment horizontal="center" vertical="center"/>
    </xf>
    <xf numFmtId="0" fontId="31" fillId="13" borderId="0" xfId="0" applyFont="1" applyFill="1" applyProtection="1">
      <protection locked="0"/>
    </xf>
    <xf numFmtId="0" fontId="31" fillId="0" borderId="0" xfId="0" applyFont="1" applyProtection="1">
      <protection locked="0"/>
    </xf>
    <xf numFmtId="0" fontId="19" fillId="13" borderId="37" xfId="0" applyFont="1" applyFill="1" applyBorder="1" applyAlignment="1">
      <alignment horizontal="center" vertical="center"/>
    </xf>
    <xf numFmtId="0" fontId="32" fillId="5" borderId="10" xfId="0" applyFont="1" applyFill="1" applyBorder="1" applyAlignment="1">
      <alignment horizontal="center" vertical="center"/>
    </xf>
    <xf numFmtId="0" fontId="36" fillId="13" borderId="0" xfId="0" applyFont="1" applyFill="1" applyBorder="1" applyAlignment="1">
      <alignment horizontal="left" vertical="center"/>
    </xf>
    <xf numFmtId="0" fontId="19" fillId="13" borderId="22" xfId="0" applyFont="1" applyFill="1" applyBorder="1" applyAlignment="1">
      <alignment horizontal="center" vertical="center"/>
    </xf>
    <xf numFmtId="0" fontId="13" fillId="13" borderId="0" xfId="0" applyFont="1" applyFill="1"/>
    <xf numFmtId="0" fontId="13" fillId="0" borderId="0" xfId="0" applyFont="1"/>
    <xf numFmtId="0" fontId="12" fillId="6" borderId="0" xfId="0" applyFont="1" applyFill="1" applyBorder="1" applyAlignment="1">
      <alignment horizontal="center" vertical="center"/>
    </xf>
    <xf numFmtId="0" fontId="18" fillId="7" borderId="14" xfId="0" applyFont="1" applyFill="1" applyBorder="1" applyAlignment="1">
      <alignment vertical="center"/>
    </xf>
    <xf numFmtId="0" fontId="19" fillId="7" borderId="13" xfId="0" applyFont="1" applyFill="1" applyBorder="1" applyAlignment="1">
      <alignment vertical="center"/>
    </xf>
    <xf numFmtId="0" fontId="19" fillId="7" borderId="14" xfId="0" applyFont="1" applyFill="1" applyBorder="1" applyAlignment="1">
      <alignment vertical="center"/>
    </xf>
    <xf numFmtId="0" fontId="18" fillId="7" borderId="3" xfId="0" applyFont="1" applyFill="1" applyBorder="1" applyAlignment="1">
      <alignment vertical="center"/>
    </xf>
    <xf numFmtId="0" fontId="18" fillId="8" borderId="1" xfId="0" applyFont="1" applyFill="1" applyBorder="1" applyAlignment="1">
      <alignment vertical="center"/>
    </xf>
    <xf numFmtId="0" fontId="19" fillId="13" borderId="37" xfId="0" applyFont="1" applyFill="1" applyBorder="1" applyAlignment="1">
      <alignment vertical="center"/>
    </xf>
    <xf numFmtId="0" fontId="18" fillId="7" borderId="4" xfId="0" applyFont="1" applyFill="1" applyBorder="1" applyAlignment="1">
      <alignment horizontal="center" vertical="center"/>
    </xf>
    <xf numFmtId="0" fontId="18" fillId="7" borderId="17" xfId="0" applyFont="1" applyFill="1" applyBorder="1" applyAlignment="1">
      <alignment horizontal="center" vertical="center"/>
    </xf>
    <xf numFmtId="0" fontId="19" fillId="13" borderId="30" xfId="0" applyFont="1" applyFill="1" applyBorder="1" applyAlignment="1">
      <alignment vertical="center"/>
    </xf>
    <xf numFmtId="0" fontId="18" fillId="7" borderId="39" xfId="0" applyFont="1" applyFill="1" applyBorder="1" applyAlignment="1">
      <alignment horizontal="center" vertical="center"/>
    </xf>
    <xf numFmtId="0" fontId="18" fillId="7" borderId="23" xfId="0" applyFont="1" applyFill="1" applyBorder="1" applyAlignment="1">
      <alignment horizontal="center" vertical="center"/>
    </xf>
    <xf numFmtId="0" fontId="18" fillId="8" borderId="39" xfId="0" applyFont="1" applyFill="1" applyBorder="1" applyAlignment="1">
      <alignment horizontal="center" vertical="center"/>
    </xf>
    <xf numFmtId="0" fontId="18" fillId="8" borderId="23" xfId="0" applyFont="1" applyFill="1" applyBorder="1" applyAlignment="1">
      <alignment horizontal="center" vertical="center"/>
    </xf>
    <xf numFmtId="0" fontId="18" fillId="8" borderId="20" xfId="0" applyFont="1" applyFill="1" applyBorder="1" applyAlignment="1">
      <alignment vertical="center"/>
    </xf>
    <xf numFmtId="0" fontId="20" fillId="13" borderId="2"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38" xfId="0" applyFont="1" applyFill="1" applyBorder="1" applyAlignment="1">
      <alignment horizontal="center" vertical="center"/>
    </xf>
    <xf numFmtId="0" fontId="19" fillId="13" borderId="50" xfId="0" applyFont="1" applyFill="1" applyBorder="1" applyAlignment="1">
      <alignment vertical="center"/>
    </xf>
    <xf numFmtId="0" fontId="18" fillId="7" borderId="58" xfId="0" applyFont="1" applyFill="1" applyBorder="1" applyAlignment="1">
      <alignment horizontal="center" vertical="center"/>
    </xf>
    <xf numFmtId="0" fontId="18" fillId="8" borderId="22" xfId="0" applyFont="1" applyFill="1" applyBorder="1" applyAlignment="1">
      <alignment horizontal="center" vertical="center"/>
    </xf>
    <xf numFmtId="0" fontId="19" fillId="13" borderId="41" xfId="0" applyFont="1" applyFill="1" applyBorder="1" applyAlignment="1">
      <alignment horizontal="center" vertical="center"/>
    </xf>
    <xf numFmtId="0" fontId="19" fillId="13" borderId="33" xfId="0" applyFont="1" applyFill="1" applyBorder="1" applyAlignment="1">
      <alignment vertical="center"/>
    </xf>
    <xf numFmtId="0" fontId="18" fillId="8" borderId="3" xfId="0" applyFont="1" applyFill="1" applyBorder="1" applyAlignment="1">
      <alignment vertical="center"/>
    </xf>
    <xf numFmtId="0" fontId="18" fillId="8" borderId="12" xfId="0" applyFont="1" applyFill="1" applyBorder="1" applyAlignment="1">
      <alignment horizontal="center" vertical="center"/>
    </xf>
    <xf numFmtId="0" fontId="18" fillId="8" borderId="29" xfId="0" applyFont="1" applyFill="1" applyBorder="1" applyAlignment="1">
      <alignment horizontal="center" vertical="center"/>
    </xf>
    <xf numFmtId="0" fontId="18" fillId="10" borderId="12" xfId="0" applyFont="1" applyFill="1" applyBorder="1" applyAlignment="1">
      <alignment horizontal="center" vertical="center"/>
    </xf>
    <xf numFmtId="0" fontId="18" fillId="10" borderId="29" xfId="0" applyFont="1" applyFill="1" applyBorder="1" applyAlignment="1">
      <alignment horizontal="center" vertical="center"/>
    </xf>
    <xf numFmtId="0" fontId="19" fillId="10" borderId="13" xfId="0" applyFont="1" applyFill="1" applyBorder="1" applyAlignment="1">
      <alignment vertical="center"/>
    </xf>
    <xf numFmtId="0" fontId="19" fillId="10" borderId="14" xfId="0" applyFont="1" applyFill="1" applyBorder="1" applyAlignment="1">
      <alignment vertical="center"/>
    </xf>
    <xf numFmtId="0" fontId="19" fillId="10" borderId="14" xfId="0" applyFont="1" applyFill="1" applyBorder="1" applyAlignment="1">
      <alignment horizontal="center" vertical="center"/>
    </xf>
    <xf numFmtId="0" fontId="19" fillId="8" borderId="13" xfId="0" applyFont="1" applyFill="1" applyBorder="1" applyAlignment="1">
      <alignment horizontal="center" vertical="center"/>
    </xf>
    <xf numFmtId="0" fontId="19" fillId="8" borderId="14" xfId="0" applyFont="1" applyFill="1" applyBorder="1" applyAlignment="1">
      <alignment vertical="center"/>
    </xf>
    <xf numFmtId="0" fontId="19" fillId="8" borderId="14" xfId="0" applyFont="1" applyFill="1" applyBorder="1" applyAlignment="1">
      <alignment horizontal="center" vertical="center"/>
    </xf>
    <xf numFmtId="0" fontId="18" fillId="7" borderId="18" xfId="0" applyFont="1" applyFill="1" applyBorder="1" applyAlignment="1">
      <alignment vertical="center"/>
    </xf>
    <xf numFmtId="0" fontId="18" fillId="7" borderId="17" xfId="0" applyFont="1" applyFill="1" applyBorder="1" applyAlignment="1">
      <alignment vertical="center"/>
    </xf>
    <xf numFmtId="0" fontId="18" fillId="9" borderId="1" xfId="0" applyFont="1" applyFill="1" applyBorder="1" applyAlignment="1">
      <alignment horizontal="center" vertical="center"/>
    </xf>
    <xf numFmtId="0" fontId="18" fillId="9" borderId="1" xfId="0" applyFont="1" applyFill="1" applyBorder="1" applyAlignment="1">
      <alignment vertical="center"/>
    </xf>
    <xf numFmtId="0" fontId="18" fillId="13" borderId="25" xfId="0" applyFont="1" applyFill="1" applyBorder="1" applyAlignment="1">
      <alignment vertical="center"/>
    </xf>
    <xf numFmtId="0" fontId="19" fillId="13" borderId="40" xfId="0" applyFont="1" applyFill="1" applyBorder="1" applyAlignment="1">
      <alignment vertical="center"/>
    </xf>
    <xf numFmtId="0" fontId="31" fillId="7" borderId="7" xfId="0" applyFont="1" applyFill="1" applyBorder="1" applyAlignment="1">
      <alignment horizontal="center" vertical="center"/>
    </xf>
    <xf numFmtId="0" fontId="31" fillId="7" borderId="1" xfId="0" applyFont="1" applyFill="1" applyBorder="1" applyAlignment="1">
      <alignment horizontal="center" vertical="center"/>
    </xf>
    <xf numFmtId="0" fontId="31" fillId="7" borderId="2" xfId="0" applyFont="1" applyFill="1" applyBorder="1" applyAlignment="1">
      <alignment horizontal="center" vertical="center"/>
    </xf>
    <xf numFmtId="0" fontId="18" fillId="9" borderId="3" xfId="0" applyFont="1" applyFill="1" applyBorder="1" applyAlignment="1">
      <alignment vertical="center"/>
    </xf>
    <xf numFmtId="0" fontId="19" fillId="13" borderId="7" xfId="0" applyFont="1" applyFill="1" applyBorder="1" applyAlignment="1">
      <alignment vertical="center"/>
    </xf>
    <xf numFmtId="0" fontId="19" fillId="13" borderId="22" xfId="0" applyFont="1" applyFill="1" applyBorder="1" applyAlignment="1">
      <alignment vertical="center"/>
    </xf>
    <xf numFmtId="0" fontId="32" fillId="15" borderId="10" xfId="0" applyFont="1" applyFill="1" applyBorder="1" applyAlignment="1">
      <alignment horizontal="center" vertical="center"/>
    </xf>
    <xf numFmtId="0" fontId="19" fillId="6" borderId="15" xfId="0" applyFont="1" applyFill="1" applyBorder="1" applyAlignment="1" applyProtection="1">
      <alignment horizontal="center" vertical="center"/>
    </xf>
    <xf numFmtId="0" fontId="19" fillId="6" borderId="16" xfId="0" applyFont="1" applyFill="1" applyBorder="1" applyAlignment="1" applyProtection="1">
      <alignment horizontal="center" vertical="center"/>
    </xf>
    <xf numFmtId="0" fontId="28" fillId="13" borderId="0" xfId="0" applyFont="1" applyFill="1" applyAlignment="1" applyProtection="1">
      <alignment horizontal="left" vertical="center"/>
    </xf>
    <xf numFmtId="0" fontId="18" fillId="6" borderId="15" xfId="0" applyFont="1" applyFill="1" applyBorder="1" applyAlignment="1" applyProtection="1">
      <alignment vertical="center" wrapText="1"/>
      <protection locked="0"/>
    </xf>
    <xf numFmtId="0" fontId="18" fillId="6" borderId="16" xfId="0" applyFont="1" applyFill="1" applyBorder="1" applyAlignment="1" applyProtection="1">
      <alignment vertical="center" wrapText="1"/>
      <protection locked="0"/>
    </xf>
    <xf numFmtId="0" fontId="0" fillId="13" borderId="69" xfId="0" applyFill="1" applyBorder="1" applyAlignment="1" applyProtection="1">
      <alignment horizontal="center"/>
    </xf>
    <xf numFmtId="0" fontId="0" fillId="13" borderId="69" xfId="0" applyFill="1" applyBorder="1" applyProtection="1"/>
    <xf numFmtId="0" fontId="0" fillId="18" borderId="0" xfId="0" applyFill="1" applyProtection="1"/>
    <xf numFmtId="0" fontId="0" fillId="13" borderId="0" xfId="0" applyFill="1" applyProtection="1"/>
    <xf numFmtId="0" fontId="3" fillId="18" borderId="0" xfId="0" applyFont="1" applyFill="1" applyAlignment="1" applyProtection="1">
      <alignment horizontal="center"/>
    </xf>
    <xf numFmtId="0" fontId="0" fillId="13" borderId="69" xfId="0" applyFont="1" applyFill="1" applyBorder="1" applyAlignment="1" applyProtection="1">
      <alignment horizontal="center"/>
    </xf>
    <xf numFmtId="0" fontId="3" fillId="13" borderId="69" xfId="0" applyFont="1" applyFill="1" applyBorder="1" applyProtection="1"/>
    <xf numFmtId="0" fontId="3" fillId="18" borderId="0" xfId="0" applyFont="1" applyFill="1" applyProtection="1"/>
    <xf numFmtId="0" fontId="3" fillId="13" borderId="0" xfId="0" applyFont="1" applyFill="1" applyProtection="1"/>
    <xf numFmtId="0" fontId="0" fillId="13" borderId="0" xfId="0" applyFont="1" applyFill="1" applyProtection="1"/>
    <xf numFmtId="0" fontId="35" fillId="13" borderId="0" xfId="0" applyFont="1" applyFill="1" applyAlignment="1" applyProtection="1">
      <alignment vertical="center"/>
    </xf>
    <xf numFmtId="0" fontId="5" fillId="13" borderId="0" xfId="0" applyFont="1" applyFill="1" applyProtection="1"/>
    <xf numFmtId="0" fontId="22" fillId="15" borderId="0" xfId="0" applyFont="1" applyFill="1" applyAlignment="1" applyProtection="1">
      <alignment vertical="center"/>
      <protection locked="0"/>
    </xf>
    <xf numFmtId="0" fontId="16" fillId="17" borderId="64" xfId="0" applyFont="1" applyFill="1" applyBorder="1" applyAlignment="1" applyProtection="1">
      <alignment horizontal="center" vertical="center" wrapText="1"/>
      <protection locked="0"/>
    </xf>
    <xf numFmtId="0" fontId="3" fillId="16" borderId="68" xfId="0" applyFont="1" applyFill="1" applyBorder="1" applyAlignment="1" applyProtection="1">
      <alignment horizontal="center" vertical="center" wrapText="1"/>
      <protection locked="0"/>
    </xf>
    <xf numFmtId="0" fontId="16" fillId="17" borderId="67" xfId="0" applyFont="1" applyFill="1" applyBorder="1" applyAlignment="1" applyProtection="1">
      <alignment horizontal="center" vertical="center" wrapText="1"/>
      <protection locked="0"/>
    </xf>
    <xf numFmtId="0" fontId="3" fillId="16" borderId="66" xfId="0" applyFont="1" applyFill="1" applyBorder="1" applyAlignment="1" applyProtection="1">
      <alignment horizontal="center" vertical="center" wrapText="1"/>
      <protection locked="0"/>
    </xf>
    <xf numFmtId="0" fontId="0" fillId="17" borderId="0" xfId="0" applyFill="1" applyAlignment="1" applyProtection="1">
      <alignment horizontal="center" vertical="center" wrapText="1"/>
      <protection locked="0"/>
    </xf>
    <xf numFmtId="0" fontId="37" fillId="19" borderId="0" xfId="0" applyFont="1" applyFill="1" applyAlignment="1">
      <alignment horizontal="left" vertical="center"/>
    </xf>
    <xf numFmtId="0" fontId="18" fillId="7" borderId="18" xfId="0" applyFont="1" applyFill="1" applyBorder="1" applyAlignment="1">
      <alignment horizontal="left" vertical="center"/>
    </xf>
    <xf numFmtId="0" fontId="18" fillId="7" borderId="17" xfId="0" applyFont="1" applyFill="1" applyBorder="1" applyAlignment="1">
      <alignment horizontal="left" vertical="center"/>
    </xf>
    <xf numFmtId="0" fontId="18" fillId="7" borderId="2" xfId="0" applyFont="1" applyFill="1" applyBorder="1" applyAlignment="1">
      <alignment horizontal="left" vertical="center"/>
    </xf>
    <xf numFmtId="0" fontId="18" fillId="7" borderId="3" xfId="0" applyFont="1" applyFill="1" applyBorder="1" applyAlignment="1">
      <alignment horizontal="left" vertical="center"/>
    </xf>
    <xf numFmtId="0" fontId="18" fillId="9" borderId="2" xfId="0" applyFont="1" applyFill="1" applyBorder="1" applyAlignment="1">
      <alignment horizontal="left" vertical="center"/>
    </xf>
    <xf numFmtId="0" fontId="18" fillId="9" borderId="3" xfId="0" applyFont="1" applyFill="1" applyBorder="1" applyAlignment="1">
      <alignment horizontal="left" vertical="center"/>
    </xf>
    <xf numFmtId="0" fontId="21" fillId="13" borderId="0" xfId="0" applyFont="1" applyFill="1"/>
    <xf numFmtId="0" fontId="18" fillId="8" borderId="18" xfId="0" applyFont="1" applyFill="1" applyBorder="1" applyAlignment="1">
      <alignment vertical="center"/>
    </xf>
    <xf numFmtId="0" fontId="20" fillId="8" borderId="19" xfId="0" applyFont="1" applyFill="1" applyBorder="1" applyAlignment="1">
      <alignment horizontal="center" vertical="center"/>
    </xf>
    <xf numFmtId="0" fontId="18" fillId="10" borderId="18" xfId="0" applyFont="1" applyFill="1" applyBorder="1" applyAlignment="1">
      <alignment vertical="center"/>
    </xf>
    <xf numFmtId="0" fontId="19" fillId="10" borderId="19" xfId="0" applyFont="1" applyFill="1" applyBorder="1" applyAlignment="1">
      <alignment horizontal="center" vertical="center"/>
    </xf>
    <xf numFmtId="0" fontId="21" fillId="15" borderId="72" xfId="0" applyFont="1" applyFill="1" applyBorder="1" applyAlignment="1" applyProtection="1">
      <alignment horizontal="center" vertical="center"/>
      <protection locked="0"/>
    </xf>
    <xf numFmtId="0" fontId="16" fillId="17" borderId="72" xfId="0" applyFont="1" applyFill="1" applyBorder="1" applyAlignment="1" applyProtection="1">
      <alignment horizontal="center" vertical="center" wrapText="1"/>
      <protection locked="0"/>
    </xf>
    <xf numFmtId="0" fontId="18" fillId="13" borderId="7" xfId="0" applyFont="1" applyFill="1" applyBorder="1" applyAlignment="1" applyProtection="1">
      <alignment horizontal="center" vertical="center"/>
    </xf>
    <xf numFmtId="0" fontId="18" fillId="6" borderId="62" xfId="0" applyFont="1" applyFill="1" applyBorder="1" applyAlignment="1" applyProtection="1">
      <alignment horizontal="center" vertical="center"/>
    </xf>
    <xf numFmtId="0" fontId="18" fillId="13" borderId="22" xfId="0" applyFont="1" applyFill="1" applyBorder="1" applyAlignment="1" applyProtection="1">
      <alignment horizontal="center" vertical="center"/>
    </xf>
    <xf numFmtId="0" fontId="18" fillId="13" borderId="45" xfId="0" applyFont="1" applyFill="1" applyBorder="1" applyAlignment="1" applyProtection="1">
      <alignment horizontal="center" vertical="center"/>
    </xf>
    <xf numFmtId="0" fontId="16" fillId="13" borderId="0" xfId="0" applyFont="1" applyFill="1" applyProtection="1"/>
    <xf numFmtId="0" fontId="26" fillId="13" borderId="0" xfId="0" applyFont="1" applyFill="1" applyProtection="1"/>
    <xf numFmtId="0" fontId="32" fillId="5" borderId="10" xfId="0" applyFont="1" applyFill="1" applyBorder="1" applyAlignment="1" applyProtection="1">
      <alignment horizontal="center" vertical="center"/>
    </xf>
    <xf numFmtId="0" fontId="32" fillId="5" borderId="11" xfId="0" applyFont="1" applyFill="1" applyBorder="1" applyAlignment="1" applyProtection="1">
      <alignment horizontal="center" vertical="center"/>
    </xf>
    <xf numFmtId="0" fontId="34" fillId="15" borderId="33" xfId="0" applyFont="1" applyFill="1" applyBorder="1" applyAlignment="1" applyProtection="1">
      <alignment horizontal="center" vertical="center" wrapText="1"/>
    </xf>
    <xf numFmtId="0" fontId="34" fillId="15" borderId="10" xfId="0" applyFont="1" applyFill="1" applyBorder="1" applyAlignment="1" applyProtection="1">
      <alignment horizontal="center" vertical="center" wrapText="1"/>
    </xf>
    <xf numFmtId="0" fontId="34" fillId="15" borderId="11" xfId="0" applyFont="1" applyFill="1" applyBorder="1" applyAlignment="1" applyProtection="1">
      <alignment horizontal="center" vertical="center" wrapText="1"/>
    </xf>
    <xf numFmtId="0" fontId="31" fillId="0" borderId="31" xfId="0" applyFont="1" applyBorder="1" applyAlignment="1" applyProtection="1">
      <alignment vertical="center" wrapText="1"/>
    </xf>
    <xf numFmtId="0" fontId="31" fillId="0" borderId="8" xfId="0" applyFont="1" applyBorder="1" applyAlignment="1" applyProtection="1">
      <alignment vertical="center" wrapText="1"/>
    </xf>
    <xf numFmtId="0" fontId="0" fillId="13" borderId="0" xfId="0" applyFill="1" applyBorder="1" applyProtection="1"/>
    <xf numFmtId="0" fontId="35" fillId="13" borderId="0" xfId="0" applyFont="1" applyFill="1" applyBorder="1" applyAlignment="1" applyProtection="1"/>
    <xf numFmtId="0" fontId="18" fillId="8" borderId="13" xfId="0" applyFont="1" applyFill="1" applyBorder="1" applyAlignment="1">
      <alignment vertical="center"/>
    </xf>
    <xf numFmtId="0" fontId="20" fillId="8" borderId="30" xfId="0" applyFont="1" applyFill="1" applyBorder="1" applyAlignment="1">
      <alignment horizontal="center" vertical="center"/>
    </xf>
    <xf numFmtId="0" fontId="20" fillId="8" borderId="14" xfId="0" applyFont="1" applyFill="1" applyBorder="1" applyAlignment="1">
      <alignment horizontal="center" vertical="center"/>
    </xf>
    <xf numFmtId="0" fontId="3" fillId="13" borderId="0" xfId="0" applyFont="1" applyFill="1" applyBorder="1" applyProtection="1"/>
    <xf numFmtId="0" fontId="29" fillId="13" borderId="1" xfId="0" applyFont="1" applyFill="1" applyBorder="1" applyAlignment="1">
      <alignment horizontal="center" vertical="top" wrapText="1"/>
    </xf>
    <xf numFmtId="0" fontId="15" fillId="14" borderId="1" xfId="0" applyFont="1" applyFill="1" applyBorder="1" applyAlignment="1">
      <alignment horizontal="center" vertical="center"/>
    </xf>
    <xf numFmtId="0" fontId="15" fillId="7" borderId="1" xfId="0" applyFont="1" applyFill="1" applyBorder="1" applyAlignment="1">
      <alignment horizontal="center" vertical="center"/>
    </xf>
    <xf numFmtId="0" fontId="15" fillId="9" borderId="1" xfId="0" applyFont="1" applyFill="1" applyBorder="1" applyAlignment="1">
      <alignment horizontal="center" vertical="center"/>
    </xf>
    <xf numFmtId="0" fontId="15" fillId="10" borderId="1" xfId="0" applyFont="1" applyFill="1" applyBorder="1" applyAlignment="1">
      <alignment horizontal="center" vertical="center"/>
    </xf>
    <xf numFmtId="0" fontId="15" fillId="8"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18" fillId="6" borderId="16" xfId="0" applyFont="1" applyFill="1" applyBorder="1" applyAlignment="1" applyProtection="1">
      <alignment horizontal="left" vertical="center" wrapText="1"/>
      <protection locked="0"/>
    </xf>
    <xf numFmtId="0" fontId="19" fillId="7" borderId="8" xfId="0" applyFont="1" applyFill="1" applyBorder="1" applyAlignment="1" applyProtection="1">
      <alignment horizontal="left" vertical="center"/>
      <protection locked="0"/>
    </xf>
    <xf numFmtId="0" fontId="19" fillId="16" borderId="8" xfId="0" applyFont="1" applyFill="1" applyBorder="1" applyAlignment="1" applyProtection="1">
      <alignment horizontal="left" vertical="center"/>
      <protection locked="0"/>
    </xf>
    <xf numFmtId="0" fontId="19" fillId="10" borderId="11" xfId="0" applyFont="1" applyFill="1" applyBorder="1" applyAlignment="1" applyProtection="1">
      <alignment horizontal="left" vertical="center"/>
      <protection locked="0"/>
    </xf>
    <xf numFmtId="0" fontId="0" fillId="13" borderId="0" xfId="0" applyFill="1" applyAlignment="1" applyProtection="1">
      <alignment horizontal="center" vertical="center"/>
      <protection locked="0"/>
    </xf>
    <xf numFmtId="0" fontId="0" fillId="13" borderId="0" xfId="0" applyFont="1" applyFill="1" applyAlignment="1" applyProtection="1">
      <alignment horizontal="center" vertical="center"/>
      <protection locked="0"/>
    </xf>
    <xf numFmtId="0" fontId="0" fillId="13" borderId="0" xfId="0" applyFill="1" applyAlignment="1" applyProtection="1">
      <alignment horizontal="center" vertical="center"/>
    </xf>
    <xf numFmtId="0" fontId="0" fillId="0" borderId="0" xfId="0" applyAlignment="1" applyProtection="1">
      <alignment horizontal="center" vertical="center"/>
      <protection locked="0"/>
    </xf>
    <xf numFmtId="3" fontId="19" fillId="7" borderId="1" xfId="0" applyNumberFormat="1" applyFont="1" applyFill="1" applyBorder="1" applyAlignment="1" applyProtection="1">
      <alignment horizontal="center" vertical="center"/>
    </xf>
    <xf numFmtId="3" fontId="19" fillId="4" borderId="1" xfId="0" applyNumberFormat="1" applyFont="1" applyFill="1" applyBorder="1" applyAlignment="1" applyProtection="1">
      <alignment horizontal="center" vertical="center"/>
    </xf>
    <xf numFmtId="3" fontId="19" fillId="7" borderId="8" xfId="0" applyNumberFormat="1" applyFont="1" applyFill="1" applyBorder="1" applyAlignment="1" applyProtection="1">
      <alignment horizontal="center" vertical="center"/>
    </xf>
    <xf numFmtId="3" fontId="19" fillId="16" borderId="1" xfId="0" applyNumberFormat="1" applyFont="1" applyFill="1" applyBorder="1" applyAlignment="1" applyProtection="1">
      <alignment horizontal="center" vertical="center"/>
    </xf>
    <xf numFmtId="3" fontId="19" fillId="16" borderId="8" xfId="0" applyNumberFormat="1" applyFont="1" applyFill="1" applyBorder="1" applyAlignment="1" applyProtection="1">
      <alignment horizontal="center" vertical="center"/>
    </xf>
    <xf numFmtId="3" fontId="19" fillId="6" borderId="3" xfId="0" applyNumberFormat="1" applyFont="1" applyFill="1" applyBorder="1" applyAlignment="1" applyProtection="1">
      <alignment horizontal="center" vertical="center"/>
    </xf>
    <xf numFmtId="3" fontId="19" fillId="6" borderId="16" xfId="0" applyNumberFormat="1" applyFont="1" applyFill="1" applyBorder="1" applyAlignment="1" applyProtection="1">
      <alignment horizontal="center" vertical="center"/>
    </xf>
    <xf numFmtId="3" fontId="19" fillId="9" borderId="1" xfId="0" applyNumberFormat="1" applyFont="1" applyFill="1" applyBorder="1" applyAlignment="1" applyProtection="1">
      <alignment horizontal="center" vertical="center"/>
    </xf>
    <xf numFmtId="3" fontId="19" fillId="9" borderId="8" xfId="0" applyNumberFormat="1" applyFont="1" applyFill="1" applyBorder="1" applyAlignment="1" applyProtection="1">
      <alignment horizontal="center" vertical="center"/>
    </xf>
    <xf numFmtId="3" fontId="19" fillId="10" borderId="10" xfId="0" applyNumberFormat="1" applyFont="1" applyFill="1" applyBorder="1" applyAlignment="1" applyProtection="1">
      <alignment horizontal="center" vertical="center"/>
    </xf>
    <xf numFmtId="3" fontId="19" fillId="10" borderId="11" xfId="0" applyNumberFormat="1" applyFont="1" applyFill="1" applyBorder="1" applyAlignment="1" applyProtection="1">
      <alignment horizontal="center" vertical="center"/>
    </xf>
    <xf numFmtId="0" fontId="19" fillId="9" borderId="8" xfId="0" applyFont="1" applyFill="1" applyBorder="1" applyAlignment="1" applyProtection="1">
      <alignment horizontal="left" vertical="center"/>
      <protection locked="0"/>
    </xf>
    <xf numFmtId="3" fontId="19" fillId="6" borderId="31" xfId="0" applyNumberFormat="1" applyFont="1" applyFill="1" applyBorder="1" applyAlignment="1" applyProtection="1">
      <alignment horizontal="center" vertical="center"/>
    </xf>
    <xf numFmtId="3" fontId="19" fillId="6" borderId="8" xfId="0" applyNumberFormat="1" applyFont="1" applyFill="1" applyBorder="1" applyAlignment="1" applyProtection="1">
      <alignment horizontal="center" vertical="center"/>
    </xf>
    <xf numFmtId="3" fontId="19" fillId="13" borderId="8" xfId="0" applyNumberFormat="1" applyFont="1" applyFill="1" applyBorder="1" applyAlignment="1" applyProtection="1">
      <alignment horizontal="center" vertical="center"/>
    </xf>
    <xf numFmtId="3" fontId="19" fillId="10" borderId="23" xfId="0" applyNumberFormat="1" applyFont="1" applyFill="1" applyBorder="1" applyAlignment="1" applyProtection="1">
      <alignment horizontal="center" vertical="center"/>
    </xf>
    <xf numFmtId="3" fontId="31" fillId="18" borderId="43" xfId="0" applyNumberFormat="1" applyFont="1" applyFill="1" applyBorder="1" applyAlignment="1" applyProtection="1">
      <alignment horizontal="center" vertical="center"/>
    </xf>
    <xf numFmtId="3" fontId="31" fillId="18" borderId="44" xfId="0" applyNumberFormat="1" applyFont="1" applyFill="1" applyBorder="1" applyAlignment="1" applyProtection="1">
      <alignment horizontal="center" vertical="center"/>
    </xf>
    <xf numFmtId="3" fontId="20" fillId="11" borderId="30" xfId="0" applyNumberFormat="1" applyFont="1" applyFill="1" applyBorder="1" applyAlignment="1" applyProtection="1">
      <alignment horizontal="center" vertical="center" wrapText="1"/>
    </xf>
    <xf numFmtId="3" fontId="20" fillId="11" borderId="29" xfId="0" applyNumberFormat="1" applyFont="1" applyFill="1" applyBorder="1" applyAlignment="1" applyProtection="1">
      <alignment horizontal="center" vertical="center" wrapText="1"/>
    </xf>
    <xf numFmtId="3" fontId="20" fillId="12" borderId="29" xfId="0" applyNumberFormat="1" applyFont="1" applyFill="1" applyBorder="1" applyAlignment="1" applyProtection="1">
      <alignment horizontal="center" vertical="center" wrapText="1"/>
    </xf>
    <xf numFmtId="3" fontId="20" fillId="13" borderId="12" xfId="0" applyNumberFormat="1" applyFont="1" applyFill="1" applyBorder="1" applyAlignment="1" applyProtection="1">
      <alignment horizontal="center" vertical="center" wrapText="1"/>
    </xf>
    <xf numFmtId="3" fontId="20" fillId="13" borderId="31" xfId="0" applyNumberFormat="1" applyFont="1" applyFill="1" applyBorder="1" applyAlignment="1" applyProtection="1">
      <alignment horizontal="center" vertical="center" wrapText="1"/>
    </xf>
    <xf numFmtId="3" fontId="20" fillId="11" borderId="20" xfId="0" applyNumberFormat="1" applyFont="1" applyFill="1" applyBorder="1" applyAlignment="1" applyProtection="1">
      <alignment horizontal="center" vertical="center" wrapText="1"/>
    </xf>
    <xf numFmtId="3" fontId="20" fillId="13" borderId="7" xfId="0" applyNumberFormat="1" applyFont="1" applyFill="1" applyBorder="1" applyAlignment="1" applyProtection="1">
      <alignment horizontal="center" vertical="center" wrapText="1"/>
    </xf>
    <xf numFmtId="3" fontId="20" fillId="13" borderId="8" xfId="0" applyNumberFormat="1" applyFont="1" applyFill="1" applyBorder="1" applyAlignment="1" applyProtection="1">
      <alignment horizontal="center" vertical="center" wrapText="1"/>
    </xf>
    <xf numFmtId="3" fontId="20" fillId="12" borderId="20" xfId="0" applyNumberFormat="1" applyFont="1" applyFill="1" applyBorder="1" applyAlignment="1" applyProtection="1">
      <alignment horizontal="center" vertical="center" wrapText="1"/>
    </xf>
    <xf numFmtId="3" fontId="20" fillId="12" borderId="28" xfId="0" applyNumberFormat="1" applyFont="1" applyFill="1" applyBorder="1" applyAlignment="1" applyProtection="1">
      <alignment horizontal="center" vertical="center" wrapText="1"/>
    </xf>
    <xf numFmtId="3" fontId="20" fillId="13" borderId="26" xfId="0" applyNumberFormat="1" applyFont="1" applyFill="1" applyBorder="1" applyAlignment="1" applyProtection="1">
      <alignment horizontal="center" vertical="center" wrapText="1"/>
    </xf>
    <xf numFmtId="3" fontId="31" fillId="2" borderId="46" xfId="0" applyNumberFormat="1" applyFont="1" applyFill="1" applyBorder="1" applyAlignment="1" applyProtection="1">
      <alignment horizontal="center" vertical="center" wrapText="1"/>
    </xf>
    <xf numFmtId="3" fontId="20" fillId="2" borderId="43" xfId="0" applyNumberFormat="1" applyFont="1" applyFill="1" applyBorder="1" applyAlignment="1" applyProtection="1">
      <alignment horizontal="center" vertical="center" wrapText="1"/>
    </xf>
    <xf numFmtId="3" fontId="31" fillId="2" borderId="42" xfId="0" applyNumberFormat="1" applyFont="1" applyFill="1" applyBorder="1" applyAlignment="1" applyProtection="1">
      <alignment horizontal="center" vertical="center" wrapText="1"/>
    </xf>
    <xf numFmtId="3" fontId="31" fillId="2" borderId="44" xfId="0" applyNumberFormat="1" applyFont="1" applyFill="1" applyBorder="1" applyAlignment="1" applyProtection="1">
      <alignment horizontal="center" vertical="center" wrapText="1"/>
    </xf>
    <xf numFmtId="0" fontId="18" fillId="6" borderId="45" xfId="0" applyFont="1" applyFill="1" applyBorder="1" applyAlignment="1" applyProtection="1">
      <alignment horizontal="center" vertical="center"/>
    </xf>
    <xf numFmtId="0" fontId="31" fillId="0" borderId="26" xfId="0" applyFont="1" applyBorder="1" applyAlignment="1" applyProtection="1">
      <alignment vertical="center" wrapText="1"/>
    </xf>
    <xf numFmtId="3" fontId="20" fillId="3" borderId="8" xfId="0" applyNumberFormat="1" applyFont="1" applyFill="1" applyBorder="1" applyAlignment="1" applyProtection="1">
      <alignment horizontal="center" vertical="center" wrapText="1"/>
    </xf>
    <xf numFmtId="3" fontId="20" fillId="3" borderId="1" xfId="0" applyNumberFormat="1" applyFont="1" applyFill="1" applyBorder="1" applyAlignment="1" applyProtection="1">
      <alignment horizontal="center" vertical="center" wrapText="1"/>
    </xf>
    <xf numFmtId="3" fontId="20" fillId="3" borderId="7" xfId="0" applyNumberFormat="1" applyFont="1" applyFill="1" applyBorder="1" applyAlignment="1" applyProtection="1">
      <alignment horizontal="center" vertical="center" wrapText="1"/>
    </xf>
    <xf numFmtId="3" fontId="20" fillId="3" borderId="23" xfId="0" applyNumberFormat="1" applyFont="1" applyFill="1" applyBorder="1" applyAlignment="1" applyProtection="1">
      <alignment horizontal="center" vertical="center" wrapText="1"/>
    </xf>
    <xf numFmtId="3" fontId="20" fillId="3" borderId="22" xfId="0" applyNumberFormat="1" applyFont="1" applyFill="1" applyBorder="1" applyAlignment="1" applyProtection="1">
      <alignment horizontal="center" vertical="center" wrapText="1"/>
    </xf>
    <xf numFmtId="0" fontId="18" fillId="18" borderId="45" xfId="0" applyFont="1" applyFill="1" applyBorder="1" applyAlignment="1" applyProtection="1">
      <alignment vertical="center"/>
    </xf>
    <xf numFmtId="0" fontId="18" fillId="6" borderId="20" xfId="0" applyFont="1" applyFill="1" applyBorder="1" applyAlignment="1" applyProtection="1">
      <alignment vertical="center"/>
    </xf>
    <xf numFmtId="0" fontId="39" fillId="13" borderId="0" xfId="0" applyFont="1" applyFill="1" applyProtection="1"/>
    <xf numFmtId="0" fontId="40" fillId="13" borderId="0" xfId="0" applyFont="1" applyFill="1" applyAlignment="1" applyProtection="1">
      <alignment horizontal="left" vertical="center"/>
    </xf>
    <xf numFmtId="0" fontId="20" fillId="13" borderId="0" xfId="0" applyFont="1" applyFill="1" applyProtection="1"/>
    <xf numFmtId="0" fontId="31" fillId="13" borderId="0" xfId="0" applyFont="1" applyFill="1" applyProtection="1"/>
    <xf numFmtId="3" fontId="19" fillId="3" borderId="8" xfId="0" applyNumberFormat="1" applyFont="1" applyFill="1" applyBorder="1" applyAlignment="1" applyProtection="1">
      <alignment horizontal="center" vertical="center"/>
    </xf>
    <xf numFmtId="3" fontId="19" fillId="3" borderId="31" xfId="0" applyNumberFormat="1" applyFont="1" applyFill="1" applyBorder="1" applyAlignment="1" applyProtection="1">
      <alignment horizontal="center" vertical="center"/>
    </xf>
    <xf numFmtId="3" fontId="20" fillId="3" borderId="26" xfId="0" applyNumberFormat="1" applyFont="1" applyFill="1" applyBorder="1" applyAlignment="1" applyProtection="1">
      <alignment horizontal="center" vertical="center" wrapText="1"/>
    </xf>
    <xf numFmtId="3" fontId="19" fillId="7" borderId="29" xfId="0" applyNumberFormat="1" applyFont="1" applyFill="1" applyBorder="1" applyAlignment="1" applyProtection="1">
      <alignment horizontal="center" vertical="center"/>
    </xf>
    <xf numFmtId="3" fontId="19" fillId="20" borderId="29" xfId="0" applyNumberFormat="1" applyFont="1" applyFill="1" applyBorder="1" applyAlignment="1" applyProtection="1">
      <alignment horizontal="center" vertical="center"/>
    </xf>
    <xf numFmtId="3" fontId="19" fillId="20" borderId="1" xfId="0" applyNumberFormat="1" applyFont="1" applyFill="1" applyBorder="1" applyAlignment="1" applyProtection="1">
      <alignment horizontal="center" vertical="center"/>
    </xf>
    <xf numFmtId="3" fontId="18" fillId="18" borderId="1" xfId="0" applyNumberFormat="1" applyFont="1" applyFill="1" applyBorder="1" applyAlignment="1" applyProtection="1">
      <alignment horizontal="center" vertical="center"/>
    </xf>
    <xf numFmtId="3" fontId="18" fillId="18" borderId="8" xfId="0" applyNumberFormat="1" applyFont="1" applyFill="1" applyBorder="1" applyAlignment="1" applyProtection="1">
      <alignment horizontal="center" vertical="center"/>
    </xf>
    <xf numFmtId="3" fontId="18" fillId="3" borderId="1" xfId="0" applyNumberFormat="1" applyFont="1" applyFill="1" applyBorder="1" applyAlignment="1" applyProtection="1">
      <alignment horizontal="center" vertical="center"/>
    </xf>
    <xf numFmtId="0" fontId="19" fillId="8" borderId="1" xfId="0" applyFont="1" applyFill="1" applyBorder="1" applyAlignment="1">
      <alignment horizontal="center" vertical="center"/>
    </xf>
    <xf numFmtId="0" fontId="19" fillId="10" borderId="13" xfId="0" applyFont="1" applyFill="1" applyBorder="1" applyAlignment="1">
      <alignment horizontal="center" vertical="center"/>
    </xf>
    <xf numFmtId="0" fontId="32" fillId="5" borderId="10" xfId="0" applyFont="1" applyFill="1" applyBorder="1" applyAlignment="1">
      <alignment horizontal="center" vertical="center"/>
    </xf>
    <xf numFmtId="0" fontId="18" fillId="6" borderId="14" xfId="0" applyFont="1" applyFill="1" applyBorder="1" applyAlignment="1" applyProtection="1">
      <alignment horizontal="left" vertical="center"/>
    </xf>
    <xf numFmtId="0" fontId="18" fillId="6" borderId="3" xfId="0" applyFont="1" applyFill="1" applyBorder="1" applyAlignment="1" applyProtection="1">
      <alignment vertical="center"/>
    </xf>
    <xf numFmtId="0" fontId="19" fillId="18" borderId="2" xfId="0" applyFont="1" applyFill="1" applyBorder="1" applyAlignment="1" applyProtection="1">
      <alignment vertical="center"/>
    </xf>
    <xf numFmtId="0" fontId="19" fillId="18" borderId="20" xfId="0" applyFont="1" applyFill="1" applyBorder="1" applyAlignment="1" applyProtection="1">
      <alignment vertical="center"/>
    </xf>
    <xf numFmtId="0" fontId="19" fillId="18" borderId="3" xfId="0" applyFont="1" applyFill="1" applyBorder="1" applyAlignment="1" applyProtection="1">
      <alignment vertical="center"/>
    </xf>
    <xf numFmtId="0" fontId="18" fillId="13" borderId="2" xfId="0" applyFont="1" applyFill="1" applyBorder="1" applyAlignment="1" applyProtection="1">
      <alignment vertical="center"/>
    </xf>
    <xf numFmtId="0" fontId="18" fillId="13" borderId="20" xfId="0" applyFont="1" applyFill="1" applyBorder="1" applyAlignment="1" applyProtection="1">
      <alignment vertical="center"/>
    </xf>
    <xf numFmtId="0" fontId="18" fillId="13" borderId="3" xfId="0" applyFont="1" applyFill="1" applyBorder="1" applyAlignment="1" applyProtection="1">
      <alignment vertical="center"/>
    </xf>
    <xf numFmtId="0" fontId="18" fillId="13" borderId="32" xfId="0" applyFont="1" applyFill="1" applyBorder="1" applyAlignment="1" applyProtection="1">
      <alignment vertical="center"/>
    </xf>
    <xf numFmtId="0" fontId="18" fillId="13" borderId="33" xfId="0" applyFont="1" applyFill="1" applyBorder="1" applyAlignment="1" applyProtection="1">
      <alignment vertical="center"/>
    </xf>
    <xf numFmtId="0" fontId="18" fillId="13" borderId="40" xfId="0" applyFont="1" applyFill="1" applyBorder="1" applyAlignment="1" applyProtection="1">
      <alignment vertical="center"/>
    </xf>
    <xf numFmtId="0" fontId="32" fillId="5" borderId="10" xfId="0" applyFont="1" applyFill="1" applyBorder="1" applyAlignment="1" applyProtection="1">
      <alignment horizontal="center" vertical="center"/>
    </xf>
    <xf numFmtId="0" fontId="18" fillId="6" borderId="3" xfId="0" applyFont="1" applyFill="1" applyBorder="1" applyAlignment="1" applyProtection="1">
      <alignment horizontal="left" vertical="center"/>
    </xf>
    <xf numFmtId="0" fontId="0" fillId="13" borderId="0" xfId="0" applyFont="1" applyFill="1" applyBorder="1" applyAlignment="1">
      <alignment horizontal="center"/>
    </xf>
    <xf numFmtId="0" fontId="0" fillId="0" borderId="0" xfId="0" applyFont="1" applyFill="1" applyBorder="1"/>
    <xf numFmtId="1" fontId="0" fillId="13" borderId="0" xfId="0" applyNumberFormat="1" applyFont="1" applyFill="1"/>
    <xf numFmtId="3" fontId="19" fillId="9" borderId="51" xfId="0" applyNumberFormat="1" applyFont="1" applyFill="1" applyBorder="1" applyAlignment="1" applyProtection="1">
      <alignment horizontal="center" vertical="center"/>
    </xf>
    <xf numFmtId="0" fontId="31" fillId="18" borderId="42" xfId="0" applyFont="1" applyFill="1" applyBorder="1" applyAlignment="1" applyProtection="1">
      <alignment horizontal="center" vertical="center"/>
    </xf>
    <xf numFmtId="0" fontId="20" fillId="18" borderId="47" xfId="0" applyFont="1" applyFill="1" applyBorder="1" applyAlignment="1" applyProtection="1">
      <alignment vertical="center"/>
    </xf>
    <xf numFmtId="0" fontId="20" fillId="18" borderId="54" xfId="0" applyFont="1" applyFill="1" applyBorder="1" applyAlignment="1" applyProtection="1">
      <alignment vertical="center"/>
    </xf>
    <xf numFmtId="0" fontId="20" fillId="18" borderId="46" xfId="0" applyFont="1" applyFill="1" applyBorder="1" applyAlignment="1" applyProtection="1">
      <alignment vertical="center"/>
    </xf>
    <xf numFmtId="0" fontId="31" fillId="13" borderId="0" xfId="0" applyFont="1" applyFill="1" applyAlignment="1" applyProtection="1">
      <alignment vertical="center"/>
      <protection locked="0"/>
    </xf>
    <xf numFmtId="0" fontId="41" fillId="13" borderId="0" xfId="0" applyFont="1" applyFill="1" applyProtection="1">
      <protection locked="0"/>
    </xf>
    <xf numFmtId="0" fontId="44" fillId="13" borderId="0" xfId="0" applyFont="1" applyFill="1" applyProtection="1">
      <protection locked="0"/>
    </xf>
    <xf numFmtId="3" fontId="40" fillId="13" borderId="0" xfId="0" applyNumberFormat="1" applyFont="1" applyFill="1" applyAlignment="1" applyProtection="1">
      <alignment horizontal="left"/>
    </xf>
    <xf numFmtId="4" fontId="40" fillId="13" borderId="0" xfId="0" applyNumberFormat="1" applyFont="1" applyFill="1" applyAlignment="1" applyProtection="1">
      <alignment horizontal="left"/>
    </xf>
    <xf numFmtId="0" fontId="20" fillId="21" borderId="0" xfId="0" applyFont="1" applyFill="1" applyProtection="1"/>
    <xf numFmtId="0" fontId="38" fillId="13" borderId="0" xfId="0" applyFont="1" applyFill="1" applyProtection="1"/>
    <xf numFmtId="0" fontId="20" fillId="0" borderId="0" xfId="0" applyFont="1" applyProtection="1"/>
    <xf numFmtId="0" fontId="20" fillId="13" borderId="0" xfId="0" applyFont="1" applyFill="1" applyAlignment="1" applyProtection="1">
      <alignment vertical="center"/>
    </xf>
    <xf numFmtId="0" fontId="20" fillId="21" borderId="0" xfId="0" applyFont="1" applyFill="1" applyAlignment="1" applyProtection="1">
      <alignment vertical="center"/>
    </xf>
    <xf numFmtId="0" fontId="20" fillId="0" borderId="0" xfId="0" applyFont="1" applyAlignment="1" applyProtection="1">
      <alignment vertical="center"/>
    </xf>
    <xf numFmtId="0" fontId="31" fillId="21" borderId="0" xfId="0" applyFont="1" applyFill="1" applyProtection="1"/>
    <xf numFmtId="0" fontId="31" fillId="0" borderId="0" xfId="0" applyFont="1" applyProtection="1"/>
    <xf numFmtId="0" fontId="31" fillId="13" borderId="0" xfId="0" applyFont="1" applyFill="1" applyAlignment="1" applyProtection="1">
      <alignment vertical="center"/>
    </xf>
    <xf numFmtId="0" fontId="31" fillId="21" borderId="0" xfId="0" applyFont="1" applyFill="1" applyAlignment="1" applyProtection="1">
      <alignment vertical="center"/>
    </xf>
    <xf numFmtId="0" fontId="41" fillId="13" borderId="0" xfId="0" applyFont="1" applyFill="1" applyProtection="1"/>
    <xf numFmtId="0" fontId="43" fillId="21" borderId="0" xfId="0" applyFont="1" applyFill="1" applyProtection="1"/>
    <xf numFmtId="0" fontId="41" fillId="21" borderId="0" xfId="0" applyFont="1" applyFill="1" applyProtection="1"/>
    <xf numFmtId="0" fontId="44" fillId="13" borderId="0" xfId="0" applyFont="1" applyFill="1" applyProtection="1"/>
    <xf numFmtId="0" fontId="45" fillId="21" borderId="0" xfId="0" applyFont="1" applyFill="1" applyProtection="1"/>
    <xf numFmtId="3" fontId="46" fillId="21" borderId="0" xfId="0" applyNumberFormat="1" applyFont="1" applyFill="1" applyProtection="1"/>
    <xf numFmtId="0" fontId="46" fillId="21" borderId="0" xfId="0" applyFont="1" applyFill="1" applyProtection="1"/>
    <xf numFmtId="0" fontId="44" fillId="21" borderId="0" xfId="0" applyFont="1" applyFill="1" applyProtection="1"/>
    <xf numFmtId="0" fontId="47" fillId="21" borderId="0" xfId="0" applyFont="1" applyFill="1" applyProtection="1"/>
    <xf numFmtId="0" fontId="19" fillId="13" borderId="2" xfId="0" applyFont="1" applyFill="1" applyBorder="1" applyAlignment="1">
      <alignment horizontal="center" vertical="center" wrapText="1"/>
    </xf>
    <xf numFmtId="0" fontId="20" fillId="13" borderId="27" xfId="0" applyFont="1" applyFill="1" applyBorder="1" applyAlignment="1">
      <alignment horizontal="center" vertical="center"/>
    </xf>
    <xf numFmtId="0" fontId="19" fillId="13" borderId="27" xfId="0" applyFont="1" applyFill="1" applyBorder="1" applyAlignment="1">
      <alignment horizontal="center" vertical="center" wrapText="1"/>
    </xf>
    <xf numFmtId="1" fontId="20" fillId="13" borderId="27" xfId="0" applyNumberFormat="1" applyFont="1" applyFill="1" applyBorder="1" applyAlignment="1">
      <alignment horizontal="center" vertical="center"/>
    </xf>
    <xf numFmtId="0" fontId="18" fillId="18" borderId="70" xfId="0" applyFont="1" applyFill="1" applyBorder="1" applyAlignment="1">
      <alignment vertical="center"/>
    </xf>
    <xf numFmtId="0" fontId="18" fillId="18" borderId="71" xfId="0" applyFont="1" applyFill="1" applyBorder="1" applyAlignment="1">
      <alignment vertical="center"/>
    </xf>
    <xf numFmtId="0" fontId="0" fillId="13" borderId="69" xfId="0" applyFill="1" applyBorder="1" applyAlignment="1" applyProtection="1">
      <alignment horizontal="left"/>
    </xf>
    <xf numFmtId="0" fontId="49" fillId="22" borderId="70" xfId="0" applyFont="1" applyFill="1" applyBorder="1" applyAlignment="1">
      <alignment vertical="center"/>
    </xf>
    <xf numFmtId="0" fontId="49" fillId="22" borderId="17" xfId="0" applyFont="1" applyFill="1" applyBorder="1" applyAlignment="1">
      <alignment vertical="center"/>
    </xf>
    <xf numFmtId="0" fontId="2" fillId="15" borderId="19" xfId="0" applyFont="1" applyFill="1" applyBorder="1" applyAlignment="1">
      <alignment vertical="center" wrapText="1"/>
    </xf>
    <xf numFmtId="0" fontId="2" fillId="15" borderId="10" xfId="0" applyFont="1" applyFill="1" applyBorder="1" applyAlignment="1">
      <alignment horizontal="center" vertical="center" wrapText="1"/>
    </xf>
    <xf numFmtId="0" fontId="2" fillId="15" borderId="11" xfId="0" applyFont="1" applyFill="1" applyBorder="1" applyAlignment="1">
      <alignment horizontal="center" vertical="center" wrapText="1"/>
    </xf>
    <xf numFmtId="0" fontId="49" fillId="22" borderId="62" xfId="0" applyFont="1" applyFill="1" applyBorder="1" applyAlignment="1">
      <alignment vertical="center"/>
    </xf>
    <xf numFmtId="0" fontId="49" fillId="22" borderId="14" xfId="0" applyFont="1" applyFill="1" applyBorder="1" applyAlignment="1">
      <alignment vertical="center"/>
    </xf>
    <xf numFmtId="0" fontId="5" fillId="19" borderId="0" xfId="0" applyFont="1" applyFill="1"/>
    <xf numFmtId="0" fontId="49" fillId="22" borderId="3" xfId="0" applyFont="1" applyFill="1" applyBorder="1" applyAlignment="1">
      <alignment vertical="center"/>
    </xf>
    <xf numFmtId="0" fontId="49" fillId="22" borderId="45" xfId="0" applyFont="1" applyFill="1" applyBorder="1" applyAlignment="1">
      <alignment vertical="center"/>
    </xf>
    <xf numFmtId="0" fontId="49" fillId="22" borderId="16" xfId="0" applyFont="1" applyFill="1" applyBorder="1" applyAlignment="1">
      <alignment vertical="center"/>
    </xf>
    <xf numFmtId="0" fontId="49" fillId="22" borderId="15" xfId="0" applyFont="1" applyFill="1" applyBorder="1" applyAlignment="1">
      <alignment vertical="center"/>
    </xf>
    <xf numFmtId="0" fontId="49" fillId="22" borderId="80" xfId="0" applyFont="1" applyFill="1" applyBorder="1" applyAlignment="1">
      <alignment vertical="center"/>
    </xf>
    <xf numFmtId="0" fontId="49" fillId="22" borderId="40" xfId="0" applyFont="1" applyFill="1" applyBorder="1" applyAlignment="1">
      <alignment vertical="center"/>
    </xf>
    <xf numFmtId="0" fontId="49" fillId="22" borderId="21" xfId="0" applyFont="1" applyFill="1" applyBorder="1" applyAlignment="1">
      <alignment vertical="center"/>
    </xf>
    <xf numFmtId="0" fontId="49" fillId="22" borderId="71" xfId="0" applyFont="1" applyFill="1" applyBorder="1" applyAlignment="1">
      <alignment vertical="center"/>
    </xf>
    <xf numFmtId="0" fontId="5" fillId="13" borderId="20" xfId="0" applyFont="1" applyFill="1" applyBorder="1" applyAlignment="1">
      <alignment vertical="center" wrapText="1"/>
    </xf>
    <xf numFmtId="0" fontId="5" fillId="13" borderId="0" xfId="0" applyFont="1" applyFill="1" applyBorder="1" applyAlignment="1">
      <alignment vertical="center" wrapText="1"/>
    </xf>
    <xf numFmtId="0" fontId="5" fillId="13" borderId="61" xfId="0" applyFont="1" applyFill="1" applyBorder="1" applyAlignment="1">
      <alignment vertical="center"/>
    </xf>
    <xf numFmtId="0" fontId="0" fillId="13" borderId="20" xfId="0" applyFont="1" applyFill="1" applyBorder="1" applyAlignment="1">
      <alignment vertical="center" wrapText="1"/>
    </xf>
    <xf numFmtId="0" fontId="4" fillId="13" borderId="20" xfId="0" applyFont="1" applyFill="1" applyBorder="1" applyAlignment="1">
      <alignment vertical="center" wrapText="1"/>
    </xf>
    <xf numFmtId="0" fontId="15" fillId="8" borderId="8"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5" fillId="10" borderId="8" xfId="0" applyFont="1" applyFill="1" applyBorder="1" applyAlignment="1">
      <alignment horizontal="center" vertical="center"/>
    </xf>
    <xf numFmtId="0" fontId="7" fillId="3" borderId="1" xfId="0" applyFont="1" applyFill="1" applyBorder="1" applyAlignment="1">
      <alignment horizontal="center" vertical="top" wrapText="1"/>
    </xf>
    <xf numFmtId="0" fontId="15" fillId="7" borderId="8" xfId="0" applyFont="1" applyFill="1" applyBorder="1" applyAlignment="1">
      <alignment horizontal="center" vertical="center"/>
    </xf>
    <xf numFmtId="0" fontId="21" fillId="15" borderId="65" xfId="0" applyFont="1" applyFill="1" applyBorder="1" applyAlignment="1" applyProtection="1">
      <alignment horizontal="center" vertical="center"/>
      <protection locked="0"/>
    </xf>
    <xf numFmtId="0" fontId="0" fillId="13" borderId="8" xfId="0" applyFill="1" applyBorder="1" applyAlignment="1">
      <alignment horizontal="left" vertical="center"/>
    </xf>
    <xf numFmtId="0" fontId="0" fillId="13" borderId="8" xfId="0" applyFill="1" applyBorder="1" applyAlignment="1">
      <alignment vertical="center"/>
    </xf>
    <xf numFmtId="0" fontId="0" fillId="13" borderId="8" xfId="0" applyFill="1" applyBorder="1" applyAlignment="1">
      <alignment horizontal="center" vertical="center"/>
    </xf>
    <xf numFmtId="0" fontId="0" fillId="13" borderId="0" xfId="0" applyFill="1" applyAlignment="1">
      <alignment vertical="center"/>
    </xf>
    <xf numFmtId="0" fontId="50" fillId="13" borderId="0" xfId="0" applyFont="1" applyFill="1" applyAlignment="1">
      <alignment vertical="center"/>
    </xf>
    <xf numFmtId="0" fontId="0" fillId="13" borderId="0" xfId="0" applyFont="1" applyFill="1" applyAlignment="1">
      <alignment vertical="center"/>
    </xf>
    <xf numFmtId="0" fontId="16" fillId="13" borderId="0" xfId="0" applyFont="1" applyFill="1" applyAlignment="1">
      <alignment vertical="center"/>
    </xf>
    <xf numFmtId="0" fontId="16" fillId="0" borderId="0" xfId="0" applyFont="1" applyAlignment="1">
      <alignment vertical="center"/>
    </xf>
    <xf numFmtId="0" fontId="0" fillId="0" borderId="0" xfId="0" applyAlignment="1">
      <alignment vertical="center"/>
    </xf>
    <xf numFmtId="0" fontId="0" fillId="13" borderId="7" xfId="0" applyFill="1" applyBorder="1" applyAlignment="1">
      <alignment horizontal="left" vertical="center"/>
    </xf>
    <xf numFmtId="0" fontId="0" fillId="13" borderId="1" xfId="0" applyFill="1" applyBorder="1" applyAlignment="1">
      <alignment horizontal="center" vertical="center"/>
    </xf>
    <xf numFmtId="0" fontId="16" fillId="21" borderId="80" xfId="0" applyFont="1" applyFill="1" applyBorder="1" applyAlignment="1">
      <alignment vertical="center"/>
    </xf>
    <xf numFmtId="0" fontId="0" fillId="21" borderId="40" xfId="0" applyFill="1" applyBorder="1" applyAlignment="1">
      <alignment vertical="center"/>
    </xf>
    <xf numFmtId="0" fontId="0" fillId="21" borderId="33" xfId="0" applyFill="1" applyBorder="1" applyAlignment="1">
      <alignment vertical="center"/>
    </xf>
    <xf numFmtId="0" fontId="0" fillId="13" borderId="11" xfId="0" applyFill="1" applyBorder="1" applyAlignment="1">
      <alignment horizontal="center" vertical="center"/>
    </xf>
    <xf numFmtId="0" fontId="0" fillId="21" borderId="45" xfId="0" applyFill="1" applyBorder="1" applyAlignment="1">
      <alignment vertical="center"/>
    </xf>
    <xf numFmtId="0" fontId="0" fillId="21" borderId="16" xfId="0" applyFill="1" applyBorder="1" applyAlignment="1">
      <alignment vertical="center"/>
    </xf>
    <xf numFmtId="0" fontId="0" fillId="13" borderId="7" xfId="0" applyFill="1"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13" borderId="11" xfId="0" applyFill="1" applyBorder="1" applyAlignment="1">
      <alignment vertical="center"/>
    </xf>
    <xf numFmtId="0" fontId="0" fillId="13" borderId="3" xfId="0" applyFill="1" applyBorder="1" applyAlignment="1">
      <alignment vertical="center"/>
    </xf>
    <xf numFmtId="0" fontId="52" fillId="19" borderId="0" xfId="0" applyFont="1" applyFill="1"/>
    <xf numFmtId="0" fontId="53" fillId="13" borderId="0" xfId="0" applyFont="1" applyFill="1"/>
    <xf numFmtId="0" fontId="54" fillId="13" borderId="1" xfId="0" applyFont="1" applyFill="1" applyBorder="1" applyAlignment="1">
      <alignment horizontal="left" vertical="center"/>
    </xf>
    <xf numFmtId="0" fontId="54" fillId="13" borderId="8" xfId="0" applyFont="1" applyFill="1" applyBorder="1" applyAlignment="1">
      <alignment horizontal="left" vertical="center" wrapText="1"/>
    </xf>
    <xf numFmtId="0" fontId="54" fillId="13" borderId="23" xfId="0" applyFont="1" applyFill="1" applyBorder="1" applyAlignment="1">
      <alignment horizontal="left" vertical="center"/>
    </xf>
    <xf numFmtId="0" fontId="54" fillId="13" borderId="26" xfId="0" applyFont="1" applyFill="1" applyBorder="1" applyAlignment="1">
      <alignment horizontal="left" vertical="center" wrapText="1"/>
    </xf>
    <xf numFmtId="1" fontId="54" fillId="13" borderId="23" xfId="0" applyNumberFormat="1" applyFont="1" applyFill="1" applyBorder="1" applyAlignment="1">
      <alignment horizontal="left" vertical="center"/>
    </xf>
    <xf numFmtId="0" fontId="54" fillId="13" borderId="10" xfId="0" applyFont="1" applyFill="1" applyBorder="1" applyAlignment="1">
      <alignment horizontal="left" vertical="center"/>
    </xf>
    <xf numFmtId="0" fontId="54" fillId="13" borderId="11" xfId="0" applyFont="1" applyFill="1" applyBorder="1" applyAlignment="1">
      <alignment horizontal="left" vertical="center" wrapText="1"/>
    </xf>
    <xf numFmtId="0" fontId="51" fillId="13" borderId="0" xfId="0" applyFont="1" applyFill="1"/>
    <xf numFmtId="0" fontId="32" fillId="13" borderId="79" xfId="0" applyFont="1" applyFill="1" applyBorder="1" applyAlignment="1" applyProtection="1">
      <alignment horizontal="center" vertical="center"/>
    </xf>
    <xf numFmtId="0" fontId="32" fillId="13" borderId="58" xfId="0" applyFont="1" applyFill="1" applyBorder="1" applyAlignment="1" applyProtection="1">
      <alignment horizontal="center" vertical="center"/>
    </xf>
    <xf numFmtId="0" fontId="32" fillId="13" borderId="0" xfId="0" applyFont="1" applyFill="1" applyBorder="1" applyAlignment="1" applyProtection="1">
      <alignment horizontal="center" vertical="center"/>
    </xf>
    <xf numFmtId="0" fontId="32" fillId="13" borderId="74" xfId="0" applyFont="1" applyFill="1" applyBorder="1" applyAlignment="1" applyProtection="1">
      <alignment horizontal="center" vertical="center"/>
    </xf>
    <xf numFmtId="0" fontId="32" fillId="13" borderId="74" xfId="0" applyFont="1" applyFill="1" applyBorder="1" applyAlignment="1" applyProtection="1">
      <alignment horizontal="center" vertical="center" wrapText="1"/>
      <protection locked="0"/>
    </xf>
    <xf numFmtId="0" fontId="34" fillId="6" borderId="1" xfId="0" applyFont="1" applyFill="1" applyBorder="1" applyAlignment="1" applyProtection="1">
      <alignment horizontal="center" vertical="center"/>
    </xf>
    <xf numFmtId="0" fontId="55" fillId="18" borderId="5" xfId="0" applyFont="1" applyFill="1" applyBorder="1" applyAlignment="1">
      <alignment horizontal="center" vertical="center"/>
    </xf>
    <xf numFmtId="0" fontId="55" fillId="18" borderId="6" xfId="0" applyFont="1" applyFill="1" applyBorder="1" applyAlignment="1">
      <alignment vertical="center"/>
    </xf>
    <xf numFmtId="49" fontId="19" fillId="13" borderId="20" xfId="0" applyNumberFormat="1" applyFont="1" applyFill="1" applyBorder="1" applyAlignment="1" applyProtection="1">
      <alignment horizontal="left" vertical="center"/>
      <protection locked="0"/>
    </xf>
    <xf numFmtId="49" fontId="19" fillId="13" borderId="28" xfId="0" applyNumberFormat="1" applyFont="1" applyFill="1" applyBorder="1" applyAlignment="1" applyProtection="1">
      <alignment horizontal="left" vertical="center"/>
      <protection locked="0"/>
    </xf>
    <xf numFmtId="49" fontId="19" fillId="13" borderId="33" xfId="0" applyNumberFormat="1" applyFont="1" applyFill="1" applyBorder="1" applyAlignment="1" applyProtection="1">
      <alignment horizontal="left" vertical="center"/>
      <protection locked="0"/>
    </xf>
    <xf numFmtId="0" fontId="0" fillId="13" borderId="1" xfId="0" applyFont="1" applyFill="1" applyBorder="1" applyAlignment="1">
      <alignment horizontal="center" vertical="center"/>
    </xf>
    <xf numFmtId="0" fontId="0" fillId="13" borderId="8" xfId="0" applyFont="1" applyFill="1" applyBorder="1" applyAlignment="1">
      <alignment horizontal="center" vertical="center"/>
    </xf>
    <xf numFmtId="0" fontId="32" fillId="5" borderId="10" xfId="0" applyFont="1" applyFill="1" applyBorder="1" applyAlignment="1">
      <alignment horizontal="center" vertical="center"/>
    </xf>
    <xf numFmtId="0" fontId="5" fillId="13" borderId="3" xfId="0" applyFont="1" applyFill="1" applyBorder="1" applyAlignment="1">
      <alignment vertical="center" wrapText="1"/>
    </xf>
    <xf numFmtId="0" fontId="32" fillId="5" borderId="10" xfId="0" applyFont="1" applyFill="1" applyBorder="1" applyAlignment="1">
      <alignment horizontal="center" vertical="center"/>
    </xf>
    <xf numFmtId="0" fontId="0" fillId="13" borderId="22" xfId="0" applyFill="1" applyBorder="1" applyAlignment="1">
      <alignment vertical="center"/>
    </xf>
    <xf numFmtId="0" fontId="18" fillId="18" borderId="17" xfId="0" applyFont="1" applyFill="1" applyBorder="1" applyAlignment="1">
      <alignment vertical="center"/>
    </xf>
    <xf numFmtId="0" fontId="19" fillId="13" borderId="22" xfId="0" applyFont="1" applyFill="1" applyBorder="1" applyAlignment="1">
      <alignment vertical="center" wrapText="1"/>
    </xf>
    <xf numFmtId="0" fontId="48" fillId="13" borderId="7" xfId="0" applyFont="1" applyFill="1" applyBorder="1" applyAlignment="1">
      <alignment vertical="center"/>
    </xf>
    <xf numFmtId="0" fontId="48" fillId="13" borderId="22" xfId="0" applyFont="1" applyFill="1" applyBorder="1" applyAlignment="1">
      <alignment vertical="center"/>
    </xf>
    <xf numFmtId="0" fontId="0" fillId="13" borderId="24" xfId="0" applyFill="1" applyBorder="1" applyAlignment="1">
      <alignment vertical="center"/>
    </xf>
    <xf numFmtId="0" fontId="0" fillId="13" borderId="21" xfId="0" applyFill="1" applyBorder="1" applyAlignment="1">
      <alignment vertical="center"/>
    </xf>
    <xf numFmtId="0" fontId="19" fillId="8" borderId="17" xfId="0" applyFont="1" applyFill="1" applyBorder="1" applyAlignment="1">
      <alignment vertical="center"/>
    </xf>
    <xf numFmtId="0" fontId="19" fillId="8" borderId="71" xfId="0" applyFont="1" applyFill="1" applyBorder="1" applyAlignment="1">
      <alignment vertical="center"/>
    </xf>
    <xf numFmtId="0" fontId="20" fillId="8" borderId="17" xfId="0" applyFont="1" applyFill="1" applyBorder="1" applyAlignment="1">
      <alignment horizontal="center" vertical="center"/>
    </xf>
    <xf numFmtId="0" fontId="19" fillId="7" borderId="17" xfId="0" applyFont="1" applyFill="1" applyBorder="1" applyAlignment="1">
      <alignment horizontal="center" vertical="center"/>
    </xf>
    <xf numFmtId="0" fontId="19" fillId="7" borderId="71" xfId="0" applyFont="1" applyFill="1" applyBorder="1" applyAlignment="1">
      <alignment horizontal="left" vertical="center"/>
    </xf>
    <xf numFmtId="0" fontId="19" fillId="7" borderId="16" xfId="0" applyFont="1" applyFill="1" applyBorder="1" applyAlignment="1">
      <alignment horizontal="left" vertical="center"/>
    </xf>
    <xf numFmtId="0" fontId="19" fillId="9" borderId="16" xfId="0" applyFont="1" applyFill="1" applyBorder="1" applyAlignment="1">
      <alignment horizontal="left" vertical="center"/>
    </xf>
    <xf numFmtId="0" fontId="0" fillId="13" borderId="2" xfId="0" applyFont="1" applyFill="1" applyBorder="1"/>
    <xf numFmtId="0" fontId="0" fillId="13" borderId="20" xfId="0" applyFont="1" applyFill="1" applyBorder="1"/>
    <xf numFmtId="0" fontId="2" fillId="15" borderId="56" xfId="0" applyFont="1" applyFill="1" applyBorder="1" applyAlignment="1">
      <alignment vertical="center" wrapText="1"/>
    </xf>
    <xf numFmtId="0" fontId="2" fillId="15" borderId="63" xfId="0" applyFont="1" applyFill="1" applyBorder="1" applyAlignment="1">
      <alignment vertical="center" wrapText="1"/>
    </xf>
    <xf numFmtId="0" fontId="4" fillId="22" borderId="70" xfId="0" applyFont="1" applyFill="1" applyBorder="1" applyAlignment="1">
      <alignment vertical="center"/>
    </xf>
    <xf numFmtId="0" fontId="0" fillId="13" borderId="25" xfId="0" applyFont="1" applyFill="1" applyBorder="1" applyAlignment="1">
      <alignment vertical="center" wrapText="1"/>
    </xf>
    <xf numFmtId="0" fontId="4" fillId="13" borderId="3" xfId="0" applyFont="1" applyFill="1" applyBorder="1" applyAlignment="1">
      <alignment vertical="center" wrapText="1"/>
    </xf>
    <xf numFmtId="0" fontId="5" fillId="13" borderId="45" xfId="0" applyFont="1" applyFill="1" applyBorder="1" applyAlignment="1">
      <alignment vertical="center"/>
    </xf>
    <xf numFmtId="0" fontId="5" fillId="13" borderId="3" xfId="0" applyFont="1" applyFill="1" applyBorder="1" applyAlignment="1">
      <alignment vertical="center"/>
    </xf>
    <xf numFmtId="0" fontId="4" fillId="13" borderId="45" xfId="0" applyFont="1" applyFill="1" applyBorder="1" applyAlignment="1">
      <alignment vertical="center"/>
    </xf>
    <xf numFmtId="0" fontId="4" fillId="13" borderId="3" xfId="0" applyFont="1" applyFill="1" applyBorder="1" applyAlignment="1">
      <alignment vertical="center"/>
    </xf>
    <xf numFmtId="0" fontId="0" fillId="13" borderId="10" xfId="0" applyFont="1" applyFill="1" applyBorder="1" applyAlignment="1">
      <alignment horizontal="center" vertical="center"/>
    </xf>
    <xf numFmtId="0" fontId="0" fillId="13" borderId="11" xfId="0" applyFont="1" applyFill="1" applyBorder="1" applyAlignment="1">
      <alignment horizontal="center" vertical="center"/>
    </xf>
    <xf numFmtId="0" fontId="0" fillId="13" borderId="45" xfId="0" applyFont="1" applyFill="1" applyBorder="1" applyAlignment="1">
      <alignment vertical="center" wrapText="1"/>
    </xf>
    <xf numFmtId="0" fontId="0" fillId="13" borderId="3" xfId="0" applyFont="1" applyFill="1" applyBorder="1" applyAlignment="1">
      <alignment vertical="center" wrapText="1"/>
    </xf>
    <xf numFmtId="0" fontId="0" fillId="13" borderId="2" xfId="0" applyFont="1" applyFill="1" applyBorder="1" applyAlignment="1">
      <alignment horizontal="center" vertical="center"/>
    </xf>
    <xf numFmtId="0" fontId="0" fillId="13" borderId="40" xfId="0" applyFont="1" applyFill="1" applyBorder="1" applyAlignment="1">
      <alignment vertical="center" wrapText="1"/>
    </xf>
    <xf numFmtId="0" fontId="0" fillId="13" borderId="33" xfId="0" applyFont="1" applyFill="1" applyBorder="1" applyAlignment="1">
      <alignment vertical="center" wrapText="1"/>
    </xf>
    <xf numFmtId="0" fontId="0" fillId="13" borderId="32" xfId="0" applyFont="1" applyFill="1" applyBorder="1" applyAlignment="1">
      <alignment horizontal="center" vertical="center"/>
    </xf>
    <xf numFmtId="0" fontId="0" fillId="13" borderId="45" xfId="0" applyFont="1" applyFill="1" applyBorder="1" applyAlignment="1">
      <alignment vertical="center"/>
    </xf>
    <xf numFmtId="0" fontId="0" fillId="13" borderId="80" xfId="0" applyFont="1" applyFill="1" applyBorder="1" applyAlignment="1">
      <alignment vertical="center"/>
    </xf>
    <xf numFmtId="0" fontId="0" fillId="13" borderId="39" xfId="0" applyFont="1" applyFill="1" applyBorder="1" applyAlignment="1">
      <alignment vertical="center"/>
    </xf>
    <xf numFmtId="0" fontId="0" fillId="13" borderId="28" xfId="0" applyFont="1" applyFill="1" applyBorder="1" applyAlignment="1">
      <alignment vertical="center" wrapText="1"/>
    </xf>
    <xf numFmtId="0" fontId="0" fillId="13" borderId="23" xfId="0" applyFont="1" applyFill="1" applyBorder="1" applyAlignment="1">
      <alignment horizontal="center" vertical="center"/>
    </xf>
    <xf numFmtId="0" fontId="0" fillId="13" borderId="27" xfId="0" applyFont="1" applyFill="1" applyBorder="1" applyAlignment="1">
      <alignment horizontal="center" vertical="center"/>
    </xf>
    <xf numFmtId="0" fontId="0" fillId="13" borderId="26" xfId="0" applyFont="1" applyFill="1" applyBorder="1" applyAlignment="1">
      <alignment horizontal="center" vertical="center"/>
    </xf>
    <xf numFmtId="0" fontId="2" fillId="13" borderId="0" xfId="0" applyFont="1" applyFill="1" applyBorder="1" applyAlignment="1">
      <alignment vertical="center" wrapText="1"/>
    </xf>
    <xf numFmtId="0" fontId="49" fillId="23" borderId="0" xfId="0" applyFont="1" applyFill="1" applyBorder="1" applyAlignment="1">
      <alignment vertical="center"/>
    </xf>
    <xf numFmtId="0" fontId="0" fillId="13" borderId="0" xfId="0" applyFont="1" applyFill="1" applyBorder="1" applyAlignment="1">
      <alignment vertical="center" wrapText="1"/>
    </xf>
    <xf numFmtId="0" fontId="0" fillId="13" borderId="0" xfId="0" applyFont="1" applyFill="1" applyBorder="1" applyAlignment="1">
      <alignment horizontal="center" vertical="center"/>
    </xf>
    <xf numFmtId="0" fontId="0" fillId="13" borderId="0" xfId="0" applyFont="1" applyFill="1" applyBorder="1" applyAlignment="1">
      <alignment vertical="center"/>
    </xf>
    <xf numFmtId="0" fontId="0" fillId="13" borderId="0" xfId="0" applyFont="1" applyFill="1" applyBorder="1" applyAlignment="1">
      <alignment horizontal="left" vertical="center" wrapText="1"/>
    </xf>
    <xf numFmtId="1" fontId="0" fillId="13" borderId="3" xfId="0" applyNumberFormat="1" applyFont="1" applyFill="1" applyBorder="1" applyAlignment="1">
      <alignment vertical="center"/>
    </xf>
    <xf numFmtId="1" fontId="0" fillId="13" borderId="20" xfId="0" applyNumberFormat="1" applyFont="1" applyFill="1" applyBorder="1" applyAlignment="1">
      <alignment vertical="center"/>
    </xf>
    <xf numFmtId="0" fontId="57" fillId="13" borderId="0" xfId="0" applyFont="1" applyFill="1" applyProtection="1"/>
    <xf numFmtId="0" fontId="57" fillId="13" borderId="0" xfId="0" applyFont="1" applyFill="1" applyAlignment="1" applyProtection="1">
      <alignment horizontal="right"/>
    </xf>
    <xf numFmtId="0" fontId="19" fillId="18" borderId="29" xfId="0" applyFont="1" applyFill="1" applyBorder="1" applyAlignment="1">
      <alignment horizontal="center" vertical="center"/>
    </xf>
    <xf numFmtId="0" fontId="15" fillId="24" borderId="8" xfId="0" applyFont="1" applyFill="1" applyBorder="1" applyAlignment="1">
      <alignment horizontal="center" vertical="center"/>
    </xf>
    <xf numFmtId="0" fontId="29" fillId="9" borderId="1" xfId="0" applyFont="1" applyFill="1" applyBorder="1" applyAlignment="1">
      <alignment horizontal="center" vertical="center"/>
    </xf>
    <xf numFmtId="49" fontId="19" fillId="13" borderId="2" xfId="0" applyNumberFormat="1" applyFont="1" applyFill="1" applyBorder="1" applyAlignment="1" applyProtection="1">
      <alignment horizontal="center" vertical="center"/>
      <protection locked="0"/>
    </xf>
    <xf numFmtId="49" fontId="19" fillId="13" borderId="32" xfId="0" applyNumberFormat="1" applyFont="1" applyFill="1" applyBorder="1" applyAlignment="1" applyProtection="1">
      <alignment horizontal="center" vertical="center"/>
      <protection locked="0"/>
    </xf>
    <xf numFmtId="0" fontId="16" fillId="17" borderId="64" xfId="0" applyFont="1" applyFill="1" applyBorder="1" applyAlignment="1" applyProtection="1">
      <alignment horizontal="center" vertical="center" wrapText="1"/>
      <protection locked="0"/>
    </xf>
    <xf numFmtId="0" fontId="21" fillId="15" borderId="65" xfId="0" applyFont="1" applyFill="1" applyBorder="1" applyAlignment="1" applyProtection="1">
      <alignment horizontal="center" vertical="center"/>
      <protection locked="0"/>
    </xf>
    <xf numFmtId="0" fontId="32" fillId="5" borderId="10" xfId="0" applyFont="1" applyFill="1" applyBorder="1" applyAlignment="1">
      <alignment horizontal="center" vertical="center"/>
    </xf>
    <xf numFmtId="0" fontId="21" fillId="15" borderId="64" xfId="0" applyFont="1" applyFill="1" applyBorder="1" applyAlignment="1" applyProtection="1">
      <alignment horizontal="center" vertical="center"/>
      <protection locked="0"/>
    </xf>
    <xf numFmtId="0" fontId="22" fillId="13" borderId="20" xfId="0" applyFont="1" applyFill="1" applyBorder="1" applyAlignment="1">
      <alignment vertical="center" wrapText="1"/>
    </xf>
    <xf numFmtId="0" fontId="22" fillId="13" borderId="33" xfId="0" applyFont="1" applyFill="1" applyBorder="1" applyAlignment="1">
      <alignment vertical="center" wrapText="1"/>
    </xf>
    <xf numFmtId="0" fontId="19" fillId="13" borderId="3" xfId="0" applyNumberFormat="1" applyFont="1" applyFill="1" applyBorder="1" applyAlignment="1" applyProtection="1">
      <alignment horizontal="center" vertical="center"/>
      <protection locked="0"/>
    </xf>
    <xf numFmtId="49" fontId="19" fillId="13" borderId="20" xfId="0" applyNumberFormat="1" applyFont="1" applyFill="1" applyBorder="1" applyAlignment="1" applyProtection="1">
      <alignment horizontal="center" vertical="center"/>
      <protection locked="0"/>
    </xf>
    <xf numFmtId="0" fontId="19" fillId="13" borderId="40" xfId="0" applyNumberFormat="1" applyFont="1" applyFill="1" applyBorder="1" applyAlignment="1" applyProtection="1">
      <alignment horizontal="center" vertical="center"/>
      <protection locked="0"/>
    </xf>
    <xf numFmtId="49" fontId="19" fillId="13" borderId="33" xfId="0" applyNumberFormat="1" applyFont="1" applyFill="1" applyBorder="1" applyAlignment="1" applyProtection="1">
      <alignment horizontal="center" vertical="center"/>
      <protection locked="0"/>
    </xf>
    <xf numFmtId="0" fontId="19" fillId="13" borderId="16" xfId="0" applyFont="1" applyFill="1" applyBorder="1" applyAlignment="1">
      <alignment horizontal="left" vertical="center"/>
    </xf>
    <xf numFmtId="0" fontId="19" fillId="13" borderId="21" xfId="0" applyFont="1" applyFill="1" applyBorder="1" applyAlignment="1">
      <alignment horizontal="left" vertical="center"/>
    </xf>
    <xf numFmtId="1" fontId="19" fillId="13" borderId="37" xfId="0" applyNumberFormat="1" applyFont="1" applyFill="1" applyBorder="1" applyAlignment="1">
      <alignment horizontal="center" vertical="center"/>
    </xf>
    <xf numFmtId="0" fontId="19" fillId="18" borderId="37" xfId="0" applyFont="1" applyFill="1" applyBorder="1" applyAlignment="1">
      <alignment horizontal="center" vertical="center"/>
    </xf>
    <xf numFmtId="164" fontId="19" fillId="13" borderId="61" xfId="0" applyNumberFormat="1" applyFont="1" applyFill="1" applyBorder="1" applyAlignment="1">
      <alignment horizontal="center" vertical="center"/>
    </xf>
    <xf numFmtId="0" fontId="60" fillId="24" borderId="10" xfId="0" applyFont="1" applyFill="1" applyBorder="1" applyAlignment="1">
      <alignment horizontal="center" vertical="center"/>
    </xf>
    <xf numFmtId="0" fontId="18" fillId="24" borderId="56" xfId="0" applyFont="1" applyFill="1" applyBorder="1" applyAlignment="1">
      <alignment horizontal="center" vertical="center"/>
    </xf>
    <xf numFmtId="0" fontId="18" fillId="24" borderId="59" xfId="0" applyFont="1" applyFill="1" applyBorder="1" applyAlignment="1">
      <alignment horizontal="center" vertical="center"/>
    </xf>
    <xf numFmtId="0" fontId="18" fillId="24" borderId="63" xfId="0" applyFont="1" applyFill="1" applyBorder="1" applyAlignment="1">
      <alignment horizontal="center" vertical="center"/>
    </xf>
    <xf numFmtId="0" fontId="18" fillId="24" borderId="60" xfId="0" applyFont="1" applyFill="1" applyBorder="1" applyAlignment="1">
      <alignment horizontal="center" vertical="center"/>
    </xf>
    <xf numFmtId="0" fontId="0" fillId="24" borderId="56" xfId="0" applyFill="1" applyBorder="1" applyAlignment="1">
      <alignment horizontal="center"/>
    </xf>
    <xf numFmtId="0" fontId="0" fillId="24" borderId="59" xfId="0" applyFill="1" applyBorder="1" applyAlignment="1">
      <alignment horizontal="center"/>
    </xf>
    <xf numFmtId="0" fontId="0" fillId="24" borderId="63" xfId="0" applyFill="1" applyBorder="1" applyAlignment="1">
      <alignment horizontal="center"/>
    </xf>
    <xf numFmtId="0" fontId="0" fillId="24" borderId="60" xfId="0" applyFill="1" applyBorder="1" applyAlignment="1">
      <alignment horizontal="center"/>
    </xf>
    <xf numFmtId="0" fontId="60" fillId="24" borderId="10" xfId="0" applyFont="1" applyFill="1" applyBorder="1" applyAlignment="1">
      <alignment horizontal="center" vertical="center" wrapText="1"/>
    </xf>
    <xf numFmtId="164" fontId="60" fillId="24" borderId="10" xfId="0" applyNumberFormat="1" applyFont="1" applyFill="1" applyBorder="1" applyAlignment="1">
      <alignment horizontal="center" vertical="center"/>
    </xf>
    <xf numFmtId="0" fontId="30" fillId="24" borderId="56" xfId="0" applyFont="1" applyFill="1" applyBorder="1" applyAlignment="1">
      <alignment horizontal="center"/>
    </xf>
    <xf numFmtId="0" fontId="30" fillId="24" borderId="59" xfId="0" applyFont="1" applyFill="1" applyBorder="1" applyAlignment="1">
      <alignment horizontal="center"/>
    </xf>
    <xf numFmtId="0" fontId="30" fillId="24" borderId="63" xfId="0" applyFont="1" applyFill="1" applyBorder="1" applyAlignment="1">
      <alignment horizontal="center"/>
    </xf>
    <xf numFmtId="0" fontId="30" fillId="24" borderId="60" xfId="0" applyFont="1" applyFill="1" applyBorder="1" applyAlignment="1">
      <alignment horizontal="center"/>
    </xf>
    <xf numFmtId="0" fontId="19" fillId="7" borderId="18" xfId="0" applyFont="1" applyFill="1" applyBorder="1" applyAlignment="1">
      <alignment horizontal="left" vertical="center" wrapText="1"/>
    </xf>
    <xf numFmtId="0" fontId="19" fillId="13" borderId="13" xfId="0" applyFont="1" applyFill="1" applyBorder="1" applyAlignment="1">
      <alignment horizontal="left" vertical="center" wrapText="1"/>
    </xf>
    <xf numFmtId="0" fontId="19" fillId="13" borderId="8" xfId="0" applyFont="1" applyFill="1" applyBorder="1" applyAlignment="1">
      <alignment horizontal="left" vertical="center" wrapText="1"/>
    </xf>
    <xf numFmtId="0" fontId="19" fillId="7"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9" fillId="13" borderId="11" xfId="0" applyFont="1" applyFill="1" applyBorder="1" applyAlignment="1">
      <alignment horizontal="left" vertical="center" wrapText="1"/>
    </xf>
    <xf numFmtId="0" fontId="26" fillId="13" borderId="0" xfId="0" applyFont="1" applyFill="1" applyAlignment="1"/>
    <xf numFmtId="0" fontId="28" fillId="13" borderId="0" xfId="0" applyFont="1" applyFill="1" applyAlignment="1"/>
    <xf numFmtId="0" fontId="49" fillId="22" borderId="56" xfId="0" applyFont="1" applyFill="1" applyBorder="1" applyAlignment="1">
      <alignment vertical="center"/>
    </xf>
    <xf numFmtId="0" fontId="49" fillId="22" borderId="59" xfId="0" applyFont="1" applyFill="1" applyBorder="1" applyAlignment="1">
      <alignment vertical="center"/>
    </xf>
    <xf numFmtId="0" fontId="4" fillId="22" borderId="49" xfId="0" applyFont="1" applyFill="1" applyBorder="1" applyAlignment="1">
      <alignment vertical="center"/>
    </xf>
    <xf numFmtId="0" fontId="28" fillId="0" borderId="0" xfId="0" applyFont="1"/>
    <xf numFmtId="0" fontId="26" fillId="13" borderId="0" xfId="0" applyFont="1" applyFill="1" applyAlignment="1">
      <alignment horizontal="center"/>
    </xf>
    <xf numFmtId="0" fontId="0" fillId="13" borderId="0" xfId="0" applyFill="1" applyBorder="1" applyAlignment="1" applyProtection="1">
      <alignment vertical="center" wrapText="1"/>
      <protection locked="0"/>
    </xf>
    <xf numFmtId="0" fontId="28" fillId="13" borderId="0" xfId="0" applyFont="1" applyFill="1" applyBorder="1"/>
    <xf numFmtId="0" fontId="30" fillId="13" borderId="0" xfId="0" applyFont="1" applyFill="1" applyBorder="1"/>
    <xf numFmtId="0" fontId="26" fillId="13" borderId="0" xfId="0" applyFont="1" applyFill="1" applyBorder="1" applyAlignment="1">
      <alignment horizontal="center"/>
    </xf>
    <xf numFmtId="0" fontId="26" fillId="13" borderId="0" xfId="0" applyFont="1" applyFill="1" applyBorder="1" applyAlignment="1"/>
    <xf numFmtId="0" fontId="0" fillId="13" borderId="0" xfId="0" applyFill="1" applyBorder="1" applyAlignment="1" applyProtection="1">
      <alignment vertical="center"/>
      <protection locked="0"/>
    </xf>
    <xf numFmtId="0" fontId="0" fillId="13" borderId="61" xfId="0" applyFont="1" applyFill="1" applyBorder="1" applyAlignment="1">
      <alignment vertical="center"/>
    </xf>
    <xf numFmtId="0" fontId="0" fillId="13" borderId="61" xfId="0" applyFont="1" applyFill="1" applyBorder="1" applyAlignment="1"/>
    <xf numFmtId="0" fontId="0" fillId="13" borderId="61" xfId="0" applyFill="1" applyBorder="1" applyAlignment="1" applyProtection="1">
      <alignment vertical="center"/>
      <protection locked="0"/>
    </xf>
    <xf numFmtId="0" fontId="0" fillId="13" borderId="61" xfId="0" applyFont="1" applyFill="1" applyBorder="1"/>
    <xf numFmtId="0" fontId="0" fillId="13" borderId="38" xfId="0" applyFont="1" applyFill="1" applyBorder="1"/>
    <xf numFmtId="0" fontId="0" fillId="13" borderId="63" xfId="0" applyFont="1" applyFill="1" applyBorder="1"/>
    <xf numFmtId="0" fontId="0" fillId="13" borderId="73" xfId="0" applyFont="1" applyFill="1" applyBorder="1" applyAlignment="1">
      <alignment horizontal="center"/>
    </xf>
    <xf numFmtId="0" fontId="0" fillId="13" borderId="69" xfId="0" applyFont="1" applyFill="1" applyBorder="1" applyAlignment="1" applyProtection="1">
      <alignment horizontal="left"/>
    </xf>
    <xf numFmtId="0" fontId="3" fillId="13" borderId="69" xfId="0" applyFont="1" applyFill="1" applyBorder="1" applyAlignment="1" applyProtection="1">
      <alignment horizontal="left"/>
    </xf>
    <xf numFmtId="0" fontId="19" fillId="13" borderId="7" xfId="0" applyFont="1" applyFill="1" applyBorder="1" applyAlignment="1">
      <alignment vertical="center" wrapText="1"/>
    </xf>
    <xf numFmtId="0" fontId="18" fillId="24" borderId="59" xfId="0" applyFont="1" applyFill="1" applyBorder="1" applyAlignment="1">
      <alignment horizontal="center" vertical="center"/>
    </xf>
    <xf numFmtId="0" fontId="18" fillId="24" borderId="60" xfId="0" applyFont="1" applyFill="1" applyBorder="1" applyAlignment="1">
      <alignment horizontal="center" vertical="center"/>
    </xf>
    <xf numFmtId="0" fontId="18" fillId="24" borderId="56" xfId="0" applyFont="1" applyFill="1" applyBorder="1" applyAlignment="1">
      <alignment horizontal="center" vertical="center"/>
    </xf>
    <xf numFmtId="0" fontId="18" fillId="24" borderId="63" xfId="0" applyFont="1" applyFill="1" applyBorder="1" applyAlignment="1">
      <alignment horizontal="center" vertical="center"/>
    </xf>
    <xf numFmtId="0" fontId="18" fillId="13" borderId="0" xfId="0" applyFont="1" applyFill="1" applyBorder="1" applyAlignment="1">
      <alignment horizontal="center" vertical="center"/>
    </xf>
    <xf numFmtId="0" fontId="32" fillId="5" borderId="10" xfId="0" applyFont="1" applyFill="1" applyBorder="1" applyAlignment="1">
      <alignment horizontal="center" vertical="center"/>
    </xf>
    <xf numFmtId="0" fontId="32" fillId="5" borderId="10" xfId="0" applyFont="1" applyFill="1" applyBorder="1" applyAlignment="1">
      <alignment horizontal="center" vertical="center"/>
    </xf>
    <xf numFmtId="0" fontId="18" fillId="24" borderId="56" xfId="0" applyFont="1" applyFill="1" applyBorder="1" applyAlignment="1">
      <alignment horizontal="center" vertical="center"/>
    </xf>
    <xf numFmtId="0" fontId="18" fillId="24" borderId="63" xfId="0" applyFont="1" applyFill="1" applyBorder="1" applyAlignment="1">
      <alignment horizontal="center" vertical="center"/>
    </xf>
    <xf numFmtId="0" fontId="18" fillId="13" borderId="0" xfId="0" applyFont="1" applyFill="1" applyBorder="1" applyAlignment="1">
      <alignment horizontal="center" vertical="center"/>
    </xf>
    <xf numFmtId="3" fontId="0" fillId="13" borderId="1" xfId="0" applyNumberFormat="1" applyFont="1" applyFill="1" applyBorder="1" applyAlignment="1">
      <alignment horizontal="center"/>
    </xf>
    <xf numFmtId="3" fontId="0" fillId="13" borderId="1" xfId="0" applyNumberFormat="1" applyFont="1" applyFill="1" applyBorder="1" applyAlignment="1">
      <alignment horizontal="center" vertical="center"/>
    </xf>
    <xf numFmtId="3" fontId="0" fillId="13" borderId="8" xfId="0" applyNumberFormat="1" applyFont="1" applyFill="1" applyBorder="1" applyAlignment="1">
      <alignment horizontal="center" vertical="center"/>
    </xf>
    <xf numFmtId="3" fontId="0" fillId="13" borderId="8" xfId="0" applyNumberFormat="1" applyFont="1" applyFill="1" applyBorder="1" applyAlignment="1">
      <alignment horizontal="center"/>
    </xf>
    <xf numFmtId="3" fontId="0" fillId="13" borderId="10" xfId="0" applyNumberFormat="1" applyFont="1" applyFill="1" applyBorder="1" applyAlignment="1">
      <alignment horizontal="center" vertical="center"/>
    </xf>
    <xf numFmtId="3" fontId="0" fillId="13" borderId="11" xfId="0" applyNumberFormat="1" applyFont="1" applyFill="1" applyBorder="1" applyAlignment="1">
      <alignment horizontal="center"/>
    </xf>
    <xf numFmtId="0" fontId="0" fillId="13" borderId="0" xfId="0" applyFill="1" applyAlignment="1" applyProtection="1">
      <alignment horizontal="center"/>
      <protection locked="0"/>
    </xf>
    <xf numFmtId="0" fontId="25" fillId="13" borderId="0" xfId="0" applyFont="1" applyFill="1" applyAlignment="1" applyProtection="1">
      <alignment horizontal="center"/>
      <protection locked="0"/>
    </xf>
    <xf numFmtId="0" fontId="19" fillId="13" borderId="2" xfId="0" applyFont="1" applyFill="1" applyBorder="1" applyAlignment="1" applyProtection="1">
      <alignment horizontal="center" vertical="center" wrapText="1"/>
      <protection locked="0"/>
    </xf>
    <xf numFmtId="0" fontId="19" fillId="13" borderId="27" xfId="0" applyFont="1" applyFill="1" applyBorder="1" applyAlignment="1" applyProtection="1">
      <alignment horizontal="center" vertical="center" wrapText="1"/>
      <protection locked="0"/>
    </xf>
    <xf numFmtId="1" fontId="20" fillId="13" borderId="27" xfId="0" applyNumberFormat="1" applyFont="1" applyFill="1" applyBorder="1" applyAlignment="1" applyProtection="1">
      <alignment horizontal="center" vertical="center"/>
      <protection locked="0"/>
    </xf>
    <xf numFmtId="0" fontId="19" fillId="13" borderId="10" xfId="0" applyFont="1" applyFill="1" applyBorder="1" applyAlignment="1" applyProtection="1">
      <alignment horizontal="center" vertical="center" wrapText="1"/>
      <protection locked="0"/>
    </xf>
    <xf numFmtId="0" fontId="19" fillId="13" borderId="32" xfId="0" applyFont="1" applyFill="1" applyBorder="1" applyAlignment="1" applyProtection="1">
      <alignment horizontal="center" vertical="center" wrapText="1"/>
      <protection locked="0"/>
    </xf>
    <xf numFmtId="0" fontId="22" fillId="13" borderId="0" xfId="0" applyFont="1" applyFill="1" applyProtection="1">
      <protection locked="0"/>
    </xf>
    <xf numFmtId="0" fontId="22" fillId="13" borderId="0" xfId="0" applyFont="1" applyFill="1" applyAlignment="1" applyProtection="1">
      <alignment horizontal="center"/>
      <protection locked="0"/>
    </xf>
    <xf numFmtId="0" fontId="0" fillId="13" borderId="1" xfId="0" applyFill="1" applyBorder="1" applyAlignment="1">
      <alignment vertical="center"/>
    </xf>
    <xf numFmtId="0" fontId="18" fillId="7" borderId="18" xfId="0" applyFont="1" applyFill="1" applyBorder="1" applyAlignment="1">
      <alignment horizontal="center" vertical="center"/>
    </xf>
    <xf numFmtId="0" fontId="19" fillId="7" borderId="19" xfId="0" applyFont="1" applyFill="1" applyBorder="1" applyAlignment="1">
      <alignment horizontal="center" vertical="center"/>
    </xf>
    <xf numFmtId="0" fontId="19" fillId="13" borderId="57" xfId="0" applyFont="1" applyFill="1" applyBorder="1" applyAlignment="1">
      <alignment horizontal="center" vertical="center"/>
    </xf>
    <xf numFmtId="0" fontId="20" fillId="13" borderId="61" xfId="0" applyFont="1" applyFill="1" applyBorder="1"/>
    <xf numFmtId="0" fontId="18" fillId="13" borderId="0" xfId="0" applyFont="1" applyFill="1" applyBorder="1" applyAlignment="1">
      <alignment horizontal="center" vertical="center" wrapText="1"/>
    </xf>
    <xf numFmtId="0" fontId="19" fillId="7" borderId="71" xfId="0" applyFont="1" applyFill="1" applyBorder="1" applyAlignment="1">
      <alignment horizontal="left" vertical="center" wrapText="1"/>
    </xf>
    <xf numFmtId="0" fontId="19" fillId="13" borderId="16" xfId="0" applyFont="1" applyFill="1" applyBorder="1" applyAlignment="1">
      <alignment horizontal="left" vertical="center" wrapText="1"/>
    </xf>
    <xf numFmtId="0" fontId="19" fillId="7" borderId="16" xfId="0" applyFont="1" applyFill="1" applyBorder="1" applyAlignment="1">
      <alignment horizontal="left" vertical="center" wrapText="1"/>
    </xf>
    <xf numFmtId="0" fontId="19" fillId="8" borderId="16" xfId="0" applyFont="1" applyFill="1" applyBorder="1" applyAlignment="1">
      <alignment horizontal="left" vertical="center" wrapText="1"/>
    </xf>
    <xf numFmtId="0" fontId="19" fillId="13" borderId="21" xfId="0" applyFont="1" applyFill="1" applyBorder="1" applyAlignment="1">
      <alignment horizontal="left" vertical="center" wrapText="1"/>
    </xf>
    <xf numFmtId="0" fontId="11" fillId="13" borderId="0" xfId="0" applyFont="1" applyFill="1" applyBorder="1" applyAlignment="1">
      <alignment vertical="center" wrapText="1"/>
    </xf>
    <xf numFmtId="0" fontId="19" fillId="13" borderId="37" xfId="0" applyFont="1" applyFill="1" applyBorder="1" applyAlignment="1">
      <alignment horizontal="center" vertical="center" wrapText="1"/>
    </xf>
    <xf numFmtId="0" fontId="0" fillId="13" borderId="0" xfId="0" applyFont="1" applyFill="1" applyAlignment="1">
      <alignment horizontal="left" vertical="center" wrapText="1"/>
    </xf>
    <xf numFmtId="0" fontId="18" fillId="13" borderId="0" xfId="0" applyFont="1" applyFill="1" applyBorder="1" applyAlignment="1">
      <alignment horizontal="left" vertical="center" wrapText="1"/>
    </xf>
    <xf numFmtId="0" fontId="19" fillId="13" borderId="29" xfId="0" applyFont="1" applyFill="1" applyBorder="1" applyAlignment="1">
      <alignment horizontal="left" vertical="center" wrapText="1"/>
    </xf>
    <xf numFmtId="0" fontId="19" fillId="13" borderId="37" xfId="0" applyFont="1" applyFill="1" applyBorder="1" applyAlignment="1">
      <alignment horizontal="left" vertical="center" wrapText="1"/>
    </xf>
    <xf numFmtId="0" fontId="11" fillId="13" borderId="0" xfId="0" applyFont="1" applyFill="1" applyBorder="1" applyAlignment="1">
      <alignment horizontal="left" vertical="center" wrapText="1"/>
    </xf>
    <xf numFmtId="0" fontId="0" fillId="0" borderId="0" xfId="0" applyFont="1" applyAlignment="1">
      <alignment horizontal="left" vertical="center" wrapText="1"/>
    </xf>
    <xf numFmtId="0" fontId="18" fillId="13" borderId="0" xfId="0" applyFont="1" applyFill="1" applyBorder="1" applyAlignment="1">
      <alignment horizontal="center" vertical="center" wrapText="1"/>
    </xf>
    <xf numFmtId="0" fontId="18" fillId="7" borderId="5" xfId="0" applyFont="1" applyFill="1" applyBorder="1" applyAlignment="1">
      <alignment horizontal="center" vertical="center"/>
    </xf>
    <xf numFmtId="0" fontId="19" fillId="7" borderId="18" xfId="0" applyFont="1" applyFill="1" applyBorder="1" applyAlignment="1">
      <alignment vertical="center"/>
    </xf>
    <xf numFmtId="0" fontId="19" fillId="7" borderId="17" xfId="0" applyFont="1" applyFill="1" applyBorder="1" applyAlignment="1">
      <alignment vertical="center"/>
    </xf>
    <xf numFmtId="0" fontId="19" fillId="7" borderId="5" xfId="0" applyFont="1" applyFill="1" applyBorder="1" applyAlignment="1">
      <alignment horizontal="center" vertical="center"/>
    </xf>
    <xf numFmtId="0" fontId="19" fillId="9" borderId="14" xfId="0" applyFont="1" applyFill="1" applyBorder="1" applyAlignment="1">
      <alignment horizontal="center" vertical="center"/>
    </xf>
    <xf numFmtId="0" fontId="19" fillId="9" borderId="13" xfId="0" applyFont="1" applyFill="1" applyBorder="1" applyAlignment="1">
      <alignment horizontal="center" vertical="center"/>
    </xf>
    <xf numFmtId="0" fontId="19" fillId="13" borderId="2" xfId="0" applyFont="1" applyFill="1" applyBorder="1" applyAlignment="1">
      <alignment horizontal="center" vertical="center"/>
    </xf>
    <xf numFmtId="0" fontId="19" fillId="9" borderId="1" xfId="0" applyFont="1" applyFill="1" applyBorder="1" applyAlignment="1">
      <alignment horizontal="left" vertical="center"/>
    </xf>
    <xf numFmtId="0" fontId="0" fillId="13" borderId="61" xfId="0" applyFill="1" applyBorder="1"/>
    <xf numFmtId="0" fontId="19" fillId="8" borderId="81" xfId="0" applyFont="1" applyFill="1" applyBorder="1" applyAlignment="1">
      <alignment vertical="center"/>
    </xf>
    <xf numFmtId="0" fontId="62" fillId="13" borderId="0" xfId="0" applyFont="1" applyFill="1" applyAlignment="1" applyProtection="1">
      <alignment horizontal="center"/>
      <protection locked="0"/>
    </xf>
    <xf numFmtId="0" fontId="19" fillId="13" borderId="82" xfId="0" applyFont="1" applyFill="1" applyBorder="1" applyAlignment="1">
      <alignment horizontal="left" vertical="center" wrapText="1"/>
    </xf>
    <xf numFmtId="0" fontId="19" fillId="13" borderId="83" xfId="0" applyFont="1" applyFill="1" applyBorder="1" applyAlignment="1">
      <alignment horizontal="left" vertical="center" wrapText="1"/>
    </xf>
    <xf numFmtId="3" fontId="19" fillId="24" borderId="10" xfId="0" applyNumberFormat="1" applyFont="1" applyFill="1" applyBorder="1" applyAlignment="1" applyProtection="1">
      <alignment horizontal="center" vertical="center"/>
    </xf>
    <xf numFmtId="0" fontId="18" fillId="6" borderId="4" xfId="0" applyFont="1" applyFill="1" applyBorder="1" applyAlignment="1" applyProtection="1">
      <alignment horizontal="center" vertical="center"/>
    </xf>
    <xf numFmtId="0" fontId="18" fillId="6" borderId="18" xfId="0" applyFont="1" applyFill="1" applyBorder="1" applyAlignment="1" applyProtection="1">
      <alignment horizontal="center" vertical="center"/>
    </xf>
    <xf numFmtId="0" fontId="18" fillId="6" borderId="18" xfId="0" applyFont="1" applyFill="1" applyBorder="1" applyAlignment="1" applyProtection="1">
      <alignment vertical="center"/>
    </xf>
    <xf numFmtId="0" fontId="19" fillId="6" borderId="17" xfId="0" applyFont="1" applyFill="1" applyBorder="1" applyAlignment="1" applyProtection="1">
      <alignment horizontal="center" vertical="center"/>
    </xf>
    <xf numFmtId="0" fontId="19" fillId="6" borderId="71" xfId="0" applyFont="1" applyFill="1" applyBorder="1" applyAlignment="1" applyProtection="1">
      <alignment horizontal="center" vertical="center"/>
    </xf>
    <xf numFmtId="0" fontId="34" fillId="15" borderId="32" xfId="0" applyFont="1" applyFill="1" applyBorder="1" applyAlignment="1" applyProtection="1">
      <alignment horizontal="center" vertical="center" wrapText="1"/>
    </xf>
    <xf numFmtId="0" fontId="18" fillId="13" borderId="0" xfId="0" applyFont="1" applyFill="1" applyBorder="1" applyAlignment="1">
      <alignment horizontal="center" vertical="center"/>
    </xf>
    <xf numFmtId="0" fontId="32" fillId="5" borderId="10" xfId="0" applyFont="1" applyFill="1" applyBorder="1" applyAlignment="1">
      <alignment horizontal="center" vertical="center"/>
    </xf>
    <xf numFmtId="0" fontId="18" fillId="24" borderId="56" xfId="0" applyFont="1" applyFill="1" applyBorder="1" applyAlignment="1">
      <alignment horizontal="center" vertical="center"/>
    </xf>
    <xf numFmtId="0" fontId="18" fillId="24" borderId="63" xfId="0" applyFont="1" applyFill="1" applyBorder="1" applyAlignment="1">
      <alignment horizontal="center" vertical="center"/>
    </xf>
    <xf numFmtId="0" fontId="18" fillId="13" borderId="0" xfId="0" applyFont="1" applyFill="1" applyBorder="1" applyAlignment="1">
      <alignment horizontal="center" vertical="center"/>
    </xf>
    <xf numFmtId="0" fontId="18" fillId="24" borderId="59" xfId="0" applyFont="1" applyFill="1" applyBorder="1" applyAlignment="1">
      <alignment horizontal="center" vertical="center"/>
    </xf>
    <xf numFmtId="0" fontId="18" fillId="24" borderId="60" xfId="0" applyFont="1" applyFill="1" applyBorder="1" applyAlignment="1">
      <alignment horizontal="center" vertical="center"/>
    </xf>
    <xf numFmtId="0" fontId="18" fillId="8" borderId="4" xfId="0" applyFont="1" applyFill="1" applyBorder="1" applyAlignment="1">
      <alignment horizontal="center" vertical="center"/>
    </xf>
    <xf numFmtId="0" fontId="18" fillId="8" borderId="5" xfId="0" applyFont="1" applyFill="1" applyBorder="1" applyAlignment="1">
      <alignment horizontal="center" vertical="center"/>
    </xf>
    <xf numFmtId="0" fontId="19" fillId="8" borderId="18" xfId="0" applyFont="1" applyFill="1" applyBorder="1" applyAlignment="1">
      <alignment horizontal="center" vertical="center"/>
    </xf>
    <xf numFmtId="0" fontId="19" fillId="8" borderId="17" xfId="0" applyFont="1" applyFill="1" applyBorder="1" applyAlignment="1">
      <alignment horizontal="center" vertical="center"/>
    </xf>
    <xf numFmtId="0" fontId="0" fillId="13" borderId="0" xfId="0" applyFill="1" applyAlignment="1">
      <alignment horizontal="center" vertical="center"/>
    </xf>
    <xf numFmtId="0" fontId="27" fillId="13" borderId="0" xfId="0" applyFont="1" applyFill="1" applyAlignment="1">
      <alignment horizontal="center" vertical="center"/>
    </xf>
    <xf numFmtId="0" fontId="0" fillId="13" borderId="61" xfId="0" applyFill="1" applyBorder="1" applyAlignment="1">
      <alignment horizontal="center" vertical="center"/>
    </xf>
    <xf numFmtId="0" fontId="28" fillId="13" borderId="0" xfId="0" applyFont="1" applyFill="1" applyAlignment="1">
      <alignment horizontal="center" vertical="center"/>
    </xf>
    <xf numFmtId="0" fontId="0" fillId="0" borderId="0" xfId="0" applyAlignment="1">
      <alignment horizontal="center" vertical="center"/>
    </xf>
    <xf numFmtId="0" fontId="20" fillId="13" borderId="37" xfId="0" applyFont="1" applyFill="1" applyBorder="1" applyAlignment="1">
      <alignment horizontal="center" vertical="center"/>
    </xf>
    <xf numFmtId="0" fontId="19" fillId="13" borderId="57" xfId="0" applyFont="1" applyFill="1" applyBorder="1" applyAlignment="1">
      <alignment horizontal="left" vertical="center" wrapText="1"/>
    </xf>
    <xf numFmtId="0" fontId="19" fillId="10" borderId="84" xfId="0" applyFont="1" applyFill="1" applyBorder="1" applyAlignment="1">
      <alignment horizontal="left" vertical="center"/>
    </xf>
    <xf numFmtId="0" fontId="19" fillId="13" borderId="1" xfId="0" applyFont="1" applyFill="1" applyBorder="1" applyAlignment="1">
      <alignment horizontal="left" vertical="center"/>
    </xf>
    <xf numFmtId="0" fontId="20" fillId="13" borderId="1" xfId="0" applyFont="1" applyFill="1" applyBorder="1" applyAlignment="1">
      <alignment horizontal="left" vertical="center"/>
    </xf>
    <xf numFmtId="0" fontId="19" fillId="13" borderId="10" xfId="0" applyFont="1" applyFill="1" applyBorder="1" applyAlignment="1">
      <alignment horizontal="left" vertical="center"/>
    </xf>
    <xf numFmtId="0" fontId="20" fillId="13" borderId="10" xfId="0" applyFont="1" applyFill="1" applyBorder="1" applyAlignment="1">
      <alignment horizontal="left" vertical="center"/>
    </xf>
    <xf numFmtId="0" fontId="19" fillId="8" borderId="18" xfId="0" applyFont="1" applyFill="1" applyBorder="1" applyAlignment="1">
      <alignment vertical="center"/>
    </xf>
    <xf numFmtId="0" fontId="0" fillId="13" borderId="0" xfId="0" applyFill="1" applyBorder="1" applyAlignment="1">
      <alignment horizontal="left" wrapText="1"/>
    </xf>
    <xf numFmtId="0" fontId="19" fillId="13" borderId="1" xfId="0" applyFont="1" applyFill="1" applyBorder="1" applyAlignment="1">
      <alignment horizontal="left" vertical="center" wrapText="1"/>
    </xf>
    <xf numFmtId="0" fontId="19" fillId="9" borderId="14" xfId="0" applyFont="1" applyFill="1" applyBorder="1" applyAlignment="1">
      <alignment horizontal="left" vertical="center" wrapText="1"/>
    </xf>
    <xf numFmtId="0" fontId="19" fillId="9" borderId="15" xfId="0" applyFont="1" applyFill="1" applyBorder="1" applyAlignment="1">
      <alignment horizontal="left" vertical="center" wrapText="1"/>
    </xf>
    <xf numFmtId="0" fontId="20" fillId="13" borderId="0" xfId="0" applyFont="1" applyFill="1" applyBorder="1" applyAlignment="1">
      <alignment horizontal="left" wrapText="1"/>
    </xf>
    <xf numFmtId="0" fontId="0" fillId="0" borderId="0" xfId="0" applyAlignment="1">
      <alignment horizontal="left" wrapText="1"/>
    </xf>
    <xf numFmtId="0" fontId="19" fillId="13" borderId="2" xfId="0" applyFont="1" applyFill="1" applyBorder="1" applyAlignment="1" applyProtection="1">
      <alignment horizontal="left" vertical="center" wrapText="1"/>
      <protection locked="0"/>
    </xf>
    <xf numFmtId="0" fontId="19" fillId="13" borderId="32" xfId="0" applyFont="1" applyFill="1" applyBorder="1" applyAlignment="1" applyProtection="1">
      <alignment horizontal="left" vertical="center" wrapText="1"/>
      <protection locked="0"/>
    </xf>
    <xf numFmtId="0" fontId="19" fillId="9" borderId="2" xfId="0" applyFont="1" applyFill="1" applyBorder="1" applyAlignment="1">
      <alignment horizontal="left" vertical="center"/>
    </xf>
    <xf numFmtId="0" fontId="19" fillId="10" borderId="18" xfId="0" applyFont="1" applyFill="1" applyBorder="1" applyAlignment="1">
      <alignment horizontal="left" vertical="center"/>
    </xf>
    <xf numFmtId="0" fontId="19" fillId="10" borderId="71" xfId="0" applyFont="1" applyFill="1" applyBorder="1" applyAlignment="1">
      <alignment horizontal="left" vertical="center"/>
    </xf>
    <xf numFmtId="0" fontId="63" fillId="13" borderId="69" xfId="0" applyFont="1" applyFill="1" applyBorder="1" applyAlignment="1" applyProtection="1">
      <alignment horizontal="center"/>
    </xf>
    <xf numFmtId="1" fontId="0" fillId="13" borderId="0" xfId="0" applyNumberFormat="1" applyFill="1" applyBorder="1"/>
    <xf numFmtId="1" fontId="20" fillId="13" borderId="0" xfId="0" applyNumberFormat="1" applyFont="1" applyFill="1" applyBorder="1"/>
    <xf numFmtId="1" fontId="19" fillId="13" borderId="61" xfId="0" applyNumberFormat="1" applyFont="1" applyFill="1" applyBorder="1" applyAlignment="1">
      <alignment horizontal="center" vertical="center"/>
    </xf>
    <xf numFmtId="1" fontId="19" fillId="7" borderId="17" xfId="0" applyNumberFormat="1" applyFont="1" applyFill="1" applyBorder="1" applyAlignment="1">
      <alignment horizontal="center" vertical="center"/>
    </xf>
    <xf numFmtId="1" fontId="19" fillId="18" borderId="29" xfId="0" applyNumberFormat="1" applyFont="1" applyFill="1" applyBorder="1" applyAlignment="1">
      <alignment horizontal="center" vertical="center"/>
    </xf>
    <xf numFmtId="1" fontId="19" fillId="7" borderId="3" xfId="0" applyNumberFormat="1" applyFont="1" applyFill="1" applyBorder="1" applyAlignment="1">
      <alignment horizontal="center" vertical="center"/>
    </xf>
    <xf numFmtId="1" fontId="20" fillId="8" borderId="3" xfId="0" applyNumberFormat="1" applyFont="1" applyFill="1" applyBorder="1" applyAlignment="1">
      <alignment horizontal="center" vertical="center"/>
    </xf>
    <xf numFmtId="1" fontId="19" fillId="18" borderId="10" xfId="0" applyNumberFormat="1" applyFont="1" applyFill="1" applyBorder="1" applyAlignment="1">
      <alignment horizontal="center" vertical="center"/>
    </xf>
    <xf numFmtId="1" fontId="13" fillId="13" borderId="0" xfId="0" applyNumberFormat="1" applyFont="1" applyFill="1" applyBorder="1" applyAlignment="1">
      <alignment horizontal="center" vertical="center"/>
    </xf>
    <xf numFmtId="1" fontId="19" fillId="9" borderId="14" xfId="0" applyNumberFormat="1" applyFont="1" applyFill="1" applyBorder="1" applyAlignment="1">
      <alignment horizontal="center" vertical="center"/>
    </xf>
    <xf numFmtId="1" fontId="19" fillId="7" borderId="29" xfId="0" applyNumberFormat="1" applyFont="1" applyFill="1" applyBorder="1" applyAlignment="1">
      <alignment horizontal="center" vertical="center"/>
    </xf>
    <xf numFmtId="1" fontId="0" fillId="0" borderId="0" xfId="0" applyNumberFormat="1"/>
    <xf numFmtId="1" fontId="19" fillId="7" borderId="14" xfId="0" applyNumberFormat="1" applyFont="1" applyFill="1" applyBorder="1" applyAlignment="1">
      <alignment horizontal="center" vertical="center"/>
    </xf>
    <xf numFmtId="1" fontId="11" fillId="13" borderId="0" xfId="0" applyNumberFormat="1" applyFont="1" applyFill="1" applyBorder="1" applyAlignment="1">
      <alignment vertical="center"/>
    </xf>
    <xf numFmtId="1" fontId="0" fillId="0" borderId="0" xfId="0" applyNumberFormat="1" applyFont="1"/>
    <xf numFmtId="1" fontId="0" fillId="13" borderId="0" xfId="0" applyNumberFormat="1" applyFill="1"/>
    <xf numFmtId="1" fontId="19" fillId="9" borderId="3" xfId="0" applyNumberFormat="1" applyFont="1" applyFill="1" applyBorder="1" applyAlignment="1">
      <alignment horizontal="center" vertical="center"/>
    </xf>
    <xf numFmtId="1" fontId="27" fillId="13" borderId="0" xfId="0" applyNumberFormat="1" applyFont="1" applyFill="1"/>
    <xf numFmtId="1" fontId="28" fillId="13" borderId="0" xfId="0" applyNumberFormat="1" applyFont="1" applyFill="1"/>
    <xf numFmtId="1" fontId="19" fillId="8" borderId="17" xfId="0" applyNumberFormat="1" applyFont="1" applyFill="1" applyBorder="1" applyAlignment="1">
      <alignment horizontal="center" vertical="center"/>
    </xf>
    <xf numFmtId="1" fontId="19" fillId="8" borderId="14" xfId="0" applyNumberFormat="1" applyFont="1" applyFill="1" applyBorder="1" applyAlignment="1">
      <alignment horizontal="center" vertical="center"/>
    </xf>
    <xf numFmtId="1" fontId="0" fillId="13" borderId="0" xfId="0" applyNumberFormat="1" applyFill="1" applyAlignment="1">
      <alignment horizontal="center"/>
    </xf>
    <xf numFmtId="1" fontId="19" fillId="10" borderId="14" xfId="0" applyNumberFormat="1" applyFont="1" applyFill="1" applyBorder="1" applyAlignment="1">
      <alignment horizontal="center" vertical="center"/>
    </xf>
    <xf numFmtId="0" fontId="64" fillId="25" borderId="29" xfId="0" applyFont="1" applyFill="1" applyBorder="1" applyAlignment="1">
      <alignment vertical="center"/>
    </xf>
    <xf numFmtId="0" fontId="64" fillId="25" borderId="1" xfId="0" applyFont="1" applyFill="1" applyBorder="1" applyAlignment="1">
      <alignment horizontal="center" vertical="center"/>
    </xf>
    <xf numFmtId="0" fontId="64" fillId="25" borderId="29" xfId="0" applyFont="1" applyFill="1" applyBorder="1" applyAlignment="1">
      <alignment horizontal="center" vertical="center"/>
    </xf>
    <xf numFmtId="0" fontId="64" fillId="25" borderId="23" xfId="0" applyFont="1" applyFill="1" applyBorder="1" applyAlignment="1">
      <alignment vertical="center"/>
    </xf>
    <xf numFmtId="0" fontId="64" fillId="25" borderId="23" xfId="0" applyFont="1" applyFill="1" applyBorder="1" applyAlignment="1">
      <alignment horizontal="center" vertical="center"/>
    </xf>
    <xf numFmtId="0" fontId="64" fillId="25" borderId="1" xfId="0" applyFont="1" applyFill="1" applyBorder="1" applyAlignment="1">
      <alignment vertical="center"/>
    </xf>
    <xf numFmtId="1" fontId="64" fillId="25" borderId="1"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8" fillId="7" borderId="20" xfId="0" applyFont="1" applyFill="1" applyBorder="1" applyAlignment="1">
      <alignment vertical="center" wrapText="1"/>
    </xf>
    <xf numFmtId="0" fontId="19" fillId="13" borderId="29" xfId="0" applyFont="1" applyFill="1" applyBorder="1" applyAlignment="1">
      <alignment vertical="center" wrapText="1"/>
    </xf>
    <xf numFmtId="0" fontId="19" fillId="8" borderId="18" xfId="0" applyFont="1" applyFill="1" applyBorder="1" applyAlignment="1">
      <alignment vertical="center" wrapText="1"/>
    </xf>
    <xf numFmtId="0" fontId="19" fillId="13" borderId="78" xfId="0" applyFont="1" applyFill="1" applyBorder="1" applyAlignment="1">
      <alignment horizontal="left" vertical="center" wrapText="1"/>
    </xf>
    <xf numFmtId="0" fontId="67" fillId="13" borderId="22" xfId="0" applyFont="1" applyFill="1" applyBorder="1" applyAlignment="1">
      <alignment vertical="center" wrapText="1"/>
    </xf>
    <xf numFmtId="0" fontId="20" fillId="13" borderId="40" xfId="0" applyFont="1" applyFill="1" applyBorder="1" applyAlignment="1">
      <alignment horizontal="left" vertical="center" wrapText="1"/>
    </xf>
    <xf numFmtId="0" fontId="20" fillId="13" borderId="1" xfId="0" applyFont="1" applyFill="1" applyBorder="1" applyAlignment="1">
      <alignment horizontal="left" vertical="center" wrapText="1"/>
    </xf>
    <xf numFmtId="0" fontId="67" fillId="13" borderId="2" xfId="0" applyFont="1" applyFill="1" applyBorder="1" applyAlignment="1">
      <alignment horizontal="center" vertical="center" wrapText="1"/>
    </xf>
    <xf numFmtId="0" fontId="19" fillId="13" borderId="9" xfId="0" applyFont="1" applyFill="1" applyBorder="1" applyAlignment="1">
      <alignment vertical="center" wrapText="1"/>
    </xf>
    <xf numFmtId="1" fontId="20" fillId="13" borderId="1" xfId="0" applyNumberFormat="1" applyFont="1" applyFill="1" applyBorder="1" applyAlignment="1">
      <alignment horizontal="left" vertical="center" wrapText="1"/>
    </xf>
    <xf numFmtId="165" fontId="64" fillId="25" borderId="29" xfId="3002" applyNumberFormat="1" applyFont="1" applyFill="1" applyBorder="1" applyAlignment="1">
      <alignment horizontal="center" vertical="center"/>
    </xf>
    <xf numFmtId="165" fontId="19" fillId="13" borderId="29" xfId="0" applyNumberFormat="1" applyFont="1" applyFill="1" applyBorder="1" applyAlignment="1">
      <alignment horizontal="center" vertical="center"/>
    </xf>
    <xf numFmtId="165" fontId="54" fillId="18" borderId="29" xfId="3002" applyNumberFormat="1" applyFont="1" applyFill="1" applyBorder="1" applyAlignment="1">
      <alignment horizontal="center" vertical="center"/>
    </xf>
    <xf numFmtId="165" fontId="19" fillId="18" borderId="29" xfId="3002" applyNumberFormat="1" applyFont="1" applyFill="1" applyBorder="1" applyAlignment="1">
      <alignment horizontal="center" vertical="center"/>
    </xf>
    <xf numFmtId="165" fontId="64" fillId="25" borderId="1" xfId="3002" applyNumberFormat="1" applyFont="1" applyFill="1" applyBorder="1" applyAlignment="1">
      <alignment horizontal="center" vertical="center"/>
    </xf>
    <xf numFmtId="165" fontId="19" fillId="13" borderId="29" xfId="3002" applyNumberFormat="1" applyFont="1" applyFill="1" applyBorder="1" applyAlignment="1">
      <alignment horizontal="center" vertical="center"/>
    </xf>
    <xf numFmtId="0" fontId="70" fillId="13" borderId="0" xfId="0" applyFont="1" applyFill="1" applyBorder="1" applyAlignment="1">
      <alignment horizontal="center"/>
    </xf>
    <xf numFmtId="0" fontId="69" fillId="13" borderId="0" xfId="0" applyFont="1" applyFill="1" applyProtection="1">
      <protection locked="0"/>
    </xf>
    <xf numFmtId="0" fontId="71" fillId="13" borderId="0" xfId="0" applyFont="1" applyFill="1" applyProtection="1">
      <protection locked="0"/>
    </xf>
    <xf numFmtId="0" fontId="54" fillId="13" borderId="0" xfId="0" applyFont="1" applyFill="1" applyBorder="1"/>
    <xf numFmtId="0" fontId="54" fillId="13" borderId="12" xfId="0" applyFont="1" applyFill="1" applyBorder="1" applyAlignment="1">
      <alignment horizontal="center" vertical="center"/>
    </xf>
    <xf numFmtId="0" fontId="54" fillId="13" borderId="29" xfId="0" applyFont="1" applyFill="1" applyBorder="1" applyAlignment="1">
      <alignment horizontal="center" vertical="center"/>
    </xf>
    <xf numFmtId="0" fontId="54" fillId="13" borderId="13" xfId="0" applyFont="1" applyFill="1" applyBorder="1" applyAlignment="1">
      <alignment vertical="center"/>
    </xf>
    <xf numFmtId="0" fontId="54" fillId="13" borderId="1" xfId="0" applyFont="1" applyFill="1" applyBorder="1" applyAlignment="1">
      <alignment horizontal="center" vertical="center"/>
    </xf>
    <xf numFmtId="0" fontId="54" fillId="18" borderId="29" xfId="0" applyFont="1" applyFill="1" applyBorder="1" applyAlignment="1">
      <alignment horizontal="center" vertical="center"/>
    </xf>
    <xf numFmtId="1" fontId="54" fillId="18" borderId="29" xfId="0" applyNumberFormat="1" applyFont="1" applyFill="1" applyBorder="1" applyAlignment="1">
      <alignment horizontal="center" vertical="center"/>
    </xf>
    <xf numFmtId="0" fontId="54" fillId="13" borderId="13" xfId="0" applyFont="1" applyFill="1" applyBorder="1" applyAlignment="1">
      <alignment horizontal="center" vertical="center"/>
    </xf>
    <xf numFmtId="0" fontId="54" fillId="13" borderId="13" xfId="0" applyFont="1" applyFill="1" applyBorder="1" applyAlignment="1">
      <alignment horizontal="left" vertical="center" wrapText="1"/>
    </xf>
    <xf numFmtId="0" fontId="54" fillId="13" borderId="16" xfId="0" applyFont="1" applyFill="1" applyBorder="1" applyAlignment="1">
      <alignment horizontal="left" vertical="center" wrapText="1"/>
    </xf>
    <xf numFmtId="165" fontId="54" fillId="13" borderId="29" xfId="3002" applyNumberFormat="1" applyFont="1" applyFill="1" applyBorder="1" applyAlignment="1">
      <alignment horizontal="center" vertical="center"/>
    </xf>
    <xf numFmtId="169" fontId="54" fillId="18" borderId="29" xfId="3002" applyNumberFormat="1" applyFont="1" applyFill="1" applyBorder="1" applyAlignment="1">
      <alignment horizontal="center" vertical="center"/>
    </xf>
    <xf numFmtId="1" fontId="20" fillId="13" borderId="28" xfId="0" applyNumberFormat="1" applyFont="1" applyFill="1" applyBorder="1" applyAlignment="1">
      <alignment horizontal="left" vertical="center" wrapText="1"/>
    </xf>
    <xf numFmtId="1" fontId="20" fillId="13" borderId="25" xfId="0" applyNumberFormat="1" applyFont="1" applyFill="1" applyBorder="1" applyAlignment="1">
      <alignment horizontal="left" vertical="center" wrapText="1"/>
    </xf>
    <xf numFmtId="0" fontId="54" fillId="13" borderId="29" xfId="0" applyFont="1" applyFill="1" applyBorder="1" applyAlignment="1">
      <alignment vertical="center"/>
    </xf>
    <xf numFmtId="166" fontId="19" fillId="13" borderId="29" xfId="0" applyNumberFormat="1" applyFont="1" applyFill="1" applyBorder="1" applyAlignment="1">
      <alignment horizontal="center" vertical="center"/>
    </xf>
    <xf numFmtId="170" fontId="19" fillId="13" borderId="29" xfId="0" applyNumberFormat="1" applyFont="1" applyFill="1" applyBorder="1" applyAlignment="1">
      <alignment horizontal="center" vertical="center"/>
    </xf>
    <xf numFmtId="171" fontId="19" fillId="18" borderId="29" xfId="0" applyNumberFormat="1" applyFont="1" applyFill="1" applyBorder="1" applyAlignment="1">
      <alignment horizontal="center" vertical="center"/>
    </xf>
    <xf numFmtId="2" fontId="19" fillId="18" borderId="29" xfId="0" applyNumberFormat="1" applyFont="1" applyFill="1" applyBorder="1" applyAlignment="1">
      <alignment horizontal="center" vertical="center"/>
    </xf>
    <xf numFmtId="166" fontId="19" fillId="18" borderId="29" xfId="0" applyNumberFormat="1" applyFont="1" applyFill="1" applyBorder="1" applyAlignment="1">
      <alignment horizontal="center" vertical="center"/>
    </xf>
    <xf numFmtId="43" fontId="54" fillId="18" borderId="29" xfId="3002" applyNumberFormat="1" applyFont="1" applyFill="1" applyBorder="1" applyAlignment="1">
      <alignment horizontal="center" vertical="center"/>
    </xf>
    <xf numFmtId="172" fontId="54" fillId="18" borderId="29" xfId="3002" applyNumberFormat="1" applyFont="1" applyFill="1" applyBorder="1" applyAlignment="1">
      <alignment horizontal="center" vertical="center"/>
    </xf>
    <xf numFmtId="0" fontId="20" fillId="0" borderId="1" xfId="0" applyFont="1" applyBorder="1"/>
    <xf numFmtId="165" fontId="64" fillId="25" borderId="23" xfId="3002" applyNumberFormat="1" applyFont="1" applyFill="1" applyBorder="1" applyAlignment="1">
      <alignment horizontal="center" vertical="center"/>
    </xf>
    <xf numFmtId="0" fontId="70" fillId="7" borderId="1" xfId="0" applyFont="1" applyFill="1" applyBorder="1" applyAlignment="1">
      <alignment horizontal="center" vertical="center"/>
    </xf>
    <xf numFmtId="0" fontId="70" fillId="13" borderId="1" xfId="0" applyFont="1" applyFill="1" applyBorder="1" applyAlignment="1">
      <alignment horizontal="center" vertical="center"/>
    </xf>
    <xf numFmtId="0" fontId="72" fillId="13" borderId="26" xfId="3001" applyFont="1" applyFill="1" applyBorder="1" applyAlignment="1" applyProtection="1">
      <alignment horizontal="left" vertical="center" wrapText="1"/>
    </xf>
    <xf numFmtId="0" fontId="19" fillId="13" borderId="29" xfId="0" applyFont="1" applyFill="1" applyBorder="1" applyAlignment="1">
      <alignment horizontal="center" vertical="center" wrapText="1"/>
    </xf>
    <xf numFmtId="43" fontId="11" fillId="13" borderId="0" xfId="0" applyNumberFormat="1" applyFont="1" applyFill="1" applyBorder="1" applyAlignment="1">
      <alignment horizontal="center" vertical="center"/>
    </xf>
    <xf numFmtId="165" fontId="19" fillId="13" borderId="37" xfId="3002" applyNumberFormat="1" applyFont="1" applyFill="1" applyBorder="1" applyAlignment="1">
      <alignment horizontal="center" vertical="center"/>
    </xf>
    <xf numFmtId="165" fontId="19" fillId="18" borderId="10" xfId="3002" applyNumberFormat="1" applyFont="1" applyFill="1" applyBorder="1" applyAlignment="1">
      <alignment horizontal="center" vertical="center"/>
    </xf>
    <xf numFmtId="0" fontId="19" fillId="13" borderId="10" xfId="0" applyFont="1" applyFill="1" applyBorder="1" applyAlignment="1">
      <alignment vertical="center" wrapText="1"/>
    </xf>
    <xf numFmtId="165" fontId="19" fillId="13" borderId="1" xfId="3002" applyNumberFormat="1" applyFont="1" applyFill="1" applyBorder="1" applyAlignment="1">
      <alignment horizontal="center" vertical="center"/>
    </xf>
    <xf numFmtId="0" fontId="54" fillId="7" borderId="5" xfId="0" applyFont="1" applyFill="1" applyBorder="1" applyAlignment="1">
      <alignment horizontal="center" vertical="center"/>
    </xf>
    <xf numFmtId="0" fontId="19" fillId="13" borderId="57" xfId="0" applyFont="1" applyFill="1" applyBorder="1" applyAlignment="1">
      <alignment horizontal="center" vertical="center" wrapText="1"/>
    </xf>
    <xf numFmtId="1" fontId="20" fillId="13" borderId="2" xfId="0" applyNumberFormat="1" applyFont="1" applyFill="1" applyBorder="1" applyAlignment="1">
      <alignment horizontal="left" vertical="center" wrapText="1"/>
    </xf>
    <xf numFmtId="0" fontId="19" fillId="13" borderId="1" xfId="0" applyFont="1" applyFill="1" applyBorder="1" applyAlignment="1">
      <alignment horizontal="center" vertical="center" wrapText="1"/>
    </xf>
    <xf numFmtId="0" fontId="54" fillId="13" borderId="22" xfId="0" applyFont="1" applyFill="1" applyBorder="1" applyAlignment="1">
      <alignment vertical="center" wrapText="1"/>
    </xf>
    <xf numFmtId="1" fontId="54" fillId="13" borderId="25" xfId="0" applyNumberFormat="1" applyFont="1" applyFill="1" applyBorder="1" applyAlignment="1">
      <alignment horizontal="left" vertical="center" wrapText="1"/>
    </xf>
    <xf numFmtId="0" fontId="54" fillId="13" borderId="2" xfId="0" applyFont="1" applyFill="1" applyBorder="1" applyAlignment="1">
      <alignment horizontal="center" vertical="center" wrapText="1"/>
    </xf>
    <xf numFmtId="0" fontId="54" fillId="13" borderId="27" xfId="0" applyFont="1" applyFill="1" applyBorder="1" applyAlignment="1">
      <alignment horizontal="center" vertical="center"/>
    </xf>
    <xf numFmtId="0" fontId="54" fillId="13" borderId="27" xfId="0" applyFont="1" applyFill="1" applyBorder="1" applyAlignment="1">
      <alignment horizontal="center" vertical="center" wrapText="1"/>
    </xf>
    <xf numFmtId="0" fontId="30" fillId="13" borderId="0" xfId="0" applyFont="1" applyFill="1" applyAlignment="1">
      <alignment horizontal="center"/>
    </xf>
    <xf numFmtId="0" fontId="54" fillId="13" borderId="7" xfId="0" applyFont="1" applyFill="1" applyBorder="1" applyAlignment="1">
      <alignment horizontal="center" vertical="center"/>
    </xf>
    <xf numFmtId="0" fontId="54" fillId="13" borderId="30" xfId="0" applyFont="1" applyFill="1" applyBorder="1" applyAlignment="1">
      <alignment vertical="center"/>
    </xf>
    <xf numFmtId="0" fontId="54" fillId="13" borderId="29" xfId="0" applyFont="1" applyFill="1" applyBorder="1" applyAlignment="1">
      <alignment horizontal="left" vertical="center" wrapText="1"/>
    </xf>
    <xf numFmtId="0" fontId="30" fillId="0" borderId="0" xfId="0" applyFont="1"/>
    <xf numFmtId="0" fontId="0" fillId="13" borderId="24" xfId="0" applyFill="1" applyBorder="1" applyAlignment="1">
      <alignment horizontal="left" vertical="center"/>
    </xf>
    <xf numFmtId="0" fontId="0" fillId="0" borderId="1" xfId="0" applyBorder="1"/>
    <xf numFmtId="0" fontId="54" fillId="13" borderId="16" xfId="0" applyFont="1" applyFill="1" applyBorder="1" applyAlignment="1">
      <alignment horizontal="left" vertical="center"/>
    </xf>
    <xf numFmtId="0" fontId="30" fillId="13" borderId="7" xfId="0" applyFont="1" applyFill="1" applyBorder="1" applyAlignment="1">
      <alignment vertical="center"/>
    </xf>
    <xf numFmtId="49" fontId="62" fillId="13" borderId="0" xfId="0" applyNumberFormat="1" applyFont="1" applyFill="1" applyAlignment="1" applyProtection="1">
      <alignment horizontal="center"/>
      <protection locked="0"/>
    </xf>
    <xf numFmtId="168" fontId="19" fillId="18" borderId="29" xfId="0" applyNumberFormat="1" applyFont="1" applyFill="1" applyBorder="1" applyAlignment="1">
      <alignment horizontal="center" vertical="center"/>
    </xf>
    <xf numFmtId="0" fontId="18" fillId="13" borderId="0" xfId="0" applyFont="1" applyFill="1" applyBorder="1" applyAlignment="1">
      <alignment horizontal="center" vertical="center" wrapText="1"/>
    </xf>
    <xf numFmtId="3" fontId="54" fillId="13" borderId="23" xfId="0" applyNumberFormat="1" applyFont="1" applyFill="1" applyBorder="1" applyAlignment="1">
      <alignment horizontal="left" vertical="center"/>
    </xf>
    <xf numFmtId="0" fontId="30" fillId="13" borderId="16" xfId="0" applyFont="1" applyFill="1" applyBorder="1" applyAlignment="1">
      <alignment vertical="center"/>
    </xf>
    <xf numFmtId="0" fontId="0" fillId="13" borderId="0" xfId="0" applyFill="1" applyAlignment="1">
      <alignment wrapText="1"/>
    </xf>
    <xf numFmtId="0" fontId="25" fillId="13" borderId="0" xfId="0" applyFont="1" applyFill="1" applyAlignment="1">
      <alignment wrapText="1"/>
    </xf>
    <xf numFmtId="0" fontId="55" fillId="18" borderId="4" xfId="0" applyFont="1" applyFill="1" applyBorder="1" applyAlignment="1">
      <alignment vertical="center" wrapText="1"/>
    </xf>
    <xf numFmtId="0" fontId="55" fillId="18" borderId="5" xfId="0" applyFont="1" applyFill="1" applyBorder="1" applyAlignment="1">
      <alignment vertical="center" wrapText="1"/>
    </xf>
    <xf numFmtId="0" fontId="1" fillId="0" borderId="0" xfId="0" applyFont="1" applyAlignment="1">
      <alignment wrapText="1"/>
    </xf>
    <xf numFmtId="0" fontId="0" fillId="13" borderId="1" xfId="0" applyFill="1" applyBorder="1" applyAlignment="1">
      <alignment wrapText="1"/>
    </xf>
    <xf numFmtId="0" fontId="1" fillId="0" borderId="1" xfId="0" applyFont="1" applyBorder="1" applyAlignment="1">
      <alignment wrapText="1"/>
    </xf>
    <xf numFmtId="0" fontId="30" fillId="13" borderId="1" xfId="0" applyFont="1" applyFill="1" applyBorder="1" applyAlignment="1">
      <alignment wrapText="1"/>
    </xf>
    <xf numFmtId="0" fontId="22" fillId="13" borderId="0" xfId="0" applyFont="1" applyFill="1" applyAlignment="1">
      <alignment wrapText="1"/>
    </xf>
    <xf numFmtId="0" fontId="0" fillId="0" borderId="0" xfId="0" applyAlignment="1">
      <alignment wrapText="1"/>
    </xf>
    <xf numFmtId="0" fontId="0" fillId="13" borderId="0" xfId="0" applyFill="1" applyAlignment="1">
      <alignment horizontal="center" wrapText="1"/>
    </xf>
    <xf numFmtId="0" fontId="0" fillId="13" borderId="0" xfId="0" applyFill="1" applyAlignment="1"/>
    <xf numFmtId="0" fontId="55" fillId="18" borderId="5" xfId="0" applyFont="1" applyFill="1" applyBorder="1" applyAlignment="1">
      <alignment horizontal="center" vertical="center" wrapText="1"/>
    </xf>
    <xf numFmtId="0" fontId="66" fillId="13" borderId="2" xfId="0" applyFont="1" applyFill="1" applyBorder="1" applyAlignment="1">
      <alignment horizontal="center" vertical="center" wrapText="1"/>
    </xf>
    <xf numFmtId="0" fontId="20" fillId="13" borderId="2" xfId="0" applyFont="1" applyFill="1" applyBorder="1" applyAlignment="1">
      <alignment horizontal="center" vertical="center" wrapText="1"/>
    </xf>
    <xf numFmtId="0" fontId="66" fillId="13" borderId="27" xfId="0" applyFont="1" applyFill="1" applyBorder="1" applyAlignment="1">
      <alignment horizontal="center" vertical="center" wrapText="1"/>
    </xf>
    <xf numFmtId="1" fontId="66" fillId="13" borderId="27" xfId="0" applyNumberFormat="1" applyFont="1" applyFill="1" applyBorder="1" applyAlignment="1">
      <alignment horizontal="center" vertical="center" wrapText="1"/>
    </xf>
    <xf numFmtId="0" fontId="20" fillId="13" borderId="27" xfId="0" applyFont="1" applyFill="1" applyBorder="1" applyAlignment="1">
      <alignment horizontal="center" vertical="center" wrapText="1"/>
    </xf>
    <xf numFmtId="0" fontId="20" fillId="13" borderId="23" xfId="0" applyFont="1" applyFill="1" applyBorder="1" applyAlignment="1">
      <alignment horizontal="center" vertical="center" wrapText="1"/>
    </xf>
    <xf numFmtId="0" fontId="54" fillId="13" borderId="23" xfId="0" applyFont="1" applyFill="1" applyBorder="1" applyAlignment="1">
      <alignment horizontal="center" vertical="center" wrapText="1"/>
    </xf>
    <xf numFmtId="0" fontId="0" fillId="0" borderId="0" xfId="0" applyAlignment="1">
      <alignment horizontal="center" wrapText="1"/>
    </xf>
    <xf numFmtId="0" fontId="65" fillId="0" borderId="1" xfId="3001" applyBorder="1" applyAlignment="1" applyProtection="1"/>
    <xf numFmtId="1" fontId="20" fillId="13" borderId="1" xfId="0" applyNumberFormat="1" applyFont="1" applyFill="1" applyBorder="1" applyAlignment="1">
      <alignment horizontal="left" vertical="center"/>
    </xf>
    <xf numFmtId="1" fontId="66" fillId="13" borderId="1" xfId="0" applyNumberFormat="1" applyFont="1" applyFill="1" applyBorder="1" applyAlignment="1">
      <alignment horizontal="left" vertical="center"/>
    </xf>
    <xf numFmtId="1" fontId="65" fillId="13" borderId="1" xfId="3001" applyNumberFormat="1" applyFill="1" applyBorder="1" applyAlignment="1" applyProtection="1">
      <alignment horizontal="left" vertical="center"/>
    </xf>
    <xf numFmtId="1" fontId="54" fillId="13" borderId="1" xfId="0" applyNumberFormat="1" applyFont="1" applyFill="1" applyBorder="1" applyAlignment="1">
      <alignment horizontal="left" vertical="center"/>
    </xf>
    <xf numFmtId="49" fontId="19" fillId="13" borderId="22" xfId="0" applyNumberFormat="1" applyFont="1" applyFill="1" applyBorder="1" applyAlignment="1" applyProtection="1">
      <alignment horizontal="left" vertical="center" wrapText="1"/>
      <protection locked="0"/>
    </xf>
    <xf numFmtId="49" fontId="19" fillId="13" borderId="7" xfId="0" applyNumberFormat="1" applyFont="1" applyFill="1" applyBorder="1" applyAlignment="1" applyProtection="1">
      <alignment horizontal="left" vertical="center" wrapText="1"/>
      <protection locked="0"/>
    </xf>
    <xf numFmtId="49" fontId="19" fillId="13" borderId="9" xfId="0" applyNumberFormat="1" applyFont="1" applyFill="1" applyBorder="1" applyAlignment="1" applyProtection="1">
      <alignment horizontal="left" vertical="center" wrapText="1"/>
      <protection locked="0"/>
    </xf>
    <xf numFmtId="0" fontId="20" fillId="13" borderId="8" xfId="0" applyFont="1" applyFill="1" applyBorder="1" applyAlignment="1" applyProtection="1">
      <alignment horizontal="left" vertical="center" wrapText="1"/>
      <protection locked="0"/>
    </xf>
    <xf numFmtId="1" fontId="20" fillId="13" borderId="8" xfId="0" applyNumberFormat="1" applyFont="1" applyFill="1" applyBorder="1" applyAlignment="1" applyProtection="1">
      <alignment horizontal="left" vertical="center" wrapText="1"/>
      <protection locked="0"/>
    </xf>
    <xf numFmtId="0" fontId="20" fillId="13" borderId="11" xfId="0" applyFont="1" applyFill="1" applyBorder="1" applyAlignment="1" applyProtection="1">
      <alignment horizontal="left" vertical="center" wrapText="1"/>
      <protection locked="0"/>
    </xf>
    <xf numFmtId="0" fontId="32" fillId="5" borderId="10" xfId="0" applyFont="1" applyFill="1" applyBorder="1" applyAlignment="1">
      <alignment horizontal="center" vertical="center" wrapText="1"/>
    </xf>
    <xf numFmtId="0" fontId="18" fillId="7" borderId="19" xfId="0" applyFont="1" applyFill="1" applyBorder="1" applyAlignment="1">
      <alignment vertical="center" wrapText="1"/>
    </xf>
    <xf numFmtId="0" fontId="19" fillId="13" borderId="32" xfId="0" applyFont="1" applyFill="1" applyBorder="1" applyAlignment="1">
      <alignment vertical="center" wrapText="1"/>
    </xf>
    <xf numFmtId="0" fontId="12" fillId="13" borderId="0" xfId="0" applyFont="1" applyFill="1" applyBorder="1" applyAlignment="1">
      <alignment vertical="center" wrapText="1"/>
    </xf>
    <xf numFmtId="0" fontId="18" fillId="9" borderId="20" xfId="0" applyFont="1" applyFill="1" applyBorder="1" applyAlignment="1">
      <alignment vertical="center" wrapText="1"/>
    </xf>
    <xf numFmtId="0" fontId="0" fillId="0" borderId="0" xfId="0" applyFont="1" applyAlignment="1">
      <alignment vertical="center" wrapText="1"/>
    </xf>
    <xf numFmtId="0" fontId="0" fillId="13" borderId="0" xfId="0" applyFont="1" applyFill="1" applyBorder="1" applyAlignment="1">
      <alignment vertical="top" wrapText="1"/>
    </xf>
    <xf numFmtId="0" fontId="18" fillId="13" borderId="0" xfId="0" applyFont="1" applyFill="1" applyBorder="1" applyAlignment="1">
      <alignment vertical="top" wrapText="1"/>
    </xf>
    <xf numFmtId="0" fontId="32" fillId="5" borderId="10" xfId="0" applyFont="1" applyFill="1" applyBorder="1" applyAlignment="1">
      <alignment horizontal="center" vertical="top" wrapText="1"/>
    </xf>
    <xf numFmtId="0" fontId="18" fillId="7" borderId="19" xfId="0" applyFont="1" applyFill="1" applyBorder="1" applyAlignment="1">
      <alignment vertical="top" wrapText="1"/>
    </xf>
    <xf numFmtId="0" fontId="64" fillId="25" borderId="13" xfId="0" applyFont="1" applyFill="1" applyBorder="1" applyAlignment="1">
      <alignment vertical="top" wrapText="1"/>
    </xf>
    <xf numFmtId="0" fontId="18" fillId="7" borderId="20" xfId="0" applyFont="1" applyFill="1" applyBorder="1" applyAlignment="1">
      <alignment vertical="top" wrapText="1"/>
    </xf>
    <xf numFmtId="0" fontId="64" fillId="25" borderId="29" xfId="0" applyFont="1" applyFill="1" applyBorder="1" applyAlignment="1">
      <alignment vertical="top" wrapText="1"/>
    </xf>
    <xf numFmtId="0" fontId="64" fillId="25" borderId="23" xfId="0" applyFont="1" applyFill="1" applyBorder="1" applyAlignment="1">
      <alignment vertical="top" wrapText="1"/>
    </xf>
    <xf numFmtId="0" fontId="31" fillId="8" borderId="20" xfId="0" applyFont="1" applyFill="1" applyBorder="1" applyAlignment="1">
      <alignment vertical="top" wrapText="1"/>
    </xf>
    <xf numFmtId="0" fontId="20" fillId="13" borderId="13" xfId="0" applyFont="1" applyFill="1" applyBorder="1" applyAlignment="1">
      <alignment vertical="top" wrapText="1"/>
    </xf>
    <xf numFmtId="0" fontId="20" fillId="13" borderId="57" xfId="0" applyFont="1" applyFill="1" applyBorder="1" applyAlignment="1">
      <alignment vertical="top" wrapText="1"/>
    </xf>
    <xf numFmtId="0" fontId="13" fillId="13" borderId="0" xfId="0" applyFont="1" applyFill="1" applyBorder="1" applyAlignment="1">
      <alignment vertical="top" wrapText="1"/>
    </xf>
    <xf numFmtId="0" fontId="64" fillId="25" borderId="2" xfId="0" applyFont="1" applyFill="1" applyBorder="1" applyAlignment="1">
      <alignment vertical="top" wrapText="1"/>
    </xf>
    <xf numFmtId="0" fontId="20" fillId="13" borderId="2" xfId="0" applyFont="1" applyFill="1" applyBorder="1" applyAlignment="1">
      <alignment vertical="top" wrapText="1"/>
    </xf>
    <xf numFmtId="0" fontId="64" fillId="25" borderId="1" xfId="0" applyFont="1" applyFill="1" applyBorder="1" applyAlignment="1">
      <alignment vertical="top" wrapText="1"/>
    </xf>
    <xf numFmtId="0" fontId="20" fillId="13" borderId="32" xfId="0" applyFont="1" applyFill="1" applyBorder="1" applyAlignment="1">
      <alignment vertical="top" wrapText="1"/>
    </xf>
    <xf numFmtId="0" fontId="19" fillId="13" borderId="13" xfId="0" applyFont="1" applyFill="1" applyBorder="1" applyAlignment="1">
      <alignment vertical="top" wrapText="1"/>
    </xf>
    <xf numFmtId="0" fontId="19" fillId="13" borderId="2" xfId="0" applyFont="1" applyFill="1" applyBorder="1" applyAlignment="1">
      <alignment vertical="top" wrapText="1"/>
    </xf>
    <xf numFmtId="0" fontId="19" fillId="13" borderId="32" xfId="0" applyFont="1" applyFill="1" applyBorder="1" applyAlignment="1">
      <alignment vertical="top" wrapText="1"/>
    </xf>
    <xf numFmtId="0" fontId="12" fillId="13" borderId="0" xfId="0" applyFont="1" applyFill="1" applyBorder="1" applyAlignment="1">
      <alignment vertical="top" wrapText="1"/>
    </xf>
    <xf numFmtId="0" fontId="19" fillId="13" borderId="27" xfId="0" applyFont="1" applyFill="1" applyBorder="1" applyAlignment="1">
      <alignment vertical="top" wrapText="1"/>
    </xf>
    <xf numFmtId="0" fontId="18" fillId="9" borderId="20" xfId="0" applyFont="1" applyFill="1" applyBorder="1" applyAlignment="1">
      <alignment vertical="top" wrapText="1"/>
    </xf>
    <xf numFmtId="0" fontId="11" fillId="13" borderId="0" xfId="0" applyFont="1" applyFill="1" applyBorder="1" applyAlignment="1">
      <alignment vertical="top" wrapText="1"/>
    </xf>
    <xf numFmtId="0" fontId="17" fillId="13" borderId="0" xfId="0" applyFont="1" applyFill="1" applyBorder="1" applyAlignment="1">
      <alignment vertical="top" wrapText="1"/>
    </xf>
    <xf numFmtId="0" fontId="20" fillId="13" borderId="0" xfId="0" applyFont="1" applyFill="1" applyBorder="1" applyAlignment="1">
      <alignment vertical="top" wrapText="1"/>
    </xf>
    <xf numFmtId="0" fontId="0" fillId="0" borderId="0" xfId="0" applyFont="1" applyAlignment="1">
      <alignment vertical="top" wrapText="1"/>
    </xf>
    <xf numFmtId="0" fontId="0" fillId="13" borderId="0" xfId="0" applyFill="1" applyBorder="1" applyAlignment="1">
      <alignment horizontal="center" wrapText="1"/>
    </xf>
    <xf numFmtId="0" fontId="19" fillId="7" borderId="17" xfId="0" applyFont="1" applyFill="1" applyBorder="1" applyAlignment="1">
      <alignment horizontal="center" vertical="center" wrapText="1"/>
    </xf>
    <xf numFmtId="0" fontId="19" fillId="7" borderId="3" xfId="0" applyFont="1" applyFill="1" applyBorder="1" applyAlignment="1">
      <alignment horizontal="center" vertical="center" wrapText="1"/>
    </xf>
    <xf numFmtId="0" fontId="20" fillId="8" borderId="3" xfId="0" applyFont="1" applyFill="1" applyBorder="1" applyAlignment="1">
      <alignment horizontal="center" vertical="center" wrapText="1"/>
    </xf>
    <xf numFmtId="0" fontId="13" fillId="13" borderId="0" xfId="0" applyFont="1" applyFill="1" applyBorder="1" applyAlignment="1">
      <alignment horizontal="center" vertical="center" wrapText="1"/>
    </xf>
    <xf numFmtId="0" fontId="11" fillId="13" borderId="0" xfId="0" applyFont="1" applyFill="1" applyBorder="1" applyAlignment="1">
      <alignment horizontal="center" vertical="center" wrapText="1"/>
    </xf>
    <xf numFmtId="0" fontId="19" fillId="9" borderId="14" xfId="0" applyFont="1" applyFill="1" applyBorder="1" applyAlignment="1">
      <alignment horizontal="center" vertical="center" wrapText="1"/>
    </xf>
    <xf numFmtId="0" fontId="19" fillId="7" borderId="14" xfId="0" applyFont="1" applyFill="1" applyBorder="1" applyAlignment="1">
      <alignment horizontal="center" vertical="center" wrapText="1"/>
    </xf>
    <xf numFmtId="0" fontId="54" fillId="13" borderId="29" xfId="0" applyFont="1" applyFill="1" applyBorder="1" applyAlignment="1">
      <alignment horizontal="center" vertical="center" wrapText="1"/>
    </xf>
    <xf numFmtId="0" fontId="20" fillId="13" borderId="0" xfId="0" applyFont="1" applyFill="1" applyBorder="1" applyAlignment="1">
      <alignment horizontal="center" wrapText="1"/>
    </xf>
    <xf numFmtId="0" fontId="0" fillId="13" borderId="0" xfId="0" applyFill="1" applyBorder="1" applyAlignment="1">
      <alignment horizontal="left" vertical="center" wrapText="1"/>
    </xf>
    <xf numFmtId="0" fontId="20" fillId="13" borderId="0" xfId="0" applyFont="1" applyFill="1" applyBorder="1" applyAlignment="1">
      <alignment horizontal="left" vertical="center" wrapText="1"/>
    </xf>
    <xf numFmtId="0" fontId="0" fillId="0" borderId="0" xfId="0" applyAlignment="1">
      <alignment horizontal="left" vertical="center" wrapText="1"/>
    </xf>
    <xf numFmtId="2" fontId="19" fillId="13" borderId="25" xfId="0" applyNumberFormat="1" applyFont="1" applyFill="1" applyBorder="1" applyAlignment="1" applyProtection="1">
      <alignment horizontal="center" vertical="center"/>
      <protection locked="0"/>
    </xf>
    <xf numFmtId="2" fontId="19" fillId="13" borderId="33" xfId="0" applyNumberFormat="1" applyFont="1" applyFill="1" applyBorder="1" applyAlignment="1" applyProtection="1">
      <alignment horizontal="center" vertical="center"/>
      <protection locked="0"/>
    </xf>
    <xf numFmtId="0" fontId="0" fillId="13" borderId="8" xfId="0" applyFill="1" applyBorder="1" applyAlignment="1">
      <alignment vertical="center" wrapText="1"/>
    </xf>
    <xf numFmtId="0" fontId="51" fillId="0" borderId="0" xfId="0" applyFont="1" applyFill="1"/>
    <xf numFmtId="0" fontId="30" fillId="0" borderId="0" xfId="0" applyFont="1" applyFill="1" applyAlignment="1">
      <alignment vertical="center"/>
    </xf>
    <xf numFmtId="0" fontId="51" fillId="0" borderId="0" xfId="0" applyFont="1" applyFill="1" applyAlignment="1">
      <alignment vertical="center"/>
    </xf>
    <xf numFmtId="0" fontId="51" fillId="13" borderId="0" xfId="0" applyFont="1" applyFill="1" applyAlignment="1">
      <alignment vertical="center"/>
    </xf>
    <xf numFmtId="170" fontId="19" fillId="18" borderId="29" xfId="0" applyNumberFormat="1" applyFont="1" applyFill="1" applyBorder="1" applyAlignment="1">
      <alignment horizontal="center" vertical="center"/>
    </xf>
    <xf numFmtId="167" fontId="19" fillId="18" borderId="29" xfId="0" applyNumberFormat="1" applyFont="1" applyFill="1" applyBorder="1" applyAlignment="1">
      <alignment horizontal="center" vertical="center"/>
    </xf>
    <xf numFmtId="0" fontId="18" fillId="7" borderId="17" xfId="0" applyFont="1" applyFill="1" applyBorder="1" applyAlignment="1">
      <alignment vertical="center" wrapText="1"/>
    </xf>
    <xf numFmtId="0" fontId="18" fillId="7" borderId="3" xfId="0" applyFont="1" applyFill="1" applyBorder="1" applyAlignment="1">
      <alignment vertical="center" wrapText="1"/>
    </xf>
    <xf numFmtId="0" fontId="19" fillId="13" borderId="23" xfId="0" applyFont="1" applyFill="1" applyBorder="1" applyAlignment="1">
      <alignment vertical="center" wrapText="1"/>
    </xf>
    <xf numFmtId="0" fontId="18" fillId="8" borderId="1" xfId="0" applyFont="1" applyFill="1" applyBorder="1" applyAlignment="1">
      <alignment vertical="center" wrapText="1"/>
    </xf>
    <xf numFmtId="0" fontId="19" fillId="13" borderId="1" xfId="0" applyFont="1" applyFill="1" applyBorder="1" applyAlignment="1">
      <alignment vertical="center" wrapText="1"/>
    </xf>
    <xf numFmtId="0" fontId="19" fillId="7" borderId="30" xfId="0" applyFont="1" applyFill="1" applyBorder="1" applyAlignment="1">
      <alignment vertical="center" wrapText="1"/>
    </xf>
    <xf numFmtId="0" fontId="19" fillId="7" borderId="20" xfId="0" applyFont="1" applyFill="1" applyBorder="1" applyAlignment="1">
      <alignment vertical="center" wrapText="1"/>
    </xf>
    <xf numFmtId="0" fontId="19" fillId="8" borderId="1" xfId="0" applyFont="1" applyFill="1" applyBorder="1" applyAlignment="1">
      <alignment vertical="center" wrapText="1"/>
    </xf>
    <xf numFmtId="0" fontId="19" fillId="8" borderId="20" xfId="0" applyFont="1" applyFill="1" applyBorder="1" applyAlignment="1">
      <alignment vertical="center" wrapText="1"/>
    </xf>
    <xf numFmtId="0" fontId="0" fillId="13" borderId="0" xfId="0" applyFont="1" applyFill="1" applyAlignment="1">
      <alignment vertical="center" wrapText="1"/>
    </xf>
    <xf numFmtId="0" fontId="19" fillId="7" borderId="17" xfId="0" applyFont="1" applyFill="1" applyBorder="1" applyAlignment="1">
      <alignment vertical="center" wrapText="1"/>
    </xf>
    <xf numFmtId="0" fontId="19" fillId="7" borderId="14" xfId="0" applyFont="1" applyFill="1" applyBorder="1" applyAlignment="1">
      <alignment vertical="center" wrapText="1"/>
    </xf>
    <xf numFmtId="0" fontId="18" fillId="9" borderId="1" xfId="0" applyFont="1" applyFill="1" applyBorder="1" applyAlignment="1">
      <alignment vertical="center" wrapText="1"/>
    </xf>
    <xf numFmtId="0" fontId="18" fillId="13" borderId="23" xfId="0" applyFont="1" applyFill="1" applyBorder="1" applyAlignment="1">
      <alignment vertical="center" wrapText="1"/>
    </xf>
    <xf numFmtId="0" fontId="19" fillId="13" borderId="40" xfId="0" applyFont="1" applyFill="1" applyBorder="1" applyAlignment="1">
      <alignment vertical="center" wrapText="1"/>
    </xf>
    <xf numFmtId="0" fontId="54" fillId="13" borderId="1" xfId="0" applyFont="1" applyFill="1" applyBorder="1" applyAlignment="1">
      <alignment vertical="center" wrapText="1"/>
    </xf>
    <xf numFmtId="0" fontId="0" fillId="13" borderId="0" xfId="0" applyFill="1" applyAlignment="1">
      <alignment vertical="center" wrapText="1"/>
    </xf>
    <xf numFmtId="0" fontId="0" fillId="0" borderId="0" xfId="0" applyAlignment="1">
      <alignment vertical="center" wrapText="1"/>
    </xf>
    <xf numFmtId="0" fontId="19" fillId="9" borderId="3" xfId="0" applyFont="1" applyFill="1" applyBorder="1" applyAlignment="1">
      <alignment horizontal="center" vertical="center" wrapText="1"/>
    </xf>
    <xf numFmtId="0" fontId="18" fillId="6" borderId="0" xfId="0" applyFont="1" applyFill="1" applyBorder="1" applyAlignment="1">
      <alignment horizontal="center" vertical="center" wrapText="1"/>
    </xf>
    <xf numFmtId="0" fontId="19" fillId="7" borderId="18" xfId="0" applyFont="1" applyFill="1" applyBorder="1" applyAlignment="1">
      <alignment horizontal="left" vertical="center"/>
    </xf>
    <xf numFmtId="0" fontId="19" fillId="7" borderId="2" xfId="0" applyFont="1" applyFill="1" applyBorder="1" applyAlignment="1">
      <alignment horizontal="left" vertical="center"/>
    </xf>
    <xf numFmtId="0" fontId="19" fillId="8" borderId="2" xfId="0" applyFont="1" applyFill="1" applyBorder="1" applyAlignment="1">
      <alignment horizontal="left" vertical="center"/>
    </xf>
    <xf numFmtId="4" fontId="0" fillId="13" borderId="0" xfId="0" applyNumberFormat="1" applyFill="1" applyProtection="1">
      <protection locked="0"/>
    </xf>
    <xf numFmtId="4" fontId="0" fillId="13" borderId="0" xfId="0" applyNumberFormat="1" applyFill="1" applyAlignment="1" applyProtection="1">
      <alignment vertical="top" wrapText="1"/>
      <protection locked="0"/>
    </xf>
    <xf numFmtId="4" fontId="0" fillId="13" borderId="0" xfId="0" applyNumberFormat="1" applyFill="1" applyAlignment="1" applyProtection="1">
      <alignment wrapText="1"/>
      <protection locked="0"/>
    </xf>
    <xf numFmtId="4" fontId="0" fillId="13" borderId="0" xfId="0" applyNumberFormat="1" applyFill="1" applyAlignment="1" applyProtection="1">
      <alignment horizontal="center"/>
      <protection locked="0"/>
    </xf>
    <xf numFmtId="4" fontId="25" fillId="13" borderId="0" xfId="0" applyNumberFormat="1" applyFont="1" applyFill="1" applyAlignment="1" applyProtection="1">
      <alignment vertical="top" wrapText="1"/>
      <protection locked="0"/>
    </xf>
    <xf numFmtId="4" fontId="25" fillId="13" borderId="0" xfId="0" applyNumberFormat="1" applyFont="1" applyFill="1" applyAlignment="1" applyProtection="1">
      <alignment wrapText="1"/>
      <protection locked="0"/>
    </xf>
    <xf numFmtId="4" fontId="25" fillId="13" borderId="0" xfId="0" applyNumberFormat="1" applyFont="1" applyFill="1" applyAlignment="1" applyProtection="1">
      <alignment horizontal="center"/>
      <protection locked="0"/>
    </xf>
    <xf numFmtId="4" fontId="18" fillId="13" borderId="0" xfId="0" applyNumberFormat="1" applyFont="1" applyFill="1" applyBorder="1" applyAlignment="1" applyProtection="1">
      <alignment horizontal="center" vertical="center"/>
      <protection locked="0"/>
    </xf>
    <xf numFmtId="4" fontId="0" fillId="13" borderId="0" xfId="0" applyNumberFormat="1" applyFill="1" applyAlignment="1" applyProtection="1">
      <protection locked="0"/>
    </xf>
    <xf numFmtId="4" fontId="0" fillId="13" borderId="0" xfId="0" applyNumberFormat="1" applyFill="1" applyAlignment="1" applyProtection="1">
      <alignment vertical="top"/>
      <protection locked="0"/>
    </xf>
    <xf numFmtId="4" fontId="0" fillId="13" borderId="74" xfId="0" applyNumberFormat="1" applyFill="1" applyBorder="1" applyAlignment="1" applyProtection="1">
      <protection locked="0"/>
    </xf>
    <xf numFmtId="4" fontId="0" fillId="24" borderId="49" xfId="0" applyNumberFormat="1" applyFill="1" applyBorder="1" applyAlignment="1" applyProtection="1">
      <protection locked="0"/>
    </xf>
    <xf numFmtId="4" fontId="0" fillId="24" borderId="56" xfId="0" applyNumberFormat="1" applyFill="1" applyBorder="1" applyAlignment="1" applyProtection="1">
      <protection locked="0"/>
    </xf>
    <xf numFmtId="4" fontId="0" fillId="24" borderId="38" xfId="0" applyNumberFormat="1" applyFill="1" applyBorder="1" applyAlignment="1" applyProtection="1">
      <protection locked="0"/>
    </xf>
    <xf numFmtId="4" fontId="0" fillId="24" borderId="63" xfId="0" applyNumberFormat="1" applyFill="1" applyBorder="1" applyAlignment="1" applyProtection="1">
      <protection locked="0"/>
    </xf>
    <xf numFmtId="4" fontId="62" fillId="13" borderId="0" xfId="0" applyNumberFormat="1" applyFont="1" applyFill="1" applyAlignment="1" applyProtection="1">
      <alignment horizontal="center" wrapText="1"/>
      <protection locked="0"/>
    </xf>
    <xf numFmtId="4" fontId="62" fillId="13" borderId="0" xfId="0" applyNumberFormat="1" applyFont="1" applyFill="1" applyAlignment="1" applyProtection="1">
      <alignment horizontal="center"/>
      <protection locked="0"/>
    </xf>
    <xf numFmtId="4" fontId="16" fillId="13" borderId="0" xfId="0" applyNumberFormat="1" applyFont="1" applyFill="1" applyProtection="1">
      <protection locked="0"/>
    </xf>
    <xf numFmtId="4" fontId="32" fillId="5" borderId="17" xfId="0" applyNumberFormat="1" applyFont="1" applyFill="1" applyBorder="1" applyAlignment="1" applyProtection="1">
      <alignment horizontal="center" vertical="center"/>
      <protection locked="0"/>
    </xf>
    <xf numFmtId="4" fontId="16" fillId="0" borderId="0" xfId="0" applyNumberFormat="1" applyFont="1" applyProtection="1">
      <protection locked="0"/>
    </xf>
    <xf numFmtId="4" fontId="32" fillId="5" borderId="10" xfId="0" applyNumberFormat="1" applyFont="1" applyFill="1" applyBorder="1" applyAlignment="1" applyProtection="1">
      <alignment horizontal="center" vertical="center"/>
      <protection locked="0"/>
    </xf>
    <xf numFmtId="4" fontId="32" fillId="5" borderId="10" xfId="0" applyNumberFormat="1" applyFont="1" applyFill="1" applyBorder="1" applyAlignment="1" applyProtection="1">
      <alignment horizontal="center" vertical="center" wrapText="1"/>
      <protection locked="0"/>
    </xf>
    <xf numFmtId="4" fontId="32" fillId="5" borderId="32" xfId="0" applyNumberFormat="1" applyFont="1" applyFill="1" applyBorder="1" applyAlignment="1" applyProtection="1">
      <alignment horizontal="center" vertical="center" wrapText="1"/>
      <protection locked="0"/>
    </xf>
    <xf numFmtId="4" fontId="32" fillId="5" borderId="40" xfId="0" applyNumberFormat="1" applyFont="1" applyFill="1" applyBorder="1" applyAlignment="1" applyProtection="1">
      <alignment horizontal="center" vertical="center" wrapText="1"/>
      <protection locked="0"/>
    </xf>
    <xf numFmtId="4" fontId="32" fillId="5" borderId="33" xfId="0" applyNumberFormat="1" applyFont="1" applyFill="1" applyBorder="1" applyAlignment="1" applyProtection="1">
      <alignment horizontal="center" vertical="center" wrapText="1"/>
      <protection locked="0"/>
    </xf>
    <xf numFmtId="4" fontId="32" fillId="5" borderId="33" xfId="0" applyNumberFormat="1" applyFont="1" applyFill="1" applyBorder="1" applyAlignment="1" applyProtection="1">
      <alignment horizontal="center" vertical="center"/>
      <protection locked="0"/>
    </xf>
    <xf numFmtId="4" fontId="0" fillId="0" borderId="0" xfId="0" applyNumberFormat="1" applyProtection="1">
      <protection locked="0"/>
    </xf>
    <xf numFmtId="4" fontId="55" fillId="18" borderId="12" xfId="0" applyNumberFormat="1" applyFont="1" applyFill="1" applyBorder="1" applyAlignment="1" applyProtection="1">
      <alignment horizontal="left" vertical="top" wrapText="1"/>
      <protection locked="0"/>
    </xf>
    <xf numFmtId="4" fontId="55" fillId="18" borderId="13" xfId="0" applyNumberFormat="1" applyFont="1" applyFill="1" applyBorder="1" applyAlignment="1" applyProtection="1">
      <alignment horizontal="left" vertical="center" wrapText="1"/>
      <protection locked="0"/>
    </xf>
    <xf numFmtId="4" fontId="55" fillId="18" borderId="29" xfId="0" applyNumberFormat="1" applyFont="1" applyFill="1" applyBorder="1" applyAlignment="1" applyProtection="1">
      <alignment horizontal="center" vertical="center"/>
      <protection locked="0"/>
    </xf>
    <xf numFmtId="4" fontId="55" fillId="18" borderId="13" xfId="0" applyNumberFormat="1" applyFont="1" applyFill="1" applyBorder="1" applyAlignment="1" applyProtection="1">
      <alignment horizontal="center" vertical="center"/>
      <protection locked="0"/>
    </xf>
    <xf numFmtId="4" fontId="19" fillId="18" borderId="14" xfId="0" applyNumberFormat="1" applyFont="1" applyFill="1" applyBorder="1" applyAlignment="1" applyProtection="1">
      <alignment horizontal="center" vertical="center"/>
      <protection locked="0"/>
    </xf>
    <xf numFmtId="4" fontId="55" fillId="18" borderId="30" xfId="0" applyNumberFormat="1" applyFont="1" applyFill="1" applyBorder="1" applyAlignment="1" applyProtection="1">
      <alignment horizontal="center" vertical="center"/>
      <protection locked="0"/>
    </xf>
    <xf numFmtId="4" fontId="58" fillId="18" borderId="2" xfId="0" applyNumberFormat="1" applyFont="1" applyFill="1" applyBorder="1" applyAlignment="1" applyProtection="1">
      <alignment horizontal="center" vertical="center"/>
      <protection locked="0"/>
    </xf>
    <xf numFmtId="4" fontId="58" fillId="18" borderId="27" xfId="0" applyNumberFormat="1" applyFont="1" applyFill="1" applyBorder="1" applyAlignment="1" applyProtection="1">
      <alignment horizontal="center" vertical="center"/>
      <protection locked="0"/>
    </xf>
    <xf numFmtId="4" fontId="58" fillId="18" borderId="5" xfId="0" applyNumberFormat="1" applyFont="1" applyFill="1" applyBorder="1" applyAlignment="1" applyProtection="1">
      <alignment horizontal="center" vertical="center"/>
      <protection locked="0"/>
    </xf>
    <xf numFmtId="4" fontId="55" fillId="18" borderId="14" xfId="0" applyNumberFormat="1" applyFont="1" applyFill="1" applyBorder="1" applyAlignment="1" applyProtection="1">
      <alignment horizontal="center" vertical="center"/>
      <protection locked="0"/>
    </xf>
    <xf numFmtId="4" fontId="55" fillId="18" borderId="31" xfId="0" applyNumberFormat="1" applyFont="1" applyFill="1" applyBorder="1" applyAlignment="1" applyProtection="1">
      <alignment horizontal="center" vertical="center"/>
      <protection locked="0"/>
    </xf>
    <xf numFmtId="4" fontId="55" fillId="18" borderId="30" xfId="0" applyNumberFormat="1" applyFont="1" applyFill="1" applyBorder="1" applyAlignment="1" applyProtection="1">
      <alignment horizontal="left" vertical="center" wrapText="1"/>
      <protection locked="0"/>
    </xf>
    <xf numFmtId="4" fontId="55" fillId="18" borderId="0" xfId="0" applyNumberFormat="1" applyFont="1" applyFill="1" applyBorder="1" applyAlignment="1" applyProtection="1">
      <alignment horizontal="center" vertical="center"/>
      <protection locked="0"/>
    </xf>
    <xf numFmtId="4" fontId="55" fillId="18" borderId="14" xfId="0" applyNumberFormat="1" applyFont="1" applyFill="1" applyBorder="1" applyAlignment="1" applyProtection="1">
      <alignment vertical="center"/>
      <protection locked="0"/>
    </xf>
    <xf numFmtId="4" fontId="19" fillId="13" borderId="22" xfId="0" applyNumberFormat="1" applyFont="1" applyFill="1" applyBorder="1" applyAlignment="1" applyProtection="1">
      <alignment horizontal="left" vertical="top" wrapText="1"/>
      <protection locked="0"/>
    </xf>
    <xf numFmtId="4" fontId="19" fillId="13" borderId="28" xfId="0" applyNumberFormat="1" applyFont="1" applyFill="1" applyBorder="1" applyAlignment="1" applyProtection="1">
      <alignment horizontal="left" vertical="center" wrapText="1"/>
      <protection locked="0"/>
    </xf>
    <xf numFmtId="4" fontId="19" fillId="13" borderId="27" xfId="0" applyNumberFormat="1" applyFont="1" applyFill="1" applyBorder="1" applyAlignment="1" applyProtection="1">
      <alignment horizontal="center" vertical="center"/>
      <protection locked="0"/>
    </xf>
    <xf numFmtId="4" fontId="19" fillId="13" borderId="23" xfId="0" applyNumberFormat="1" applyFont="1" applyFill="1" applyBorder="1" applyAlignment="1" applyProtection="1">
      <alignment horizontal="center" vertical="center"/>
      <protection locked="0"/>
    </xf>
    <xf numFmtId="4" fontId="19" fillId="13" borderId="2" xfId="0" applyNumberFormat="1" applyFont="1" applyFill="1" applyBorder="1" applyAlignment="1" applyProtection="1">
      <alignment horizontal="center" vertical="center"/>
      <protection locked="0"/>
    </xf>
    <xf numFmtId="4" fontId="19" fillId="13" borderId="3" xfId="0" applyNumberFormat="1" applyFont="1" applyFill="1" applyBorder="1" applyAlignment="1" applyProtection="1">
      <alignment horizontal="center" vertical="center"/>
      <protection locked="0"/>
    </xf>
    <xf numFmtId="4" fontId="19" fillId="13" borderId="20" xfId="0" applyNumberFormat="1" applyFont="1" applyFill="1" applyBorder="1" applyAlignment="1" applyProtection="1">
      <alignment horizontal="center" vertical="center"/>
      <protection locked="0"/>
    </xf>
    <xf numFmtId="4" fontId="20" fillId="18" borderId="27" xfId="0" applyNumberFormat="1" applyFont="1" applyFill="1" applyBorder="1" applyAlignment="1" applyProtection="1">
      <alignment horizontal="center" vertical="center"/>
      <protection locked="0"/>
    </xf>
    <xf numFmtId="4" fontId="19" fillId="13" borderId="29" xfId="0" applyNumberFormat="1" applyFont="1" applyFill="1" applyBorder="1" applyAlignment="1" applyProtection="1">
      <alignment horizontal="center" vertical="center"/>
      <protection locked="0"/>
    </xf>
    <xf numFmtId="4" fontId="20" fillId="18" borderId="2" xfId="0" applyNumberFormat="1" applyFont="1" applyFill="1" applyBorder="1" applyAlignment="1" applyProtection="1">
      <alignment horizontal="center" vertical="center"/>
      <protection locked="0"/>
    </xf>
    <xf numFmtId="4" fontId="20" fillId="13" borderId="2" xfId="0" applyNumberFormat="1" applyFont="1" applyFill="1" applyBorder="1" applyAlignment="1" applyProtection="1">
      <alignment horizontal="center" vertical="center"/>
      <protection locked="0"/>
    </xf>
    <xf numFmtId="4" fontId="20" fillId="18" borderId="25" xfId="0" applyNumberFormat="1" applyFont="1" applyFill="1" applyBorder="1" applyAlignment="1" applyProtection="1">
      <alignment horizontal="center" vertical="center"/>
      <protection locked="0"/>
    </xf>
    <xf numFmtId="4" fontId="20" fillId="18" borderId="3" xfId="0" applyNumberFormat="1" applyFont="1" applyFill="1" applyBorder="1" applyAlignment="1" applyProtection="1">
      <alignment horizontal="center" vertical="center"/>
      <protection locked="0"/>
    </xf>
    <xf numFmtId="4" fontId="20" fillId="13" borderId="25" xfId="0" applyNumberFormat="1" applyFont="1" applyFill="1" applyBorder="1" applyAlignment="1" applyProtection="1">
      <alignment horizontal="center" vertical="center"/>
      <protection locked="0"/>
    </xf>
    <xf numFmtId="4" fontId="20" fillId="13" borderId="3" xfId="0" applyNumberFormat="1" applyFont="1" applyFill="1" applyBorder="1" applyAlignment="1" applyProtection="1">
      <alignment horizontal="center" vertical="center"/>
      <protection locked="0"/>
    </xf>
    <xf numFmtId="4" fontId="19" fillId="13" borderId="13" xfId="0" applyNumberFormat="1" applyFont="1" applyFill="1" applyBorder="1" applyAlignment="1" applyProtection="1">
      <alignment horizontal="center" vertical="center"/>
      <protection locked="0"/>
    </xf>
    <xf numFmtId="4" fontId="20" fillId="13" borderId="20" xfId="0" applyNumberFormat="1" applyFont="1" applyFill="1" applyBorder="1" applyAlignment="1" applyProtection="1">
      <alignment horizontal="center" vertical="center"/>
      <protection locked="0"/>
    </xf>
    <xf numFmtId="4" fontId="19" fillId="13" borderId="30" xfId="0" applyNumberFormat="1" applyFont="1" applyFill="1" applyBorder="1" applyAlignment="1" applyProtection="1">
      <alignment horizontal="center" vertical="center"/>
      <protection locked="0"/>
    </xf>
    <xf numFmtId="4" fontId="19" fillId="13" borderId="2" xfId="0" applyNumberFormat="1" applyFont="1" applyFill="1" applyBorder="1" applyAlignment="1" applyProtection="1">
      <alignment horizontal="center" vertical="center" wrapText="1"/>
      <protection locked="0"/>
    </xf>
    <xf numFmtId="4" fontId="19" fillId="13" borderId="2" xfId="0" applyNumberFormat="1" applyFont="1" applyFill="1" applyBorder="1" applyAlignment="1" applyProtection="1">
      <alignment horizontal="left" vertical="center" wrapText="1"/>
      <protection locked="0"/>
    </xf>
    <xf numFmtId="4" fontId="20" fillId="13" borderId="8" xfId="0" applyNumberFormat="1" applyFont="1" applyFill="1" applyBorder="1" applyAlignment="1" applyProtection="1">
      <alignment horizontal="left" vertical="center"/>
      <protection locked="0"/>
    </xf>
    <xf numFmtId="4" fontId="19" fillId="13" borderId="7" xfId="0" applyNumberFormat="1" applyFont="1" applyFill="1" applyBorder="1" applyAlignment="1" applyProtection="1">
      <alignment horizontal="left" vertical="top" wrapText="1"/>
      <protection locked="0"/>
    </xf>
    <xf numFmtId="4" fontId="19" fillId="13" borderId="20" xfId="0" applyNumberFormat="1" applyFont="1" applyFill="1" applyBorder="1" applyAlignment="1" applyProtection="1">
      <alignment horizontal="left" vertical="center" wrapText="1"/>
      <protection locked="0"/>
    </xf>
    <xf numFmtId="4" fontId="22" fillId="13" borderId="0" xfId="0" applyNumberFormat="1" applyFont="1" applyFill="1" applyAlignment="1" applyProtection="1">
      <alignment vertical="top" wrapText="1"/>
      <protection locked="0"/>
    </xf>
    <xf numFmtId="4" fontId="22" fillId="13" borderId="0" xfId="0" applyNumberFormat="1" applyFont="1" applyFill="1" applyAlignment="1" applyProtection="1">
      <alignment wrapText="1"/>
      <protection locked="0"/>
    </xf>
    <xf numFmtId="4" fontId="22" fillId="13" borderId="0" xfId="0" applyNumberFormat="1" applyFont="1" applyFill="1" applyProtection="1">
      <protection locked="0"/>
    </xf>
    <xf numFmtId="4" fontId="22" fillId="13" borderId="0" xfId="0" applyNumberFormat="1" applyFont="1" applyFill="1" applyAlignment="1" applyProtection="1">
      <alignment horizontal="center"/>
      <protection locked="0"/>
    </xf>
    <xf numFmtId="4" fontId="0" fillId="13" borderId="0" xfId="0" applyNumberFormat="1" applyFill="1" applyBorder="1" applyProtection="1">
      <protection locked="0"/>
    </xf>
    <xf numFmtId="4" fontId="0" fillId="13" borderId="0" xfId="0" applyNumberFormat="1" applyFont="1" applyFill="1" applyBorder="1" applyProtection="1">
      <protection locked="0"/>
    </xf>
    <xf numFmtId="4" fontId="0" fillId="0" borderId="0" xfId="0" applyNumberFormat="1" applyAlignment="1" applyProtection="1">
      <alignment vertical="top" wrapText="1"/>
      <protection locked="0"/>
    </xf>
    <xf numFmtId="4" fontId="0" fillId="0" borderId="0" xfId="0" applyNumberFormat="1" applyAlignment="1" applyProtection="1">
      <alignment wrapText="1"/>
      <protection locked="0"/>
    </xf>
    <xf numFmtId="4" fontId="0" fillId="0" borderId="0" xfId="0" applyNumberFormat="1" applyAlignment="1" applyProtection="1">
      <alignment horizontal="center"/>
      <protection locked="0"/>
    </xf>
    <xf numFmtId="0" fontId="19" fillId="13" borderId="25" xfId="0" applyNumberFormat="1" applyFont="1" applyFill="1" applyBorder="1" applyAlignment="1" applyProtection="1">
      <alignment horizontal="center" vertical="center"/>
      <protection locked="0"/>
    </xf>
    <xf numFmtId="0" fontId="19" fillId="0" borderId="25" xfId="0" applyNumberFormat="1" applyFont="1" applyFill="1" applyBorder="1" applyAlignment="1" applyProtection="1">
      <alignment horizontal="center" vertical="center"/>
      <protection locked="0"/>
    </xf>
    <xf numFmtId="1" fontId="19" fillId="13" borderId="27" xfId="0" applyNumberFormat="1" applyFont="1" applyFill="1" applyBorder="1" applyAlignment="1" applyProtection="1">
      <alignment horizontal="center" vertical="center" wrapText="1"/>
      <protection locked="0"/>
    </xf>
    <xf numFmtId="1" fontId="19" fillId="13" borderId="2" xfId="0" applyNumberFormat="1" applyFont="1" applyFill="1" applyBorder="1" applyAlignment="1" applyProtection="1">
      <alignment horizontal="center" vertical="center" wrapText="1"/>
      <protection locked="0"/>
    </xf>
    <xf numFmtId="166" fontId="19" fillId="0" borderId="25" xfId="0" applyNumberFormat="1" applyFont="1" applyFill="1" applyBorder="1" applyAlignment="1" applyProtection="1">
      <alignment horizontal="center" vertical="center"/>
      <protection locked="0"/>
    </xf>
    <xf numFmtId="11" fontId="19" fillId="13" borderId="29" xfId="0" applyNumberFormat="1" applyFont="1" applyFill="1" applyBorder="1" applyAlignment="1" applyProtection="1">
      <alignment horizontal="center" vertical="center"/>
      <protection locked="0"/>
    </xf>
    <xf numFmtId="0" fontId="0" fillId="13" borderId="23" xfId="0" applyFont="1" applyFill="1" applyBorder="1" applyAlignment="1">
      <alignment horizontal="center" vertical="center"/>
    </xf>
    <xf numFmtId="0" fontId="0" fillId="13" borderId="78" xfId="0" applyFont="1" applyFill="1" applyBorder="1" applyAlignment="1">
      <alignment horizontal="center" vertical="center"/>
    </xf>
    <xf numFmtId="0" fontId="0" fillId="13" borderId="37" xfId="0" applyFont="1" applyFill="1" applyBorder="1" applyAlignment="1">
      <alignment horizontal="center" vertical="center"/>
    </xf>
    <xf numFmtId="0" fontId="0" fillId="13" borderId="23" xfId="0" applyFill="1" applyBorder="1" applyAlignment="1" applyProtection="1">
      <alignment horizontal="center" vertical="center"/>
      <protection locked="0"/>
    </xf>
    <xf numFmtId="0" fontId="0" fillId="13" borderId="78" xfId="0" applyFill="1" applyBorder="1" applyAlignment="1" applyProtection="1">
      <alignment horizontal="center" vertical="center"/>
      <protection locked="0"/>
    </xf>
    <xf numFmtId="0" fontId="0" fillId="13" borderId="39" xfId="0" applyFont="1" applyFill="1" applyBorder="1" applyAlignment="1">
      <alignment horizontal="left" vertical="center"/>
    </xf>
    <xf numFmtId="0" fontId="0" fillId="13" borderId="28" xfId="0" applyFont="1" applyFill="1" applyBorder="1" applyAlignment="1">
      <alignment horizontal="left" vertical="center"/>
    </xf>
    <xf numFmtId="0" fontId="0" fillId="13" borderId="61" xfId="0" applyFont="1" applyFill="1" applyBorder="1" applyAlignment="1">
      <alignment horizontal="left" vertical="center"/>
    </xf>
    <xf numFmtId="0" fontId="0" fillId="13" borderId="73" xfId="0" applyFont="1" applyFill="1" applyBorder="1" applyAlignment="1">
      <alignment horizontal="left" vertical="center"/>
    </xf>
    <xf numFmtId="0" fontId="0" fillId="13" borderId="39" xfId="0" applyFill="1" applyBorder="1" applyAlignment="1" applyProtection="1">
      <alignment horizontal="left" vertical="center"/>
      <protection locked="0"/>
    </xf>
    <xf numFmtId="0" fontId="0" fillId="13" borderId="28" xfId="0" applyFill="1" applyBorder="1" applyAlignment="1" applyProtection="1">
      <alignment horizontal="left" vertical="center"/>
      <protection locked="0"/>
    </xf>
    <xf numFmtId="0" fontId="0" fillId="13" borderId="61" xfId="0" applyFill="1" applyBorder="1" applyAlignment="1" applyProtection="1">
      <alignment horizontal="left" vertical="center"/>
      <protection locked="0"/>
    </xf>
    <xf numFmtId="0" fontId="0" fillId="13" borderId="73" xfId="0" applyFill="1" applyBorder="1" applyAlignment="1" applyProtection="1">
      <alignment horizontal="left" vertical="center"/>
      <protection locked="0"/>
    </xf>
    <xf numFmtId="0" fontId="0" fillId="13" borderId="29" xfId="0" applyFont="1" applyFill="1" applyBorder="1" applyAlignment="1">
      <alignment horizontal="center" vertical="center"/>
    </xf>
    <xf numFmtId="0" fontId="0" fillId="13" borderId="27" xfId="0" applyFill="1" applyBorder="1" applyAlignment="1" applyProtection="1">
      <alignment horizontal="left" vertical="center" wrapText="1"/>
      <protection locked="0"/>
    </xf>
    <xf numFmtId="0" fontId="0" fillId="13" borderId="25" xfId="0" applyFill="1" applyBorder="1" applyAlignment="1" applyProtection="1">
      <alignment horizontal="left" vertical="center" wrapText="1"/>
      <protection locked="0"/>
    </xf>
    <xf numFmtId="0" fontId="0" fillId="13" borderId="24" xfId="0" applyFill="1" applyBorder="1" applyAlignment="1" applyProtection="1">
      <alignment horizontal="left" vertical="center" wrapText="1"/>
      <protection locked="0"/>
    </xf>
    <xf numFmtId="0" fontId="0" fillId="13" borderId="13" xfId="0" applyFill="1" applyBorder="1" applyAlignment="1" applyProtection="1">
      <alignment horizontal="left" vertical="center" wrapText="1"/>
      <protection locked="0"/>
    </xf>
    <xf numFmtId="0" fontId="0" fillId="13" borderId="14" xfId="0" applyFill="1" applyBorder="1" applyAlignment="1" applyProtection="1">
      <alignment horizontal="left" vertical="center" wrapText="1"/>
      <protection locked="0"/>
    </xf>
    <xf numFmtId="0" fontId="0" fillId="13" borderId="15" xfId="0" applyFill="1" applyBorder="1" applyAlignment="1" applyProtection="1">
      <alignment horizontal="left" vertical="center" wrapText="1"/>
      <protection locked="0"/>
    </xf>
    <xf numFmtId="0" fontId="0" fillId="13" borderId="27" xfId="0" applyFont="1" applyFill="1" applyBorder="1" applyAlignment="1">
      <alignment horizontal="left" vertical="center" wrapText="1"/>
    </xf>
    <xf numFmtId="0" fontId="0" fillId="13" borderId="25" xfId="0" applyFont="1" applyFill="1" applyBorder="1" applyAlignment="1">
      <alignment horizontal="left" vertical="center" wrapText="1"/>
    </xf>
    <xf numFmtId="0" fontId="0" fillId="13" borderId="24" xfId="0" applyFont="1" applyFill="1" applyBorder="1" applyAlignment="1">
      <alignment horizontal="left" vertical="center" wrapText="1"/>
    </xf>
    <xf numFmtId="0" fontId="0" fillId="13" borderId="13" xfId="0" applyFont="1" applyFill="1" applyBorder="1" applyAlignment="1">
      <alignment horizontal="left" vertical="center" wrapText="1"/>
    </xf>
    <xf numFmtId="0" fontId="0" fillId="13" borderId="14" xfId="0" applyFont="1" applyFill="1" applyBorder="1" applyAlignment="1">
      <alignment horizontal="left" vertical="center" wrapText="1"/>
    </xf>
    <xf numFmtId="0" fontId="0" fillId="13" borderId="15" xfId="0" applyFont="1" applyFill="1" applyBorder="1" applyAlignment="1">
      <alignment horizontal="left" vertical="center" wrapText="1"/>
    </xf>
    <xf numFmtId="0" fontId="2" fillId="15" borderId="49" xfId="0" applyFont="1" applyFill="1" applyBorder="1" applyAlignment="1">
      <alignment horizontal="center" vertical="center"/>
    </xf>
    <xf numFmtId="0" fontId="2" fillId="15" borderId="56" xfId="0" applyFont="1" applyFill="1" applyBorder="1" applyAlignment="1">
      <alignment horizontal="center" vertical="center"/>
    </xf>
    <xf numFmtId="0" fontId="2" fillId="15" borderId="35" xfId="0" applyFont="1" applyFill="1" applyBorder="1" applyAlignment="1">
      <alignment horizontal="center" vertical="center"/>
    </xf>
    <xf numFmtId="0" fontId="2" fillId="15" borderId="38" xfId="0" applyFont="1" applyFill="1" applyBorder="1" applyAlignment="1">
      <alignment horizontal="center" vertical="center"/>
    </xf>
    <xf numFmtId="0" fontId="2" fillId="15" borderId="63" xfId="0" applyFont="1" applyFill="1" applyBorder="1" applyAlignment="1">
      <alignment horizontal="center" vertical="center"/>
    </xf>
    <xf numFmtId="0" fontId="2" fillId="15" borderId="50" xfId="0" applyFont="1" applyFill="1" applyBorder="1" applyAlignment="1">
      <alignment horizontal="center" vertical="center"/>
    </xf>
    <xf numFmtId="0" fontId="2" fillId="15" borderId="34" xfId="0" applyFont="1" applyFill="1" applyBorder="1" applyAlignment="1">
      <alignment horizontal="center" vertical="center"/>
    </xf>
    <xf numFmtId="0" fontId="2" fillId="15" borderId="59" xfId="0" applyFont="1" applyFill="1" applyBorder="1" applyAlignment="1">
      <alignment horizontal="center" vertical="center"/>
    </xf>
    <xf numFmtId="0" fontId="2" fillId="15" borderId="57" xfId="0" applyFont="1" applyFill="1" applyBorder="1" applyAlignment="1">
      <alignment horizontal="center" vertical="center"/>
    </xf>
    <xf numFmtId="0" fontId="2" fillId="15" borderId="60" xfId="0" applyFont="1" applyFill="1" applyBorder="1" applyAlignment="1">
      <alignment horizontal="center" vertical="center"/>
    </xf>
    <xf numFmtId="0" fontId="2" fillId="15" borderId="52" xfId="0" applyFont="1" applyFill="1" applyBorder="1" applyAlignment="1">
      <alignment horizontal="center" vertical="center" wrapText="1"/>
    </xf>
    <xf numFmtId="0" fontId="2" fillId="15" borderId="77" xfId="0" applyFont="1" applyFill="1" applyBorder="1" applyAlignment="1">
      <alignment horizontal="center" vertical="center" wrapText="1"/>
    </xf>
    <xf numFmtId="0" fontId="2" fillId="15" borderId="49" xfId="0" applyFont="1" applyFill="1" applyBorder="1" applyAlignment="1">
      <alignment horizontal="center" vertical="center" wrapText="1"/>
    </xf>
    <xf numFmtId="0" fontId="2" fillId="15" borderId="38" xfId="0" applyFont="1" applyFill="1" applyBorder="1" applyAlignment="1">
      <alignment horizontal="center" vertical="center" wrapText="1"/>
    </xf>
    <xf numFmtId="0" fontId="2" fillId="15" borderId="35" xfId="0" applyFont="1" applyFill="1" applyBorder="1" applyAlignment="1">
      <alignment horizontal="center" vertical="center" wrapText="1"/>
    </xf>
    <xf numFmtId="0" fontId="2" fillId="15" borderId="50" xfId="0" applyFont="1" applyFill="1" applyBorder="1" applyAlignment="1">
      <alignment horizontal="center" vertical="center" wrapText="1"/>
    </xf>
    <xf numFmtId="0" fontId="2" fillId="15" borderId="36" xfId="0" applyFont="1" applyFill="1" applyBorder="1" applyAlignment="1">
      <alignment horizontal="center" vertical="center" wrapText="1"/>
    </xf>
    <xf numFmtId="0" fontId="2" fillId="15" borderId="37" xfId="0" applyFont="1" applyFill="1" applyBorder="1" applyAlignment="1">
      <alignment horizontal="center" vertical="center" wrapText="1"/>
    </xf>
    <xf numFmtId="0" fontId="2" fillId="15" borderId="70" xfId="0" applyFont="1" applyFill="1" applyBorder="1" applyAlignment="1">
      <alignment horizontal="center" vertical="center" wrapText="1"/>
    </xf>
    <xf numFmtId="0" fontId="2" fillId="15" borderId="17" xfId="0" applyFont="1" applyFill="1" applyBorder="1" applyAlignment="1">
      <alignment horizontal="center" vertical="center" wrapText="1"/>
    </xf>
    <xf numFmtId="0" fontId="2" fillId="15" borderId="19" xfId="0" applyFont="1" applyFill="1" applyBorder="1" applyAlignment="1">
      <alignment horizontal="center" vertical="center" wrapText="1"/>
    </xf>
    <xf numFmtId="0" fontId="2" fillId="15" borderId="80" xfId="0" applyFont="1" applyFill="1" applyBorder="1" applyAlignment="1">
      <alignment horizontal="center" vertical="center" wrapText="1"/>
    </xf>
    <xf numFmtId="0" fontId="2" fillId="15" borderId="33" xfId="0" applyFont="1" applyFill="1" applyBorder="1" applyAlignment="1">
      <alignment horizontal="center" vertical="center" wrapText="1"/>
    </xf>
    <xf numFmtId="0" fontId="2" fillId="15" borderId="32" xfId="0" applyFont="1" applyFill="1" applyBorder="1" applyAlignment="1">
      <alignment horizontal="center" vertical="center" wrapText="1"/>
    </xf>
    <xf numFmtId="0" fontId="0" fillId="13" borderId="7" xfId="0" applyFont="1" applyFill="1" applyBorder="1" applyAlignment="1">
      <alignment horizontal="left" wrapText="1"/>
    </xf>
    <xf numFmtId="0" fontId="0" fillId="13" borderId="1" xfId="0" applyFont="1" applyFill="1" applyBorder="1" applyAlignment="1">
      <alignment horizontal="left" wrapText="1"/>
    </xf>
    <xf numFmtId="0" fontId="0" fillId="13" borderId="10" xfId="0" applyFont="1" applyFill="1" applyBorder="1" applyAlignment="1">
      <alignment horizontal="left"/>
    </xf>
    <xf numFmtId="0" fontId="0" fillId="13" borderId="45" xfId="0" applyFont="1" applyFill="1" applyBorder="1" applyAlignment="1">
      <alignment horizontal="left" wrapText="1"/>
    </xf>
    <xf numFmtId="0" fontId="0" fillId="13" borderId="20" xfId="0" applyFont="1" applyFill="1" applyBorder="1" applyAlignment="1">
      <alignment horizontal="left" wrapText="1"/>
    </xf>
    <xf numFmtId="0" fontId="0" fillId="13" borderId="57" xfId="0" applyFill="1" applyBorder="1" applyAlignment="1" applyProtection="1">
      <alignment horizontal="left" vertical="center" wrapText="1"/>
      <protection locked="0"/>
    </xf>
    <xf numFmtId="0" fontId="0" fillId="13" borderId="63" xfId="0" applyFill="1" applyBorder="1" applyAlignment="1" applyProtection="1">
      <alignment horizontal="left" vertical="center" wrapText="1"/>
      <protection locked="0"/>
    </xf>
    <xf numFmtId="0" fontId="0" fillId="13" borderId="60" xfId="0" applyFill="1" applyBorder="1" applyAlignment="1" applyProtection="1">
      <alignment horizontal="left" vertical="center" wrapText="1"/>
      <protection locked="0"/>
    </xf>
    <xf numFmtId="0" fontId="2" fillId="15" borderId="18" xfId="0" applyFont="1" applyFill="1" applyBorder="1" applyAlignment="1">
      <alignment horizontal="center" vertical="center" wrapText="1"/>
    </xf>
    <xf numFmtId="0" fontId="2" fillId="15" borderId="71" xfId="0" applyFont="1" applyFill="1" applyBorder="1" applyAlignment="1">
      <alignment horizontal="center" vertical="center" wrapText="1"/>
    </xf>
    <xf numFmtId="0" fontId="0" fillId="13" borderId="9" xfId="0" applyFont="1" applyFill="1" applyBorder="1" applyAlignment="1">
      <alignment horizontal="left" wrapText="1"/>
    </xf>
    <xf numFmtId="0" fontId="0" fillId="13" borderId="10" xfId="0" applyFont="1" applyFill="1" applyBorder="1" applyAlignment="1">
      <alignment horizontal="left" wrapText="1"/>
    </xf>
    <xf numFmtId="0" fontId="0" fillId="13" borderId="1" xfId="0" applyFont="1" applyFill="1" applyBorder="1" applyAlignment="1">
      <alignment horizontal="left"/>
    </xf>
    <xf numFmtId="0" fontId="2" fillId="15" borderId="48" xfId="0" applyFont="1" applyFill="1" applyBorder="1" applyAlignment="1">
      <alignment vertical="center" wrapText="1"/>
    </xf>
    <xf numFmtId="0" fontId="2" fillId="15" borderId="36" xfId="0" applyFont="1" applyFill="1" applyBorder="1" applyAlignment="1">
      <alignment vertical="center" wrapText="1"/>
    </xf>
    <xf numFmtId="0" fontId="2" fillId="15" borderId="34" xfId="0" applyFont="1" applyFill="1" applyBorder="1" applyAlignment="1">
      <alignment vertical="center" wrapText="1"/>
    </xf>
    <xf numFmtId="0" fontId="5" fillId="13" borderId="7" xfId="0" applyFont="1" applyFill="1" applyBorder="1" applyAlignment="1">
      <alignment vertical="center" wrapText="1"/>
    </xf>
    <xf numFmtId="0" fontId="5" fillId="13" borderId="1" xfId="0" applyFont="1" applyFill="1" applyBorder="1" applyAlignment="1">
      <alignment vertical="center" wrapText="1"/>
    </xf>
    <xf numFmtId="0" fontId="5" fillId="13" borderId="2" xfId="0" applyFont="1" applyFill="1" applyBorder="1" applyAlignment="1">
      <alignment vertical="center" wrapText="1"/>
    </xf>
    <xf numFmtId="0" fontId="5" fillId="13" borderId="45" xfId="0" applyFont="1" applyFill="1" applyBorder="1" applyAlignment="1">
      <alignment vertical="center" wrapText="1"/>
    </xf>
    <xf numFmtId="0" fontId="5" fillId="13" borderId="3" xfId="0" applyFont="1" applyFill="1" applyBorder="1" applyAlignment="1">
      <alignment vertical="center" wrapText="1"/>
    </xf>
    <xf numFmtId="0" fontId="0" fillId="13" borderId="22" xfId="0" applyFont="1" applyFill="1" applyBorder="1" applyAlignment="1">
      <alignment vertical="center" wrapText="1"/>
    </xf>
    <xf numFmtId="0" fontId="0" fillId="13" borderId="23" xfId="0" applyFont="1" applyFill="1" applyBorder="1" applyAlignment="1">
      <alignment vertical="center" wrapText="1"/>
    </xf>
    <xf numFmtId="0" fontId="0" fillId="13" borderId="27" xfId="0" applyFont="1" applyFill="1" applyBorder="1" applyAlignment="1">
      <alignment vertical="center" wrapText="1"/>
    </xf>
    <xf numFmtId="0" fontId="4" fillId="13" borderId="7" xfId="0" applyFont="1" applyFill="1" applyBorder="1" applyAlignment="1">
      <alignment vertical="center" wrapText="1"/>
    </xf>
    <xf numFmtId="0" fontId="4" fillId="13" borderId="1" xfId="0" applyFont="1" applyFill="1" applyBorder="1" applyAlignment="1">
      <alignment vertical="center" wrapText="1"/>
    </xf>
    <xf numFmtId="0" fontId="4" fillId="13" borderId="2" xfId="0" applyFont="1" applyFill="1" applyBorder="1" applyAlignment="1">
      <alignment vertical="center" wrapText="1"/>
    </xf>
    <xf numFmtId="0" fontId="5" fillId="13" borderId="79" xfId="0" applyFont="1" applyFill="1" applyBorder="1" applyAlignment="1">
      <alignment vertical="center" wrapText="1"/>
    </xf>
    <xf numFmtId="0" fontId="5" fillId="13" borderId="78" xfId="0" applyFont="1" applyFill="1" applyBorder="1" applyAlignment="1">
      <alignment vertical="center" wrapText="1"/>
    </xf>
    <xf numFmtId="0" fontId="5" fillId="13" borderId="58" xfId="0" applyFont="1" applyFill="1" applyBorder="1" applyAlignment="1">
      <alignment vertical="center" wrapText="1"/>
    </xf>
    <xf numFmtId="0" fontId="32" fillId="5" borderId="6" xfId="0" applyFont="1" applyFill="1" applyBorder="1" applyAlignment="1">
      <alignment horizontal="center" vertical="center" wrapText="1"/>
    </xf>
    <xf numFmtId="0" fontId="32" fillId="5" borderId="11" xfId="0" applyFont="1" applyFill="1" applyBorder="1" applyAlignment="1">
      <alignment horizontal="center" vertical="center" wrapText="1"/>
    </xf>
    <xf numFmtId="0" fontId="18" fillId="18" borderId="70" xfId="0" applyFont="1" applyFill="1" applyBorder="1" applyAlignment="1">
      <alignment horizontal="center" vertical="center"/>
    </xf>
    <xf numFmtId="0" fontId="18" fillId="18" borderId="17" xfId="0" applyFont="1" applyFill="1" applyBorder="1" applyAlignment="1">
      <alignment horizontal="center" vertical="center"/>
    </xf>
    <xf numFmtId="0" fontId="18" fillId="18" borderId="71" xfId="0" applyFont="1" applyFill="1" applyBorder="1" applyAlignment="1">
      <alignment horizontal="center" vertical="center"/>
    </xf>
    <xf numFmtId="0" fontId="32" fillId="5" borderId="49" xfId="0" applyFont="1" applyFill="1" applyBorder="1" applyAlignment="1">
      <alignment horizontal="center" vertical="center"/>
    </xf>
    <xf numFmtId="0" fontId="32" fillId="5" borderId="38" xfId="0" applyFont="1" applyFill="1" applyBorder="1" applyAlignment="1">
      <alignment horizontal="center" vertical="center"/>
    </xf>
    <xf numFmtId="0" fontId="32" fillId="5" borderId="36" xfId="0" applyFont="1" applyFill="1" applyBorder="1" applyAlignment="1">
      <alignment horizontal="center" vertical="center"/>
    </xf>
    <xf numFmtId="0" fontId="32" fillId="5" borderId="37" xfId="0" applyFont="1" applyFill="1" applyBorder="1" applyAlignment="1">
      <alignment horizontal="center" vertical="center"/>
    </xf>
    <xf numFmtId="0" fontId="32" fillId="5" borderId="34" xfId="0" applyFont="1" applyFill="1" applyBorder="1" applyAlignment="1">
      <alignment horizontal="center" vertical="center"/>
    </xf>
    <xf numFmtId="0" fontId="32" fillId="5" borderId="59" xfId="0" applyFont="1" applyFill="1" applyBorder="1" applyAlignment="1">
      <alignment horizontal="center" vertical="center"/>
    </xf>
    <xf numFmtId="0" fontId="32" fillId="5" borderId="57" xfId="0" applyFont="1" applyFill="1" applyBorder="1" applyAlignment="1">
      <alignment horizontal="center" vertical="center"/>
    </xf>
    <xf numFmtId="0" fontId="32" fillId="5" borderId="60" xfId="0" applyFont="1" applyFill="1" applyBorder="1" applyAlignment="1">
      <alignment horizontal="center" vertical="center"/>
    </xf>
    <xf numFmtId="0" fontId="32" fillId="5" borderId="52" xfId="0" applyFont="1" applyFill="1" applyBorder="1" applyAlignment="1">
      <alignment horizontal="center" vertical="center"/>
    </xf>
    <xf numFmtId="0" fontId="32" fillId="5" borderId="77" xfId="0" applyFont="1" applyFill="1" applyBorder="1" applyAlignment="1">
      <alignment horizontal="center" vertical="center"/>
    </xf>
    <xf numFmtId="0" fontId="32" fillId="5" borderId="49" xfId="0" applyFont="1" applyFill="1" applyBorder="1" applyAlignment="1">
      <alignment horizontal="center" vertical="center" wrapText="1"/>
    </xf>
    <xf numFmtId="0" fontId="32" fillId="5" borderId="36" xfId="0" applyFont="1" applyFill="1" applyBorder="1" applyAlignment="1">
      <alignment horizontal="center" vertical="center" wrapText="1"/>
    </xf>
    <xf numFmtId="0" fontId="32" fillId="5" borderId="37" xfId="0" applyFont="1" applyFill="1" applyBorder="1" applyAlignment="1">
      <alignment horizontal="center" vertical="center" wrapText="1"/>
    </xf>
    <xf numFmtId="0" fontId="0" fillId="13" borderId="2" xfId="0" applyFill="1" applyBorder="1" applyAlignment="1">
      <alignment horizontal="left" vertical="center"/>
    </xf>
    <xf numFmtId="0" fontId="0" fillId="13" borderId="16" xfId="0" applyFill="1" applyBorder="1" applyAlignment="1">
      <alignment horizontal="left" vertical="center"/>
    </xf>
    <xf numFmtId="0" fontId="19" fillId="13" borderId="2" xfId="0" applyFont="1" applyFill="1" applyBorder="1" applyAlignment="1">
      <alignment horizontal="left" vertical="center"/>
    </xf>
    <xf numFmtId="0" fontId="19" fillId="13" borderId="16" xfId="0" applyFont="1" applyFill="1" applyBorder="1" applyAlignment="1">
      <alignment horizontal="left" vertical="center"/>
    </xf>
    <xf numFmtId="0" fontId="0" fillId="13" borderId="2" xfId="0" applyFill="1" applyBorder="1" applyAlignment="1">
      <alignment horizontal="left" vertical="center" wrapText="1"/>
    </xf>
    <xf numFmtId="0" fontId="0" fillId="13" borderId="16" xfId="0" applyFill="1" applyBorder="1" applyAlignment="1">
      <alignment horizontal="left" vertical="center" wrapText="1"/>
    </xf>
    <xf numFmtId="0" fontId="0" fillId="13" borderId="32" xfId="0" applyFill="1" applyBorder="1" applyAlignment="1">
      <alignment horizontal="left" vertical="center" wrapText="1"/>
    </xf>
    <xf numFmtId="0" fontId="0" fillId="13" borderId="21" xfId="0" applyFill="1" applyBorder="1" applyAlignment="1">
      <alignment horizontal="left" vertical="center" wrapText="1"/>
    </xf>
    <xf numFmtId="0" fontId="32" fillId="5" borderId="52" xfId="0" applyFont="1" applyFill="1" applyBorder="1" applyAlignment="1">
      <alignment horizontal="center" vertical="center" wrapText="1"/>
    </xf>
    <xf numFmtId="0" fontId="32" fillId="5" borderId="77" xfId="0" applyFont="1" applyFill="1" applyBorder="1" applyAlignment="1">
      <alignment horizontal="center" vertical="center" wrapText="1"/>
    </xf>
    <xf numFmtId="0" fontId="34" fillId="5" borderId="49" xfId="0" applyFont="1" applyFill="1" applyBorder="1" applyAlignment="1">
      <alignment horizontal="center" vertical="center" wrapText="1"/>
    </xf>
    <xf numFmtId="0" fontId="34" fillId="5" borderId="38" xfId="0" applyFont="1" applyFill="1" applyBorder="1" applyAlignment="1">
      <alignment horizontal="center" vertical="center"/>
    </xf>
    <xf numFmtId="0" fontId="32" fillId="5" borderId="38" xfId="0" applyFont="1" applyFill="1" applyBorder="1" applyAlignment="1">
      <alignment horizontal="center" vertical="center" wrapText="1"/>
    </xf>
    <xf numFmtId="4" fontId="0" fillId="13" borderId="0" xfId="0" applyNumberFormat="1" applyFont="1" applyFill="1" applyBorder="1" applyAlignment="1" applyProtection="1">
      <alignment horizontal="left" wrapText="1"/>
      <protection locked="0"/>
    </xf>
    <xf numFmtId="4" fontId="18" fillId="24" borderId="59" xfId="0" applyNumberFormat="1" applyFont="1" applyFill="1" applyBorder="1" applyAlignment="1" applyProtection="1">
      <alignment horizontal="center" vertical="center"/>
      <protection locked="0"/>
    </xf>
    <xf numFmtId="4" fontId="18" fillId="24" borderId="60" xfId="0" applyNumberFormat="1" applyFont="1" applyFill="1" applyBorder="1" applyAlignment="1" applyProtection="1">
      <alignment horizontal="center" vertical="center"/>
      <protection locked="0"/>
    </xf>
    <xf numFmtId="4" fontId="32" fillId="5" borderId="49" xfId="0" applyNumberFormat="1" applyFont="1" applyFill="1" applyBorder="1" applyAlignment="1" applyProtection="1">
      <alignment horizontal="center" vertical="top" wrapText="1"/>
      <protection locked="0"/>
    </xf>
    <xf numFmtId="4" fontId="32" fillId="5" borderId="38" xfId="0" applyNumberFormat="1" applyFont="1" applyFill="1" applyBorder="1" applyAlignment="1" applyProtection="1">
      <alignment horizontal="center" vertical="top" wrapText="1"/>
      <protection locked="0"/>
    </xf>
    <xf numFmtId="4" fontId="32" fillId="5" borderId="36" xfId="0" applyNumberFormat="1" applyFont="1" applyFill="1" applyBorder="1" applyAlignment="1" applyProtection="1">
      <alignment horizontal="center" vertical="center" wrapText="1"/>
      <protection locked="0"/>
    </xf>
    <xf numFmtId="4" fontId="32" fillId="5" borderId="37" xfId="0" applyNumberFormat="1" applyFont="1" applyFill="1" applyBorder="1" applyAlignment="1" applyProtection="1">
      <alignment horizontal="center" vertical="center" wrapText="1"/>
      <protection locked="0"/>
    </xf>
    <xf numFmtId="4" fontId="32" fillId="5" borderId="36" xfId="0" applyNumberFormat="1" applyFont="1" applyFill="1" applyBorder="1" applyAlignment="1" applyProtection="1">
      <alignment horizontal="center" vertical="center"/>
      <protection locked="0"/>
    </xf>
    <xf numFmtId="4" fontId="32" fillId="5" borderId="37" xfId="0" applyNumberFormat="1" applyFont="1" applyFill="1" applyBorder="1" applyAlignment="1" applyProtection="1">
      <alignment horizontal="center" vertical="center"/>
      <protection locked="0"/>
    </xf>
    <xf numFmtId="4" fontId="32" fillId="5" borderId="52" xfId="0" applyNumberFormat="1" applyFont="1" applyFill="1" applyBorder="1" applyAlignment="1" applyProtection="1">
      <alignment horizontal="center" vertical="center"/>
      <protection locked="0"/>
    </xf>
    <xf numFmtId="4" fontId="32" fillId="5" borderId="77" xfId="0" applyNumberFormat="1" applyFont="1" applyFill="1" applyBorder="1" applyAlignment="1" applyProtection="1">
      <alignment horizontal="center" vertical="center"/>
      <protection locked="0"/>
    </xf>
    <xf numFmtId="4" fontId="32" fillId="5" borderId="34" xfId="0" applyNumberFormat="1" applyFont="1" applyFill="1" applyBorder="1" applyAlignment="1" applyProtection="1">
      <alignment horizontal="center" vertical="center"/>
      <protection locked="0"/>
    </xf>
    <xf numFmtId="4" fontId="32" fillId="5" borderId="57" xfId="0" applyNumberFormat="1" applyFont="1" applyFill="1" applyBorder="1" applyAlignment="1" applyProtection="1">
      <alignment horizontal="center" vertical="center"/>
      <protection locked="0"/>
    </xf>
    <xf numFmtId="4" fontId="32" fillId="5" borderId="18" xfId="0" applyNumberFormat="1" applyFont="1" applyFill="1" applyBorder="1" applyAlignment="1" applyProtection="1">
      <alignment horizontal="center" vertical="center"/>
      <protection locked="0"/>
    </xf>
    <xf numFmtId="4" fontId="32" fillId="5" borderId="17" xfId="0" applyNumberFormat="1" applyFont="1" applyFill="1" applyBorder="1" applyAlignment="1" applyProtection="1">
      <alignment horizontal="center" vertical="center"/>
      <protection locked="0"/>
    </xf>
    <xf numFmtId="4" fontId="32" fillId="5" borderId="19" xfId="0" applyNumberFormat="1" applyFont="1" applyFill="1" applyBorder="1" applyAlignment="1" applyProtection="1">
      <alignment horizontal="center" vertical="center"/>
      <protection locked="0"/>
    </xf>
    <xf numFmtId="4" fontId="32" fillId="5" borderId="56" xfId="0" applyNumberFormat="1" applyFont="1" applyFill="1" applyBorder="1" applyAlignment="1" applyProtection="1">
      <alignment horizontal="center" vertical="center"/>
      <protection locked="0"/>
    </xf>
    <xf numFmtId="4" fontId="32" fillId="5" borderId="35" xfId="0" applyNumberFormat="1" applyFont="1" applyFill="1" applyBorder="1" applyAlignment="1" applyProtection="1">
      <alignment horizontal="center" vertical="center"/>
      <protection locked="0"/>
    </xf>
    <xf numFmtId="4" fontId="32" fillId="5" borderId="63" xfId="0" applyNumberFormat="1" applyFont="1" applyFill="1" applyBorder="1" applyAlignment="1" applyProtection="1">
      <alignment horizontal="center" vertical="center"/>
      <protection locked="0"/>
    </xf>
    <xf numFmtId="4" fontId="32" fillId="5" borderId="50" xfId="0" applyNumberFormat="1" applyFont="1" applyFill="1" applyBorder="1" applyAlignment="1" applyProtection="1">
      <alignment horizontal="center" vertical="center"/>
      <protection locked="0"/>
    </xf>
    <xf numFmtId="0" fontId="32" fillId="5" borderId="36" xfId="0" applyFont="1" applyFill="1" applyBorder="1" applyAlignment="1" applyProtection="1">
      <alignment horizontal="center" vertical="center" wrapText="1"/>
      <protection locked="0"/>
    </xf>
    <xf numFmtId="0" fontId="32" fillId="5" borderId="37" xfId="0" applyFont="1" applyFill="1" applyBorder="1" applyAlignment="1" applyProtection="1">
      <alignment horizontal="center" vertical="center" wrapText="1"/>
      <protection locked="0"/>
    </xf>
    <xf numFmtId="0" fontId="32" fillId="5" borderId="34" xfId="0" applyFont="1" applyFill="1" applyBorder="1" applyAlignment="1" applyProtection="1">
      <alignment horizontal="center" vertical="center"/>
      <protection locked="0"/>
    </xf>
    <xf numFmtId="0" fontId="32" fillId="5" borderId="57" xfId="0" applyFont="1" applyFill="1" applyBorder="1" applyAlignment="1" applyProtection="1">
      <alignment horizontal="center" vertical="center"/>
      <protection locked="0"/>
    </xf>
    <xf numFmtId="0" fontId="32" fillId="5" borderId="52" xfId="0" applyFont="1" applyFill="1" applyBorder="1" applyAlignment="1" applyProtection="1">
      <alignment horizontal="center" vertical="center" wrapText="1"/>
      <protection locked="0"/>
    </xf>
    <xf numFmtId="0" fontId="32" fillId="5" borderId="77" xfId="0" applyFont="1" applyFill="1" applyBorder="1" applyAlignment="1" applyProtection="1">
      <alignment horizontal="center" vertical="center" wrapText="1"/>
      <protection locked="0"/>
    </xf>
    <xf numFmtId="0" fontId="32" fillId="5" borderId="49" xfId="0" applyFont="1" applyFill="1" applyBorder="1" applyAlignment="1" applyProtection="1">
      <alignment horizontal="center" vertical="center" wrapText="1"/>
      <protection locked="0"/>
    </xf>
    <xf numFmtId="0" fontId="32" fillId="5" borderId="38" xfId="0" applyFont="1" applyFill="1" applyBorder="1" applyAlignment="1" applyProtection="1">
      <alignment horizontal="center" vertical="center" wrapText="1"/>
      <protection locked="0"/>
    </xf>
    <xf numFmtId="0" fontId="32" fillId="5" borderId="36" xfId="0" applyFont="1" applyFill="1" applyBorder="1" applyAlignment="1" applyProtection="1">
      <alignment horizontal="center" vertical="center"/>
      <protection locked="0"/>
    </xf>
    <xf numFmtId="0" fontId="32" fillId="5" borderId="37" xfId="0" applyFont="1" applyFill="1" applyBorder="1" applyAlignment="1" applyProtection="1">
      <alignment horizontal="center" vertical="center"/>
      <protection locked="0"/>
    </xf>
    <xf numFmtId="0" fontId="32" fillId="5" borderId="56" xfId="0" applyFont="1" applyFill="1" applyBorder="1" applyAlignment="1" applyProtection="1">
      <alignment horizontal="center" vertical="center"/>
      <protection locked="0"/>
    </xf>
    <xf numFmtId="0" fontId="32" fillId="5" borderId="35" xfId="0" applyFont="1" applyFill="1" applyBorder="1" applyAlignment="1" applyProtection="1">
      <alignment horizontal="center" vertical="center"/>
      <protection locked="0"/>
    </xf>
    <xf numFmtId="0" fontId="32" fillId="5" borderId="63" xfId="0" applyFont="1" applyFill="1" applyBorder="1" applyAlignment="1" applyProtection="1">
      <alignment horizontal="center" vertical="center"/>
      <protection locked="0"/>
    </xf>
    <xf numFmtId="0" fontId="32" fillId="5" borderId="50" xfId="0" applyFont="1" applyFill="1" applyBorder="1" applyAlignment="1" applyProtection="1">
      <alignment horizontal="center" vertical="center"/>
      <protection locked="0"/>
    </xf>
    <xf numFmtId="0" fontId="60" fillId="24" borderId="17" xfId="0" applyFont="1" applyFill="1" applyBorder="1" applyAlignment="1">
      <alignment horizontal="center" vertical="center" wrapText="1"/>
    </xf>
    <xf numFmtId="0" fontId="60" fillId="24" borderId="19" xfId="0" applyFont="1" applyFill="1" applyBorder="1" applyAlignment="1">
      <alignment horizontal="center" vertical="center" wrapText="1"/>
    </xf>
    <xf numFmtId="164" fontId="60" fillId="24" borderId="5" xfId="0" applyNumberFormat="1" applyFont="1" applyFill="1" applyBorder="1" applyAlignment="1">
      <alignment horizontal="center" vertical="center"/>
    </xf>
    <xf numFmtId="0" fontId="18" fillId="24" borderId="49" xfId="0" applyFont="1" applyFill="1" applyBorder="1" applyAlignment="1">
      <alignment horizontal="center" vertical="center" wrapText="1"/>
    </xf>
    <xf numFmtId="0" fontId="18" fillId="24" borderId="38" xfId="0" applyFont="1" applyFill="1" applyBorder="1" applyAlignment="1">
      <alignment horizontal="center" vertical="center" wrapText="1"/>
    </xf>
    <xf numFmtId="0" fontId="50" fillId="24" borderId="49" xfId="0" applyFont="1" applyFill="1" applyBorder="1" applyAlignment="1">
      <alignment horizontal="center" vertical="center"/>
    </xf>
    <xf numFmtId="0" fontId="50" fillId="24" borderId="38" xfId="0" applyFont="1" applyFill="1" applyBorder="1" applyAlignment="1">
      <alignment horizontal="center" vertical="center"/>
    </xf>
    <xf numFmtId="0" fontId="32" fillId="5" borderId="34" xfId="0" applyFont="1" applyFill="1" applyBorder="1" applyAlignment="1">
      <alignment horizontal="center" vertical="center" wrapText="1"/>
    </xf>
    <xf numFmtId="0" fontId="32" fillId="5" borderId="57" xfId="0" applyFont="1" applyFill="1" applyBorder="1" applyAlignment="1">
      <alignment horizontal="center" vertical="center" wrapText="1"/>
    </xf>
    <xf numFmtId="0" fontId="18" fillId="24" borderId="49" xfId="0" applyFont="1" applyFill="1" applyBorder="1" applyAlignment="1">
      <alignment horizontal="center" vertical="center"/>
    </xf>
    <xf numFmtId="0" fontId="18" fillId="24" borderId="56" xfId="0" applyFont="1" applyFill="1" applyBorder="1" applyAlignment="1">
      <alignment horizontal="center" vertical="center"/>
    </xf>
    <xf numFmtId="0" fontId="18" fillId="24" borderId="38" xfId="0" applyFont="1" applyFill="1" applyBorder="1" applyAlignment="1">
      <alignment horizontal="center" vertical="center"/>
    </xf>
    <xf numFmtId="0" fontId="18" fillId="24" borderId="63" xfId="0" applyFont="1" applyFill="1" applyBorder="1" applyAlignment="1">
      <alignment horizontal="center" vertical="center"/>
    </xf>
    <xf numFmtId="0" fontId="18" fillId="13" borderId="0" xfId="0" applyFont="1" applyFill="1" applyBorder="1" applyAlignment="1">
      <alignment horizontal="center" vertical="center"/>
    </xf>
    <xf numFmtId="0" fontId="32" fillId="5" borderId="59" xfId="0" applyFont="1" applyFill="1" applyBorder="1" applyAlignment="1">
      <alignment horizontal="center" vertical="center" wrapText="1"/>
    </xf>
    <xf numFmtId="0" fontId="32" fillId="5" borderId="60" xfId="0" applyFont="1" applyFill="1" applyBorder="1" applyAlignment="1">
      <alignment horizontal="center" vertical="center" wrapText="1"/>
    </xf>
    <xf numFmtId="0" fontId="32" fillId="5" borderId="18" xfId="0" applyFont="1" applyFill="1" applyBorder="1" applyAlignment="1">
      <alignment horizontal="center" vertical="center" wrapText="1"/>
    </xf>
    <xf numFmtId="0" fontId="32" fillId="5" borderId="32" xfId="0" applyFont="1" applyFill="1" applyBorder="1" applyAlignment="1">
      <alignment horizontal="center" vertical="center" wrapText="1"/>
    </xf>
    <xf numFmtId="0" fontId="60" fillId="24" borderId="18" xfId="0" applyFont="1" applyFill="1" applyBorder="1" applyAlignment="1">
      <alignment horizontal="center" vertical="center"/>
    </xf>
    <xf numFmtId="0" fontId="60" fillId="24" borderId="17" xfId="0" applyFont="1" applyFill="1" applyBorder="1" applyAlignment="1">
      <alignment horizontal="center" vertical="center"/>
    </xf>
    <xf numFmtId="0" fontId="60" fillId="24" borderId="19" xfId="0" applyFont="1" applyFill="1" applyBorder="1" applyAlignment="1">
      <alignment horizontal="center" vertical="center"/>
    </xf>
    <xf numFmtId="0" fontId="32" fillId="5" borderId="5" xfId="0" applyFont="1" applyFill="1" applyBorder="1" applyAlignment="1">
      <alignment horizontal="center" vertical="center"/>
    </xf>
    <xf numFmtId="0" fontId="32" fillId="5" borderId="5" xfId="0" applyFont="1" applyFill="1" applyBorder="1" applyAlignment="1">
      <alignment horizontal="center" vertical="center" wrapText="1"/>
    </xf>
    <xf numFmtId="0" fontId="32" fillId="5" borderId="10" xfId="0" applyFont="1" applyFill="1" applyBorder="1" applyAlignment="1">
      <alignment horizontal="center" vertical="center"/>
    </xf>
    <xf numFmtId="0" fontId="18" fillId="13" borderId="0" xfId="0" applyFont="1" applyFill="1" applyBorder="1" applyAlignment="1">
      <alignment horizontal="center" vertical="center" wrapText="1"/>
    </xf>
    <xf numFmtId="0" fontId="18" fillId="24" borderId="59" xfId="0" applyFont="1" applyFill="1" applyBorder="1" applyAlignment="1">
      <alignment horizontal="center" vertical="center" wrapText="1"/>
    </xf>
    <xf numFmtId="0" fontId="18" fillId="24" borderId="60" xfId="0" applyFont="1" applyFill="1" applyBorder="1" applyAlignment="1">
      <alignment horizontal="center" vertical="center" wrapText="1"/>
    </xf>
    <xf numFmtId="0" fontId="32" fillId="5" borderId="4" xfId="0" applyFont="1" applyFill="1" applyBorder="1" applyAlignment="1">
      <alignment horizontal="center" vertical="center"/>
    </xf>
    <xf numFmtId="0" fontId="32" fillId="5" borderId="9" xfId="0" applyFont="1" applyFill="1" applyBorder="1" applyAlignment="1">
      <alignment horizontal="center" vertical="center"/>
    </xf>
    <xf numFmtId="0" fontId="32" fillId="5" borderId="18" xfId="0" applyFont="1" applyFill="1" applyBorder="1" applyAlignment="1">
      <alignment horizontal="center" vertical="center"/>
    </xf>
    <xf numFmtId="0" fontId="32" fillId="5" borderId="19" xfId="0" applyFont="1" applyFill="1" applyBorder="1" applyAlignment="1">
      <alignment horizontal="center" vertical="center"/>
    </xf>
    <xf numFmtId="1" fontId="32" fillId="5" borderId="5" xfId="0" applyNumberFormat="1" applyFont="1" applyFill="1" applyBorder="1" applyAlignment="1">
      <alignment horizontal="center" vertical="center"/>
    </xf>
    <xf numFmtId="0" fontId="32" fillId="5" borderId="35" xfId="0" applyFont="1" applyFill="1" applyBorder="1" applyAlignment="1">
      <alignment horizontal="center" vertical="center"/>
    </xf>
    <xf numFmtId="0" fontId="32" fillId="5" borderId="75" xfId="0" applyFont="1" applyFill="1" applyBorder="1" applyAlignment="1">
      <alignment horizontal="center" vertical="center" wrapText="1"/>
    </xf>
    <xf numFmtId="0" fontId="32" fillId="5" borderId="76" xfId="0" applyFont="1" applyFill="1" applyBorder="1" applyAlignment="1">
      <alignment horizontal="center" vertical="center" wrapText="1"/>
    </xf>
    <xf numFmtId="0" fontId="32" fillId="5" borderId="56" xfId="0" applyFont="1" applyFill="1" applyBorder="1" applyAlignment="1">
      <alignment horizontal="center" vertical="center"/>
    </xf>
    <xf numFmtId="1" fontId="32" fillId="5" borderId="18" xfId="0" applyNumberFormat="1" applyFont="1" applyFill="1" applyBorder="1" applyAlignment="1">
      <alignment horizontal="center" vertical="center"/>
    </xf>
    <xf numFmtId="1" fontId="32" fillId="5" borderId="17" xfId="0" applyNumberFormat="1" applyFont="1" applyFill="1" applyBorder="1" applyAlignment="1">
      <alignment horizontal="center" vertical="center"/>
    </xf>
    <xf numFmtId="1" fontId="32" fillId="5" borderId="19" xfId="0" applyNumberFormat="1" applyFont="1" applyFill="1" applyBorder="1" applyAlignment="1">
      <alignment horizontal="center" vertical="center"/>
    </xf>
    <xf numFmtId="0" fontId="32" fillId="5" borderId="18" xfId="0" applyFont="1" applyFill="1" applyBorder="1" applyAlignment="1">
      <alignment vertical="center" wrapText="1"/>
    </xf>
    <xf numFmtId="0" fontId="32" fillId="5" borderId="32" xfId="0" applyFont="1" applyFill="1" applyBorder="1" applyAlignment="1">
      <alignment vertical="center" wrapText="1"/>
    </xf>
    <xf numFmtId="0" fontId="19" fillId="13" borderId="20" xfId="0" applyFont="1" applyFill="1" applyBorder="1" applyAlignment="1">
      <alignment horizontal="left" vertical="center"/>
    </xf>
    <xf numFmtId="0" fontId="19" fillId="13" borderId="32" xfId="0" applyFont="1" applyFill="1" applyBorder="1" applyAlignment="1">
      <alignment horizontal="left" vertical="center"/>
    </xf>
    <xf numFmtId="0" fontId="19" fillId="13" borderId="33" xfId="0" applyFont="1" applyFill="1" applyBorder="1" applyAlignment="1">
      <alignment horizontal="left" vertical="center"/>
    </xf>
    <xf numFmtId="0" fontId="32" fillId="5" borderId="32" xfId="0" applyFont="1" applyFill="1" applyBorder="1" applyAlignment="1">
      <alignment horizontal="center" vertical="center"/>
    </xf>
    <xf numFmtId="0" fontId="32" fillId="5" borderId="33" xfId="0" applyFont="1" applyFill="1" applyBorder="1" applyAlignment="1">
      <alignment horizontal="center" vertical="center"/>
    </xf>
    <xf numFmtId="0" fontId="54" fillId="13" borderId="2" xfId="0" applyFont="1" applyFill="1" applyBorder="1" applyAlignment="1">
      <alignment horizontal="left" vertical="center"/>
    </xf>
    <xf numFmtId="0" fontId="54" fillId="13" borderId="20" xfId="0" applyFont="1" applyFill="1" applyBorder="1" applyAlignment="1">
      <alignment horizontal="left" vertical="center"/>
    </xf>
    <xf numFmtId="164" fontId="60" fillId="24" borderId="18" xfId="0" applyNumberFormat="1" applyFont="1" applyFill="1" applyBorder="1" applyAlignment="1">
      <alignment horizontal="center" vertical="center"/>
    </xf>
    <xf numFmtId="164" fontId="60" fillId="24" borderId="17" xfId="0" applyNumberFormat="1" applyFont="1" applyFill="1" applyBorder="1" applyAlignment="1">
      <alignment horizontal="center" vertical="center"/>
    </xf>
    <xf numFmtId="164" fontId="60" fillId="24" borderId="19" xfId="0" applyNumberFormat="1" applyFont="1" applyFill="1" applyBorder="1" applyAlignment="1">
      <alignment horizontal="center" vertical="center"/>
    </xf>
    <xf numFmtId="0" fontId="60" fillId="24" borderId="34" xfId="0" applyFont="1" applyFill="1" applyBorder="1" applyAlignment="1">
      <alignment horizontal="center" vertical="center" wrapText="1"/>
    </xf>
    <xf numFmtId="0" fontId="60" fillId="24" borderId="56" xfId="0" applyFont="1" applyFill="1" applyBorder="1" applyAlignment="1">
      <alignment horizontal="center" vertical="center" wrapText="1"/>
    </xf>
    <xf numFmtId="0" fontId="60" fillId="24" borderId="35" xfId="0" applyFont="1" applyFill="1" applyBorder="1" applyAlignment="1">
      <alignment horizontal="center" vertical="center" wrapText="1"/>
    </xf>
    <xf numFmtId="0" fontId="60" fillId="24" borderId="18" xfId="0" applyFont="1" applyFill="1" applyBorder="1" applyAlignment="1">
      <alignment horizontal="center" vertical="center" wrapText="1"/>
    </xf>
    <xf numFmtId="0" fontId="18" fillId="24" borderId="59" xfId="0" applyFont="1" applyFill="1" applyBorder="1" applyAlignment="1">
      <alignment horizontal="center" vertical="center"/>
    </xf>
    <xf numFmtId="0" fontId="18" fillId="24" borderId="60" xfId="0" applyFont="1" applyFill="1" applyBorder="1" applyAlignment="1">
      <alignment horizontal="center" vertical="center"/>
    </xf>
    <xf numFmtId="0" fontId="16" fillId="24" borderId="56" xfId="0" applyFont="1" applyFill="1" applyBorder="1" applyAlignment="1">
      <alignment horizontal="center" vertical="center" wrapText="1"/>
    </xf>
    <xf numFmtId="0" fontId="16" fillId="24" borderId="63" xfId="0" applyFont="1" applyFill="1" applyBorder="1" applyAlignment="1">
      <alignment horizontal="center" vertical="center"/>
    </xf>
    <xf numFmtId="0" fontId="32" fillId="5" borderId="81" xfId="0" applyFont="1" applyFill="1" applyBorder="1" applyAlignment="1">
      <alignment horizontal="center" vertical="center" wrapText="1"/>
    </xf>
    <xf numFmtId="0" fontId="32" fillId="5" borderId="83" xfId="0" applyFont="1" applyFill="1" applyBorder="1" applyAlignment="1">
      <alignment horizontal="center" vertical="center" wrapText="1"/>
    </xf>
    <xf numFmtId="0" fontId="32" fillId="5" borderId="4" xfId="0" applyFont="1" applyFill="1" applyBorder="1" applyAlignment="1" applyProtection="1">
      <alignment horizontal="center" vertical="center"/>
    </xf>
    <xf numFmtId="0" fontId="32" fillId="5" borderId="9" xfId="0" applyFont="1" applyFill="1" applyBorder="1" applyAlignment="1" applyProtection="1">
      <alignment horizontal="center" vertical="center"/>
    </xf>
    <xf numFmtId="0" fontId="32" fillId="5" borderId="5" xfId="0" applyFont="1" applyFill="1" applyBorder="1" applyAlignment="1" applyProtection="1">
      <alignment horizontal="center" vertical="center"/>
    </xf>
    <xf numFmtId="0" fontId="32" fillId="5" borderId="10" xfId="0" applyFont="1" applyFill="1" applyBorder="1" applyAlignment="1" applyProtection="1">
      <alignment horizontal="center" vertical="center"/>
    </xf>
    <xf numFmtId="0" fontId="32" fillId="5" borderId="18" xfId="0" applyFont="1" applyFill="1" applyBorder="1" applyAlignment="1" applyProtection="1">
      <alignment horizontal="center" vertical="center"/>
    </xf>
    <xf numFmtId="0" fontId="32" fillId="5" borderId="17" xfId="0" applyFont="1" applyFill="1" applyBorder="1" applyAlignment="1" applyProtection="1">
      <alignment horizontal="center" vertical="center"/>
    </xf>
    <xf numFmtId="0" fontId="32" fillId="5" borderId="71" xfId="0" applyFont="1" applyFill="1" applyBorder="1" applyAlignment="1" applyProtection="1">
      <alignment horizontal="center" vertical="center"/>
    </xf>
    <xf numFmtId="0" fontId="32" fillId="5" borderId="5" xfId="0" applyFont="1" applyFill="1" applyBorder="1" applyAlignment="1" applyProtection="1">
      <alignment horizontal="center" vertical="center" wrapText="1"/>
    </xf>
    <xf numFmtId="0" fontId="42" fillId="21" borderId="0" xfId="0" applyFont="1" applyFill="1" applyAlignment="1" applyProtection="1">
      <alignment horizontal="left"/>
    </xf>
    <xf numFmtId="0" fontId="38" fillId="13" borderId="0" xfId="0" applyFont="1" applyFill="1" applyAlignment="1" applyProtection="1">
      <alignment horizontal="left"/>
    </xf>
    <xf numFmtId="0" fontId="42" fillId="21" borderId="0" xfId="0" applyFont="1" applyFill="1" applyAlignment="1" applyProtection="1">
      <alignment horizontal="center"/>
    </xf>
    <xf numFmtId="0" fontId="31" fillId="13" borderId="0" xfId="0" applyFont="1" applyFill="1" applyAlignment="1" applyProtection="1">
      <alignment horizontal="center"/>
    </xf>
    <xf numFmtId="0" fontId="38" fillId="21" borderId="0" xfId="0" applyFont="1" applyFill="1" applyAlignment="1" applyProtection="1">
      <alignment horizontal="center"/>
    </xf>
    <xf numFmtId="0" fontId="18" fillId="6" borderId="2" xfId="0" applyFont="1" applyFill="1" applyBorder="1" applyAlignment="1" applyProtection="1">
      <alignment horizontal="left" vertical="center"/>
    </xf>
    <xf numFmtId="0" fontId="18" fillId="6" borderId="3" xfId="0" applyFont="1" applyFill="1" applyBorder="1" applyAlignment="1" applyProtection="1">
      <alignment horizontal="left" vertical="center"/>
    </xf>
    <xf numFmtId="0" fontId="31" fillId="0" borderId="22" xfId="0" applyFont="1" applyBorder="1" applyAlignment="1" applyProtection="1">
      <alignment horizontal="left" vertical="center" wrapText="1"/>
    </xf>
    <xf numFmtId="0" fontId="31" fillId="0" borderId="23" xfId="0" applyFont="1" applyBorder="1" applyAlignment="1" applyProtection="1">
      <alignment horizontal="left" vertical="center" wrapText="1"/>
    </xf>
    <xf numFmtId="0" fontId="31" fillId="18" borderId="53" xfId="0" applyFont="1" applyFill="1" applyBorder="1" applyAlignment="1" applyProtection="1">
      <alignment horizontal="left" vertical="center" wrapText="1"/>
    </xf>
    <xf numFmtId="0" fontId="31" fillId="18" borderId="54" xfId="0" applyFont="1" applyFill="1" applyBorder="1" applyAlignment="1" applyProtection="1">
      <alignment horizontal="left" vertical="center" wrapText="1"/>
    </xf>
    <xf numFmtId="0" fontId="31" fillId="18" borderId="55" xfId="0" applyFont="1" applyFill="1" applyBorder="1" applyAlignment="1" applyProtection="1">
      <alignment horizontal="left" vertical="center" wrapText="1"/>
    </xf>
    <xf numFmtId="0" fontId="32" fillId="5" borderId="34" xfId="0" applyFont="1" applyFill="1" applyBorder="1" applyAlignment="1" applyProtection="1">
      <alignment horizontal="center" vertical="center"/>
    </xf>
    <xf numFmtId="0" fontId="32" fillId="5" borderId="56" xfId="0" applyFont="1" applyFill="1" applyBorder="1" applyAlignment="1" applyProtection="1">
      <alignment horizontal="center" vertical="center"/>
    </xf>
    <xf numFmtId="0" fontId="32" fillId="5" borderId="35" xfId="0" applyFont="1" applyFill="1" applyBorder="1" applyAlignment="1" applyProtection="1">
      <alignment horizontal="center" vertical="center"/>
    </xf>
    <xf numFmtId="0" fontId="32" fillId="5" borderId="57" xfId="0" applyFont="1" applyFill="1" applyBorder="1" applyAlignment="1" applyProtection="1">
      <alignment horizontal="center" vertical="center"/>
    </xf>
    <xf numFmtId="0" fontId="32" fillId="5" borderId="63" xfId="0" applyFont="1" applyFill="1" applyBorder="1" applyAlignment="1" applyProtection="1">
      <alignment horizontal="center" vertical="center"/>
    </xf>
    <xf numFmtId="0" fontId="32" fillId="5" borderId="50" xfId="0" applyFont="1" applyFill="1" applyBorder="1" applyAlignment="1" applyProtection="1">
      <alignment horizontal="center" vertical="center"/>
    </xf>
    <xf numFmtId="0" fontId="19" fillId="18" borderId="2" xfId="0" applyFont="1" applyFill="1" applyBorder="1" applyAlignment="1" applyProtection="1">
      <alignment horizontal="left" vertical="center"/>
    </xf>
    <xf numFmtId="0" fontId="19" fillId="18" borderId="3" xfId="0" applyFont="1" applyFill="1" applyBorder="1" applyAlignment="1" applyProtection="1">
      <alignment horizontal="left" vertical="center"/>
    </xf>
    <xf numFmtId="0" fontId="19" fillId="18" borderId="20" xfId="0" applyFont="1" applyFill="1" applyBorder="1" applyAlignment="1" applyProtection="1">
      <alignment horizontal="left" vertical="center"/>
    </xf>
    <xf numFmtId="0" fontId="18" fillId="6" borderId="18" xfId="0" applyFont="1" applyFill="1" applyBorder="1" applyAlignment="1" applyProtection="1">
      <alignment horizontal="left" vertical="center"/>
    </xf>
    <xf numFmtId="0" fontId="18" fillId="6" borderId="17" xfId="0" applyFont="1" applyFill="1" applyBorder="1" applyAlignment="1" applyProtection="1">
      <alignment horizontal="left" vertical="center"/>
    </xf>
    <xf numFmtId="0" fontId="32" fillId="15" borderId="49" xfId="0" applyFont="1" applyFill="1" applyBorder="1" applyAlignment="1" applyProtection="1">
      <alignment horizontal="center" vertical="center"/>
    </xf>
    <xf numFmtId="0" fontId="32" fillId="15" borderId="56" xfId="0" applyFont="1" applyFill="1" applyBorder="1" applyAlignment="1" applyProtection="1">
      <alignment horizontal="center" vertical="center"/>
    </xf>
    <xf numFmtId="0" fontId="32" fillId="15" borderId="59" xfId="0" applyFont="1" applyFill="1" applyBorder="1" applyAlignment="1" applyProtection="1">
      <alignment horizontal="center" vertical="center"/>
    </xf>
    <xf numFmtId="0" fontId="32" fillId="15" borderId="38" xfId="0" applyFont="1" applyFill="1" applyBorder="1" applyAlignment="1" applyProtection="1">
      <alignment horizontal="center" vertical="center"/>
    </xf>
    <xf numFmtId="0" fontId="32" fillId="15" borderId="63" xfId="0" applyFont="1" applyFill="1" applyBorder="1" applyAlignment="1" applyProtection="1">
      <alignment horizontal="center" vertical="center"/>
    </xf>
    <xf numFmtId="0" fontId="32" fillId="15" borderId="60" xfId="0" applyFont="1" applyFill="1" applyBorder="1" applyAlignment="1" applyProtection="1">
      <alignment horizontal="center" vertical="center"/>
    </xf>
    <xf numFmtId="0" fontId="34" fillId="15" borderId="70" xfId="0" applyFont="1" applyFill="1" applyBorder="1" applyAlignment="1" applyProtection="1">
      <alignment horizontal="center" vertical="center" wrapText="1"/>
    </xf>
    <xf numFmtId="0" fontId="34" fillId="15" borderId="17" xfId="0" applyFont="1" applyFill="1" applyBorder="1" applyAlignment="1" applyProtection="1">
      <alignment horizontal="center" vertical="center" wrapText="1"/>
    </xf>
    <xf numFmtId="0" fontId="34" fillId="15" borderId="71" xfId="0" applyFont="1" applyFill="1" applyBorder="1" applyAlignment="1" applyProtection="1">
      <alignment horizontal="center" vertical="center" wrapText="1"/>
    </xf>
    <xf numFmtId="0" fontId="31" fillId="0" borderId="12" xfId="0" applyFont="1" applyBorder="1" applyAlignment="1" applyProtection="1">
      <alignment horizontal="left" vertical="center" wrapText="1"/>
    </xf>
    <xf numFmtId="0" fontId="31" fillId="0" borderId="29" xfId="0" applyFont="1" applyBorder="1" applyAlignment="1" applyProtection="1">
      <alignment horizontal="left" vertical="center" wrapText="1"/>
    </xf>
    <xf numFmtId="0" fontId="31" fillId="0" borderId="7" xfId="0" applyFont="1" applyBorder="1" applyAlignment="1" applyProtection="1">
      <alignment horizontal="left" vertical="center" wrapText="1"/>
    </xf>
    <xf numFmtId="0" fontId="31" fillId="0" borderId="1" xfId="0" applyFont="1" applyBorder="1" applyAlignment="1" applyProtection="1">
      <alignment horizontal="left" vertical="center" wrapText="1"/>
    </xf>
    <xf numFmtId="0" fontId="21" fillId="15" borderId="64" xfId="0" applyFont="1" applyFill="1" applyBorder="1" applyAlignment="1" applyProtection="1">
      <alignment horizontal="center" vertical="center"/>
      <protection locked="0"/>
    </xf>
    <xf numFmtId="0" fontId="21" fillId="15" borderId="65" xfId="0" applyFont="1" applyFill="1" applyBorder="1" applyAlignment="1" applyProtection="1">
      <alignment horizontal="center" vertical="center"/>
      <protection locked="0"/>
    </xf>
    <xf numFmtId="0" fontId="21" fillId="15" borderId="66" xfId="0" applyFont="1" applyFill="1" applyBorder="1" applyAlignment="1" applyProtection="1">
      <alignment horizontal="center" vertical="center"/>
      <protection locked="0"/>
    </xf>
  </cellXfs>
  <cellStyles count="3005">
    <cellStyle name="Comma" xfId="3002" builtinId="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4" builtinId="9" hidden="1"/>
    <cellStyle name="Followed Hyperlink" xfId="1845" builtinId="9" hidden="1"/>
    <cellStyle name="Followed Hyperlink" xfId="1846" builtinId="9" hidden="1"/>
    <cellStyle name="Followed Hyperlink" xfId="1847" builtinId="9" hidden="1"/>
    <cellStyle name="Followed Hyperlink" xfId="1848" builtinId="9" hidden="1"/>
    <cellStyle name="Followed Hyperlink" xfId="1849" builtinId="9" hidden="1"/>
    <cellStyle name="Followed Hyperlink" xfId="1850" builtinId="9" hidden="1"/>
    <cellStyle name="Followed Hyperlink" xfId="1851" builtinId="9" hidden="1"/>
    <cellStyle name="Followed Hyperlink" xfId="1852" builtinId="9" hidden="1"/>
    <cellStyle name="Followed Hyperlink" xfId="1853" builtinId="9" hidden="1"/>
    <cellStyle name="Followed Hyperlink" xfId="1854" builtinId="9" hidden="1"/>
    <cellStyle name="Followed Hyperlink" xfId="1855" builtinId="9" hidden="1"/>
    <cellStyle name="Followed Hyperlink" xfId="1856" builtinId="9" hidden="1"/>
    <cellStyle name="Followed Hyperlink" xfId="1857" builtinId="9" hidden="1"/>
    <cellStyle name="Followed Hyperlink" xfId="1858" builtinId="9" hidden="1"/>
    <cellStyle name="Followed Hyperlink" xfId="1859" builtinId="9" hidden="1"/>
    <cellStyle name="Followed Hyperlink" xfId="1860" builtinId="9" hidden="1"/>
    <cellStyle name="Followed Hyperlink" xfId="1861" builtinId="9" hidden="1"/>
    <cellStyle name="Followed Hyperlink" xfId="1862" builtinId="9" hidden="1"/>
    <cellStyle name="Followed Hyperlink" xfId="1863" builtinId="9" hidden="1"/>
    <cellStyle name="Followed Hyperlink" xfId="1864" builtinId="9" hidden="1"/>
    <cellStyle name="Followed Hyperlink" xfId="1865" builtinId="9" hidden="1"/>
    <cellStyle name="Followed Hyperlink" xfId="1866" builtinId="9" hidden="1"/>
    <cellStyle name="Followed Hyperlink" xfId="1867" builtinId="9" hidden="1"/>
    <cellStyle name="Followed Hyperlink" xfId="1868" builtinId="9" hidden="1"/>
    <cellStyle name="Followed Hyperlink" xfId="1869" builtinId="9" hidden="1"/>
    <cellStyle name="Followed Hyperlink" xfId="1870" builtinId="9" hidden="1"/>
    <cellStyle name="Followed Hyperlink" xfId="1871" builtinId="9" hidden="1"/>
    <cellStyle name="Followed Hyperlink" xfId="1872" builtinId="9" hidden="1"/>
    <cellStyle name="Followed Hyperlink" xfId="1873" builtinId="9" hidden="1"/>
    <cellStyle name="Followed Hyperlink" xfId="1874" builtinId="9" hidden="1"/>
    <cellStyle name="Followed Hyperlink" xfId="1875" builtinId="9" hidden="1"/>
    <cellStyle name="Followed Hyperlink" xfId="1876" builtinId="9" hidden="1"/>
    <cellStyle name="Followed Hyperlink" xfId="1877" builtinId="9" hidden="1"/>
    <cellStyle name="Followed Hyperlink" xfId="1878" builtinId="9" hidden="1"/>
    <cellStyle name="Followed Hyperlink" xfId="1879" builtinId="9" hidden="1"/>
    <cellStyle name="Followed Hyperlink" xfId="1880" builtinId="9" hidden="1"/>
    <cellStyle name="Followed Hyperlink" xfId="1881" builtinId="9" hidden="1"/>
    <cellStyle name="Followed Hyperlink" xfId="1882" builtinId="9" hidden="1"/>
    <cellStyle name="Followed Hyperlink" xfId="1883" builtinId="9" hidden="1"/>
    <cellStyle name="Followed Hyperlink" xfId="1884" builtinId="9" hidden="1"/>
    <cellStyle name="Followed Hyperlink" xfId="1885" builtinId="9" hidden="1"/>
    <cellStyle name="Followed Hyperlink" xfId="1886" builtinId="9" hidden="1"/>
    <cellStyle name="Followed Hyperlink" xfId="1887" builtinId="9" hidden="1"/>
    <cellStyle name="Followed Hyperlink" xfId="1888" builtinId="9" hidden="1"/>
    <cellStyle name="Followed Hyperlink" xfId="1889" builtinId="9" hidden="1"/>
    <cellStyle name="Followed Hyperlink" xfId="1890" builtinId="9" hidden="1"/>
    <cellStyle name="Followed Hyperlink" xfId="1891" builtinId="9" hidden="1"/>
    <cellStyle name="Followed Hyperlink" xfId="1892" builtinId="9" hidden="1"/>
    <cellStyle name="Followed Hyperlink" xfId="1893" builtinId="9" hidden="1"/>
    <cellStyle name="Followed Hyperlink" xfId="1894" builtinId="9" hidden="1"/>
    <cellStyle name="Followed Hyperlink" xfId="1895" builtinId="9" hidden="1"/>
    <cellStyle name="Followed Hyperlink" xfId="1896" builtinId="9" hidden="1"/>
    <cellStyle name="Followed Hyperlink" xfId="1897" builtinId="9" hidden="1"/>
    <cellStyle name="Followed Hyperlink" xfId="1898" builtinId="9" hidden="1"/>
    <cellStyle name="Followed Hyperlink" xfId="1899" builtinId="9" hidden="1"/>
    <cellStyle name="Followed Hyperlink" xfId="1900" builtinId="9" hidden="1"/>
    <cellStyle name="Followed Hyperlink" xfId="1901" builtinId="9" hidden="1"/>
    <cellStyle name="Followed Hyperlink" xfId="1902" builtinId="9" hidden="1"/>
    <cellStyle name="Followed Hyperlink" xfId="1903" builtinId="9" hidden="1"/>
    <cellStyle name="Followed Hyperlink" xfId="1904" builtinId="9" hidden="1"/>
    <cellStyle name="Followed Hyperlink" xfId="1905" builtinId="9" hidden="1"/>
    <cellStyle name="Followed Hyperlink" xfId="1906" builtinId="9" hidden="1"/>
    <cellStyle name="Followed Hyperlink" xfId="1907" builtinId="9" hidden="1"/>
    <cellStyle name="Followed Hyperlink" xfId="1908" builtinId="9" hidden="1"/>
    <cellStyle name="Followed Hyperlink" xfId="1909" builtinId="9" hidden="1"/>
    <cellStyle name="Followed Hyperlink" xfId="1910" builtinId="9" hidden="1"/>
    <cellStyle name="Followed Hyperlink" xfId="1911" builtinId="9" hidden="1"/>
    <cellStyle name="Followed Hyperlink" xfId="1912" builtinId="9" hidden="1"/>
    <cellStyle name="Followed Hyperlink" xfId="1913" builtinId="9" hidden="1"/>
    <cellStyle name="Followed Hyperlink" xfId="1914" builtinId="9" hidden="1"/>
    <cellStyle name="Followed Hyperlink" xfId="1915" builtinId="9" hidden="1"/>
    <cellStyle name="Followed Hyperlink" xfId="1916" builtinId="9" hidden="1"/>
    <cellStyle name="Followed Hyperlink" xfId="1917" builtinId="9" hidden="1"/>
    <cellStyle name="Followed Hyperlink" xfId="1918" builtinId="9" hidden="1"/>
    <cellStyle name="Followed Hyperlink" xfId="1919" builtinId="9" hidden="1"/>
    <cellStyle name="Followed Hyperlink" xfId="1920" builtinId="9" hidden="1"/>
    <cellStyle name="Followed Hyperlink" xfId="1921" builtinId="9" hidden="1"/>
    <cellStyle name="Followed Hyperlink" xfId="1922" builtinId="9" hidden="1"/>
    <cellStyle name="Followed Hyperlink" xfId="1923" builtinId="9" hidden="1"/>
    <cellStyle name="Followed Hyperlink" xfId="1924" builtinId="9" hidden="1"/>
    <cellStyle name="Followed Hyperlink" xfId="1925" builtinId="9" hidden="1"/>
    <cellStyle name="Followed Hyperlink" xfId="1926" builtinId="9" hidden="1"/>
    <cellStyle name="Followed Hyperlink" xfId="1927" builtinId="9" hidden="1"/>
    <cellStyle name="Followed Hyperlink" xfId="1928" builtinId="9" hidden="1"/>
    <cellStyle name="Followed Hyperlink" xfId="1929" builtinId="9" hidden="1"/>
    <cellStyle name="Followed Hyperlink" xfId="1930" builtinId="9" hidden="1"/>
    <cellStyle name="Followed Hyperlink" xfId="1931" builtinId="9" hidden="1"/>
    <cellStyle name="Followed Hyperlink" xfId="1932" builtinId="9" hidden="1"/>
    <cellStyle name="Followed Hyperlink" xfId="1933" builtinId="9" hidden="1"/>
    <cellStyle name="Followed Hyperlink" xfId="1934" builtinId="9" hidden="1"/>
    <cellStyle name="Followed Hyperlink" xfId="1935" builtinId="9" hidden="1"/>
    <cellStyle name="Followed Hyperlink" xfId="1936" builtinId="9" hidden="1"/>
    <cellStyle name="Followed Hyperlink" xfId="1937" builtinId="9" hidden="1"/>
    <cellStyle name="Followed Hyperlink" xfId="1938" builtinId="9" hidden="1"/>
    <cellStyle name="Followed Hyperlink" xfId="1939" builtinId="9" hidden="1"/>
    <cellStyle name="Followed Hyperlink" xfId="1940" builtinId="9" hidden="1"/>
    <cellStyle name="Followed Hyperlink" xfId="1941" builtinId="9" hidden="1"/>
    <cellStyle name="Followed Hyperlink" xfId="1942" builtinId="9" hidden="1"/>
    <cellStyle name="Followed Hyperlink" xfId="1943" builtinId="9" hidden="1"/>
    <cellStyle name="Followed Hyperlink" xfId="1944" builtinId="9" hidden="1"/>
    <cellStyle name="Followed Hyperlink" xfId="1945" builtinId="9" hidden="1"/>
    <cellStyle name="Followed Hyperlink" xfId="1946" builtinId="9" hidden="1"/>
    <cellStyle name="Followed Hyperlink" xfId="1947" builtinId="9" hidden="1"/>
    <cellStyle name="Followed Hyperlink" xfId="1948" builtinId="9" hidden="1"/>
    <cellStyle name="Followed Hyperlink" xfId="1949" builtinId="9" hidden="1"/>
    <cellStyle name="Followed Hyperlink" xfId="1950" builtinId="9" hidden="1"/>
    <cellStyle name="Followed Hyperlink" xfId="1951" builtinId="9" hidden="1"/>
    <cellStyle name="Followed Hyperlink" xfId="1952" builtinId="9" hidden="1"/>
    <cellStyle name="Followed Hyperlink" xfId="1953" builtinId="9" hidden="1"/>
    <cellStyle name="Followed Hyperlink" xfId="1954" builtinId="9" hidden="1"/>
    <cellStyle name="Followed Hyperlink" xfId="1955" builtinId="9" hidden="1"/>
    <cellStyle name="Followed Hyperlink" xfId="1956" builtinId="9" hidden="1"/>
    <cellStyle name="Followed Hyperlink" xfId="1957" builtinId="9" hidden="1"/>
    <cellStyle name="Followed Hyperlink" xfId="1958" builtinId="9" hidden="1"/>
    <cellStyle name="Followed Hyperlink" xfId="1959" builtinId="9" hidden="1"/>
    <cellStyle name="Followed Hyperlink" xfId="1960" builtinId="9" hidden="1"/>
    <cellStyle name="Followed Hyperlink" xfId="1961" builtinId="9" hidden="1"/>
    <cellStyle name="Followed Hyperlink" xfId="1962" builtinId="9" hidden="1"/>
    <cellStyle name="Followed Hyperlink" xfId="1963" builtinId="9" hidden="1"/>
    <cellStyle name="Followed Hyperlink" xfId="1964" builtinId="9" hidden="1"/>
    <cellStyle name="Followed Hyperlink" xfId="1965" builtinId="9" hidden="1"/>
    <cellStyle name="Followed Hyperlink" xfId="1966" builtinId="9" hidden="1"/>
    <cellStyle name="Followed Hyperlink" xfId="1967" builtinId="9" hidden="1"/>
    <cellStyle name="Followed Hyperlink" xfId="1968" builtinId="9" hidden="1"/>
    <cellStyle name="Followed Hyperlink" xfId="1969" builtinId="9" hidden="1"/>
    <cellStyle name="Followed Hyperlink" xfId="1970" builtinId="9" hidden="1"/>
    <cellStyle name="Followed Hyperlink" xfId="1971" builtinId="9" hidden="1"/>
    <cellStyle name="Followed Hyperlink" xfId="1972" builtinId="9" hidden="1"/>
    <cellStyle name="Followed Hyperlink" xfId="1973" builtinId="9" hidden="1"/>
    <cellStyle name="Followed Hyperlink" xfId="1974" builtinId="9" hidden="1"/>
    <cellStyle name="Followed Hyperlink" xfId="1975" builtinId="9" hidden="1"/>
    <cellStyle name="Followed Hyperlink" xfId="1976" builtinId="9" hidden="1"/>
    <cellStyle name="Followed Hyperlink" xfId="1977" builtinId="9" hidden="1"/>
    <cellStyle name="Followed Hyperlink" xfId="1978" builtinId="9" hidden="1"/>
    <cellStyle name="Followed Hyperlink" xfId="1979" builtinId="9" hidden="1"/>
    <cellStyle name="Followed Hyperlink" xfId="1980" builtinId="9" hidden="1"/>
    <cellStyle name="Followed Hyperlink" xfId="1981" builtinId="9" hidden="1"/>
    <cellStyle name="Followed Hyperlink" xfId="1982" builtinId="9" hidden="1"/>
    <cellStyle name="Followed Hyperlink" xfId="1983" builtinId="9" hidden="1"/>
    <cellStyle name="Followed Hyperlink" xfId="1984" builtinId="9" hidden="1"/>
    <cellStyle name="Followed Hyperlink" xfId="1985" builtinId="9" hidden="1"/>
    <cellStyle name="Followed Hyperlink" xfId="1986" builtinId="9" hidden="1"/>
    <cellStyle name="Followed Hyperlink" xfId="1987" builtinId="9" hidden="1"/>
    <cellStyle name="Followed Hyperlink" xfId="1988" builtinId="9" hidden="1"/>
    <cellStyle name="Followed Hyperlink" xfId="1989" builtinId="9" hidden="1"/>
    <cellStyle name="Followed Hyperlink" xfId="1990" builtinId="9" hidden="1"/>
    <cellStyle name="Followed Hyperlink" xfId="1991" builtinId="9" hidden="1"/>
    <cellStyle name="Followed Hyperlink" xfId="1992" builtinId="9" hidden="1"/>
    <cellStyle name="Followed Hyperlink" xfId="1993" builtinId="9" hidden="1"/>
    <cellStyle name="Followed Hyperlink" xfId="1994" builtinId="9" hidden="1"/>
    <cellStyle name="Followed Hyperlink" xfId="1995" builtinId="9" hidden="1"/>
    <cellStyle name="Followed Hyperlink" xfId="1996" builtinId="9" hidden="1"/>
    <cellStyle name="Followed Hyperlink" xfId="1997" builtinId="9" hidden="1"/>
    <cellStyle name="Followed Hyperlink" xfId="1998" builtinId="9" hidden="1"/>
    <cellStyle name="Followed Hyperlink" xfId="1999" builtinId="9" hidden="1"/>
    <cellStyle name="Followed Hyperlink" xfId="2000" builtinId="9" hidden="1"/>
    <cellStyle name="Followed Hyperlink" xfId="2001" builtinId="9" hidden="1"/>
    <cellStyle name="Followed Hyperlink" xfId="2002" builtinId="9" hidden="1"/>
    <cellStyle name="Followed Hyperlink" xfId="2003" builtinId="9" hidden="1"/>
    <cellStyle name="Followed Hyperlink" xfId="2004" builtinId="9" hidden="1"/>
    <cellStyle name="Followed Hyperlink" xfId="2005" builtinId="9" hidden="1"/>
    <cellStyle name="Followed Hyperlink" xfId="2006" builtinId="9" hidden="1"/>
    <cellStyle name="Followed Hyperlink" xfId="2007" builtinId="9" hidden="1"/>
    <cellStyle name="Followed Hyperlink" xfId="2008" builtinId="9" hidden="1"/>
    <cellStyle name="Followed Hyperlink" xfId="2009" builtinId="9" hidden="1"/>
    <cellStyle name="Followed Hyperlink" xfId="2010" builtinId="9" hidden="1"/>
    <cellStyle name="Followed Hyperlink" xfId="2011" builtinId="9" hidden="1"/>
    <cellStyle name="Followed Hyperlink" xfId="2012" builtinId="9" hidden="1"/>
    <cellStyle name="Followed Hyperlink" xfId="2013" builtinId="9" hidden="1"/>
    <cellStyle name="Followed Hyperlink" xfId="2014" builtinId="9" hidden="1"/>
    <cellStyle name="Followed Hyperlink" xfId="2015" builtinId="9" hidden="1"/>
    <cellStyle name="Followed Hyperlink" xfId="2016" builtinId="9" hidden="1"/>
    <cellStyle name="Followed Hyperlink" xfId="2017" builtinId="9" hidden="1"/>
    <cellStyle name="Followed Hyperlink" xfId="2018" builtinId="9" hidden="1"/>
    <cellStyle name="Followed Hyperlink" xfId="2019"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Followed Hyperlink" xfId="2142" builtinId="9" hidden="1"/>
    <cellStyle name="Followed Hyperlink" xfId="2143" builtinId="9" hidden="1"/>
    <cellStyle name="Followed Hyperlink" xfId="2144" builtinId="9" hidden="1"/>
    <cellStyle name="Followed Hyperlink" xfId="2145" builtinId="9" hidden="1"/>
    <cellStyle name="Followed Hyperlink" xfId="2146" builtinId="9" hidden="1"/>
    <cellStyle name="Followed Hyperlink" xfId="2147" builtinId="9" hidden="1"/>
    <cellStyle name="Followed Hyperlink" xfId="2148" builtinId="9" hidden="1"/>
    <cellStyle name="Followed Hyperlink" xfId="2149" builtinId="9" hidden="1"/>
    <cellStyle name="Followed Hyperlink" xfId="2150" builtinId="9" hidden="1"/>
    <cellStyle name="Followed Hyperlink" xfId="2151" builtinId="9" hidden="1"/>
    <cellStyle name="Followed Hyperlink" xfId="2152" builtinId="9" hidden="1"/>
    <cellStyle name="Followed Hyperlink" xfId="2153" builtinId="9" hidden="1"/>
    <cellStyle name="Followed Hyperlink" xfId="2154" builtinId="9" hidden="1"/>
    <cellStyle name="Followed Hyperlink" xfId="2155" builtinId="9" hidden="1"/>
    <cellStyle name="Followed Hyperlink" xfId="2156" builtinId="9" hidden="1"/>
    <cellStyle name="Followed Hyperlink" xfId="2157" builtinId="9" hidden="1"/>
    <cellStyle name="Followed Hyperlink" xfId="2158" builtinId="9" hidden="1"/>
    <cellStyle name="Followed Hyperlink" xfId="2159" builtinId="9" hidden="1"/>
    <cellStyle name="Followed Hyperlink" xfId="2160" builtinId="9" hidden="1"/>
    <cellStyle name="Followed Hyperlink" xfId="2161" builtinId="9" hidden="1"/>
    <cellStyle name="Followed Hyperlink" xfId="2162" builtinId="9" hidden="1"/>
    <cellStyle name="Followed Hyperlink" xfId="2163" builtinId="9" hidden="1"/>
    <cellStyle name="Followed Hyperlink" xfId="2164" builtinId="9" hidden="1"/>
    <cellStyle name="Followed Hyperlink" xfId="2165" builtinId="9" hidden="1"/>
    <cellStyle name="Followed Hyperlink" xfId="2166" builtinId="9" hidden="1"/>
    <cellStyle name="Followed Hyperlink" xfId="2167" builtinId="9" hidden="1"/>
    <cellStyle name="Followed Hyperlink" xfId="2168" builtinId="9" hidden="1"/>
    <cellStyle name="Followed Hyperlink" xfId="2169" builtinId="9" hidden="1"/>
    <cellStyle name="Followed Hyperlink" xfId="2170" builtinId="9" hidden="1"/>
    <cellStyle name="Followed Hyperlink" xfId="2171" builtinId="9" hidden="1"/>
    <cellStyle name="Followed Hyperlink" xfId="2172" builtinId="9" hidden="1"/>
    <cellStyle name="Followed Hyperlink" xfId="2173" builtinId="9" hidden="1"/>
    <cellStyle name="Followed Hyperlink" xfId="2174" builtinId="9" hidden="1"/>
    <cellStyle name="Followed Hyperlink" xfId="2175" builtinId="9" hidden="1"/>
    <cellStyle name="Followed Hyperlink" xfId="2176" builtinId="9" hidden="1"/>
    <cellStyle name="Followed Hyperlink" xfId="2177" builtinId="9" hidden="1"/>
    <cellStyle name="Followed Hyperlink" xfId="2178" builtinId="9" hidden="1"/>
    <cellStyle name="Followed Hyperlink" xfId="2179" builtinId="9" hidden="1"/>
    <cellStyle name="Followed Hyperlink" xfId="2180" builtinId="9" hidden="1"/>
    <cellStyle name="Followed Hyperlink" xfId="2181" builtinId="9" hidden="1"/>
    <cellStyle name="Followed Hyperlink" xfId="2182" builtinId="9" hidden="1"/>
    <cellStyle name="Followed Hyperlink" xfId="2183" builtinId="9" hidden="1"/>
    <cellStyle name="Followed Hyperlink" xfId="2184" builtinId="9" hidden="1"/>
    <cellStyle name="Followed Hyperlink" xfId="2185" builtinId="9" hidden="1"/>
    <cellStyle name="Followed Hyperlink" xfId="2186" builtinId="9" hidden="1"/>
    <cellStyle name="Followed Hyperlink" xfId="2187" builtinId="9" hidden="1"/>
    <cellStyle name="Followed Hyperlink" xfId="2188" builtinId="9" hidden="1"/>
    <cellStyle name="Followed Hyperlink" xfId="2189" builtinId="9" hidden="1"/>
    <cellStyle name="Followed Hyperlink" xfId="2190" builtinId="9" hidden="1"/>
    <cellStyle name="Followed Hyperlink" xfId="2191" builtinId="9" hidden="1"/>
    <cellStyle name="Followed Hyperlink" xfId="2192" builtinId="9" hidden="1"/>
    <cellStyle name="Followed Hyperlink" xfId="2193" builtinId="9" hidden="1"/>
    <cellStyle name="Followed Hyperlink" xfId="2194" builtinId="9" hidden="1"/>
    <cellStyle name="Followed Hyperlink" xfId="2195" builtinId="9" hidden="1"/>
    <cellStyle name="Followed Hyperlink" xfId="2196" builtinId="9" hidden="1"/>
    <cellStyle name="Followed Hyperlink" xfId="2197" builtinId="9" hidden="1"/>
    <cellStyle name="Followed Hyperlink" xfId="2198" builtinId="9" hidden="1"/>
    <cellStyle name="Followed Hyperlink" xfId="2199" builtinId="9" hidden="1"/>
    <cellStyle name="Followed Hyperlink" xfId="2200" builtinId="9" hidden="1"/>
    <cellStyle name="Followed Hyperlink" xfId="2201" builtinId="9" hidden="1"/>
    <cellStyle name="Followed Hyperlink" xfId="2202" builtinId="9" hidden="1"/>
    <cellStyle name="Followed Hyperlink" xfId="2203" builtinId="9" hidden="1"/>
    <cellStyle name="Followed Hyperlink" xfId="2204" builtinId="9" hidden="1"/>
    <cellStyle name="Followed Hyperlink" xfId="2205" builtinId="9" hidden="1"/>
    <cellStyle name="Followed Hyperlink" xfId="2206" builtinId="9" hidden="1"/>
    <cellStyle name="Followed Hyperlink" xfId="2207" builtinId="9" hidden="1"/>
    <cellStyle name="Followed Hyperlink" xfId="2208" builtinId="9" hidden="1"/>
    <cellStyle name="Followed Hyperlink" xfId="2209" builtinId="9" hidden="1"/>
    <cellStyle name="Followed Hyperlink" xfId="2210" builtinId="9" hidden="1"/>
    <cellStyle name="Followed Hyperlink" xfId="2211" builtinId="9" hidden="1"/>
    <cellStyle name="Followed Hyperlink" xfId="2212" builtinId="9" hidden="1"/>
    <cellStyle name="Followed Hyperlink" xfId="2213" builtinId="9" hidden="1"/>
    <cellStyle name="Followed Hyperlink" xfId="2214" builtinId="9" hidden="1"/>
    <cellStyle name="Followed Hyperlink" xfId="2215" builtinId="9" hidden="1"/>
    <cellStyle name="Followed Hyperlink" xfId="2216" builtinId="9" hidden="1"/>
    <cellStyle name="Followed Hyperlink" xfId="2217" builtinId="9" hidden="1"/>
    <cellStyle name="Followed Hyperlink" xfId="2218" builtinId="9" hidden="1"/>
    <cellStyle name="Followed Hyperlink" xfId="2219" builtinId="9" hidden="1"/>
    <cellStyle name="Followed Hyperlink" xfId="2220" builtinId="9" hidden="1"/>
    <cellStyle name="Followed Hyperlink" xfId="2221" builtinId="9" hidden="1"/>
    <cellStyle name="Followed Hyperlink" xfId="2222" builtinId="9" hidden="1"/>
    <cellStyle name="Followed Hyperlink" xfId="2223" builtinId="9" hidden="1"/>
    <cellStyle name="Followed Hyperlink" xfId="2224" builtinId="9" hidden="1"/>
    <cellStyle name="Followed Hyperlink" xfId="2225" builtinId="9" hidden="1"/>
    <cellStyle name="Followed Hyperlink" xfId="2226" builtinId="9" hidden="1"/>
    <cellStyle name="Followed Hyperlink" xfId="2227" builtinId="9" hidden="1"/>
    <cellStyle name="Followed Hyperlink" xfId="2228" builtinId="9" hidden="1"/>
    <cellStyle name="Followed Hyperlink" xfId="2229" builtinId="9" hidden="1"/>
    <cellStyle name="Followed Hyperlink" xfId="2230" builtinId="9" hidden="1"/>
    <cellStyle name="Followed Hyperlink" xfId="2231" builtinId="9" hidden="1"/>
    <cellStyle name="Followed Hyperlink" xfId="2232" builtinId="9" hidden="1"/>
    <cellStyle name="Followed Hyperlink" xfId="2233" builtinId="9" hidden="1"/>
    <cellStyle name="Followed Hyperlink" xfId="2234" builtinId="9" hidden="1"/>
    <cellStyle name="Followed Hyperlink" xfId="2235" builtinId="9" hidden="1"/>
    <cellStyle name="Followed Hyperlink" xfId="2236" builtinId="9" hidden="1"/>
    <cellStyle name="Followed Hyperlink" xfId="2237" builtinId="9" hidden="1"/>
    <cellStyle name="Followed Hyperlink" xfId="2238" builtinId="9" hidden="1"/>
    <cellStyle name="Followed Hyperlink" xfId="2239" builtinId="9" hidden="1"/>
    <cellStyle name="Followed Hyperlink" xfId="2240" builtinId="9" hidden="1"/>
    <cellStyle name="Followed Hyperlink" xfId="2241" builtinId="9" hidden="1"/>
    <cellStyle name="Followed Hyperlink" xfId="2242" builtinId="9" hidden="1"/>
    <cellStyle name="Followed Hyperlink" xfId="2243" builtinId="9" hidden="1"/>
    <cellStyle name="Followed Hyperlink" xfId="2244" builtinId="9" hidden="1"/>
    <cellStyle name="Followed Hyperlink" xfId="2245" builtinId="9" hidden="1"/>
    <cellStyle name="Followed Hyperlink" xfId="2246" builtinId="9" hidden="1"/>
    <cellStyle name="Followed Hyperlink" xfId="2247" builtinId="9" hidden="1"/>
    <cellStyle name="Followed Hyperlink" xfId="2248" builtinId="9" hidden="1"/>
    <cellStyle name="Followed Hyperlink" xfId="2249" builtinId="9" hidden="1"/>
    <cellStyle name="Followed Hyperlink" xfId="2250" builtinId="9" hidden="1"/>
    <cellStyle name="Followed Hyperlink" xfId="2251" builtinId="9" hidden="1"/>
    <cellStyle name="Followed Hyperlink" xfId="2252" builtinId="9" hidden="1"/>
    <cellStyle name="Followed Hyperlink" xfId="2253" builtinId="9" hidden="1"/>
    <cellStyle name="Followed Hyperlink" xfId="2254" builtinId="9" hidden="1"/>
    <cellStyle name="Followed Hyperlink" xfId="2255" builtinId="9" hidden="1"/>
    <cellStyle name="Followed Hyperlink" xfId="2256" builtinId="9" hidden="1"/>
    <cellStyle name="Followed Hyperlink" xfId="2257" builtinId="9" hidden="1"/>
    <cellStyle name="Followed Hyperlink" xfId="2258" builtinId="9" hidden="1"/>
    <cellStyle name="Followed Hyperlink" xfId="2259" builtinId="9" hidden="1"/>
    <cellStyle name="Followed Hyperlink" xfId="2260" builtinId="9" hidden="1"/>
    <cellStyle name="Followed Hyperlink" xfId="2261" builtinId="9" hidden="1"/>
    <cellStyle name="Followed Hyperlink" xfId="2262" builtinId="9" hidden="1"/>
    <cellStyle name="Followed Hyperlink" xfId="2263" builtinId="9" hidden="1"/>
    <cellStyle name="Followed Hyperlink" xfId="2264" builtinId="9" hidden="1"/>
    <cellStyle name="Followed Hyperlink" xfId="2265" builtinId="9" hidden="1"/>
    <cellStyle name="Followed Hyperlink" xfId="2266" builtinId="9" hidden="1"/>
    <cellStyle name="Followed Hyperlink" xfId="2267" builtinId="9" hidden="1"/>
    <cellStyle name="Followed Hyperlink" xfId="2268" builtinId="9" hidden="1"/>
    <cellStyle name="Followed Hyperlink" xfId="2269" builtinId="9" hidden="1"/>
    <cellStyle name="Followed Hyperlink" xfId="2270" builtinId="9" hidden="1"/>
    <cellStyle name="Followed Hyperlink" xfId="2271" builtinId="9" hidden="1"/>
    <cellStyle name="Followed Hyperlink" xfId="2272" builtinId="9" hidden="1"/>
    <cellStyle name="Followed Hyperlink" xfId="2273" builtinId="9" hidden="1"/>
    <cellStyle name="Followed Hyperlink" xfId="2274" builtinId="9" hidden="1"/>
    <cellStyle name="Followed Hyperlink" xfId="2275" builtinId="9" hidden="1"/>
    <cellStyle name="Followed Hyperlink" xfId="2276" builtinId="9" hidden="1"/>
    <cellStyle name="Followed Hyperlink" xfId="2277" builtinId="9" hidden="1"/>
    <cellStyle name="Followed Hyperlink" xfId="2278" builtinId="9" hidden="1"/>
    <cellStyle name="Followed Hyperlink" xfId="2279" builtinId="9" hidden="1"/>
    <cellStyle name="Followed Hyperlink" xfId="2280" builtinId="9" hidden="1"/>
    <cellStyle name="Followed Hyperlink" xfId="2281" builtinId="9" hidden="1"/>
    <cellStyle name="Followed Hyperlink" xfId="2282" builtinId="9" hidden="1"/>
    <cellStyle name="Followed Hyperlink" xfId="2283" builtinId="9" hidden="1"/>
    <cellStyle name="Followed Hyperlink" xfId="2284" builtinId="9" hidden="1"/>
    <cellStyle name="Followed Hyperlink" xfId="2285" builtinId="9" hidden="1"/>
    <cellStyle name="Followed Hyperlink" xfId="2286" builtinId="9" hidden="1"/>
    <cellStyle name="Followed Hyperlink" xfId="2287" builtinId="9" hidden="1"/>
    <cellStyle name="Followed Hyperlink" xfId="2288" builtinId="9" hidden="1"/>
    <cellStyle name="Followed Hyperlink" xfId="2289" builtinId="9" hidden="1"/>
    <cellStyle name="Followed Hyperlink" xfId="2290" builtinId="9" hidden="1"/>
    <cellStyle name="Followed Hyperlink" xfId="2291" builtinId="9" hidden="1"/>
    <cellStyle name="Followed Hyperlink" xfId="2292" builtinId="9" hidden="1"/>
    <cellStyle name="Followed Hyperlink" xfId="2293" builtinId="9" hidden="1"/>
    <cellStyle name="Followed Hyperlink" xfId="2294" builtinId="9" hidden="1"/>
    <cellStyle name="Followed Hyperlink" xfId="2295" builtinId="9" hidden="1"/>
    <cellStyle name="Followed Hyperlink" xfId="2296" builtinId="9" hidden="1"/>
    <cellStyle name="Followed Hyperlink" xfId="2297" builtinId="9" hidden="1"/>
    <cellStyle name="Followed Hyperlink" xfId="2298" builtinId="9" hidden="1"/>
    <cellStyle name="Followed Hyperlink" xfId="2299" builtinId="9" hidden="1"/>
    <cellStyle name="Followed Hyperlink" xfId="2300" builtinId="9" hidden="1"/>
    <cellStyle name="Followed Hyperlink" xfId="2301" builtinId="9" hidden="1"/>
    <cellStyle name="Followed Hyperlink" xfId="2302" builtinId="9" hidden="1"/>
    <cellStyle name="Followed Hyperlink" xfId="2303" builtinId="9" hidden="1"/>
    <cellStyle name="Followed Hyperlink" xfId="2304" builtinId="9" hidden="1"/>
    <cellStyle name="Followed Hyperlink" xfId="2305" builtinId="9" hidden="1"/>
    <cellStyle name="Followed Hyperlink" xfId="2306" builtinId="9" hidden="1"/>
    <cellStyle name="Followed Hyperlink" xfId="2307" builtinId="9" hidden="1"/>
    <cellStyle name="Followed Hyperlink" xfId="2308" builtinId="9" hidden="1"/>
    <cellStyle name="Followed Hyperlink" xfId="2309" builtinId="9" hidden="1"/>
    <cellStyle name="Followed Hyperlink" xfId="2310" builtinId="9" hidden="1"/>
    <cellStyle name="Followed Hyperlink" xfId="2311" builtinId="9" hidden="1"/>
    <cellStyle name="Followed Hyperlink" xfId="2312" builtinId="9" hidden="1"/>
    <cellStyle name="Followed Hyperlink" xfId="2313" builtinId="9" hidden="1"/>
    <cellStyle name="Followed Hyperlink" xfId="2314" builtinId="9" hidden="1"/>
    <cellStyle name="Followed Hyperlink" xfId="2315" builtinId="9" hidden="1"/>
    <cellStyle name="Followed Hyperlink" xfId="2316" builtinId="9" hidden="1"/>
    <cellStyle name="Followed Hyperlink" xfId="2317" builtinId="9" hidden="1"/>
    <cellStyle name="Followed Hyperlink" xfId="2318" builtinId="9" hidden="1"/>
    <cellStyle name="Followed Hyperlink" xfId="2319" builtinId="9" hidden="1"/>
    <cellStyle name="Followed Hyperlink" xfId="2320" builtinId="9" hidden="1"/>
    <cellStyle name="Followed Hyperlink" xfId="2321" builtinId="9" hidden="1"/>
    <cellStyle name="Followed Hyperlink" xfId="2322" builtinId="9" hidden="1"/>
    <cellStyle name="Followed Hyperlink" xfId="2323" builtinId="9" hidden="1"/>
    <cellStyle name="Followed Hyperlink" xfId="2324" builtinId="9" hidden="1"/>
    <cellStyle name="Followed Hyperlink" xfId="2325" builtinId="9" hidden="1"/>
    <cellStyle name="Followed Hyperlink" xfId="2326" builtinId="9" hidden="1"/>
    <cellStyle name="Followed Hyperlink" xfId="2327" builtinId="9" hidden="1"/>
    <cellStyle name="Followed Hyperlink" xfId="2328" builtinId="9" hidden="1"/>
    <cellStyle name="Followed Hyperlink" xfId="2329" builtinId="9" hidden="1"/>
    <cellStyle name="Followed Hyperlink" xfId="2330" builtinId="9" hidden="1"/>
    <cellStyle name="Followed Hyperlink" xfId="2331" builtinId="9" hidden="1"/>
    <cellStyle name="Followed Hyperlink" xfId="2332" builtinId="9" hidden="1"/>
    <cellStyle name="Followed Hyperlink" xfId="2333" builtinId="9" hidden="1"/>
    <cellStyle name="Followed Hyperlink" xfId="2334" builtinId="9" hidden="1"/>
    <cellStyle name="Followed Hyperlink" xfId="2335" builtinId="9" hidden="1"/>
    <cellStyle name="Followed Hyperlink" xfId="2336" builtinId="9" hidden="1"/>
    <cellStyle name="Followed Hyperlink" xfId="2337" builtinId="9" hidden="1"/>
    <cellStyle name="Followed Hyperlink" xfId="2338" builtinId="9" hidden="1"/>
    <cellStyle name="Followed Hyperlink" xfId="2339" builtinId="9" hidden="1"/>
    <cellStyle name="Followed Hyperlink" xfId="2340" builtinId="9" hidden="1"/>
    <cellStyle name="Followed Hyperlink" xfId="2341" builtinId="9" hidden="1"/>
    <cellStyle name="Followed Hyperlink" xfId="2342" builtinId="9" hidden="1"/>
    <cellStyle name="Followed Hyperlink" xfId="2343" builtinId="9" hidden="1"/>
    <cellStyle name="Followed Hyperlink" xfId="2344" builtinId="9" hidden="1"/>
    <cellStyle name="Followed Hyperlink" xfId="2345" builtinId="9" hidden="1"/>
    <cellStyle name="Followed Hyperlink" xfId="2346" builtinId="9" hidden="1"/>
    <cellStyle name="Followed Hyperlink" xfId="2347" builtinId="9" hidden="1"/>
    <cellStyle name="Followed Hyperlink" xfId="2348" builtinId="9" hidden="1"/>
    <cellStyle name="Followed Hyperlink" xfId="2349" builtinId="9" hidden="1"/>
    <cellStyle name="Followed Hyperlink" xfId="2350" builtinId="9" hidden="1"/>
    <cellStyle name="Followed Hyperlink" xfId="2351" builtinId="9" hidden="1"/>
    <cellStyle name="Followed Hyperlink" xfId="2352" builtinId="9" hidden="1"/>
    <cellStyle name="Followed Hyperlink" xfId="2353" builtinId="9" hidden="1"/>
    <cellStyle name="Followed Hyperlink" xfId="2354" builtinId="9" hidden="1"/>
    <cellStyle name="Followed Hyperlink" xfId="2355" builtinId="9" hidden="1"/>
    <cellStyle name="Followed Hyperlink" xfId="2356" builtinId="9" hidden="1"/>
    <cellStyle name="Followed Hyperlink" xfId="2357" builtinId="9" hidden="1"/>
    <cellStyle name="Followed Hyperlink" xfId="2358" builtinId="9" hidden="1"/>
    <cellStyle name="Followed Hyperlink" xfId="2359" builtinId="9" hidden="1"/>
    <cellStyle name="Followed Hyperlink" xfId="2360" builtinId="9" hidden="1"/>
    <cellStyle name="Followed Hyperlink" xfId="2361" builtinId="9" hidden="1"/>
    <cellStyle name="Followed Hyperlink" xfId="2362" builtinId="9" hidden="1"/>
    <cellStyle name="Followed Hyperlink" xfId="2363" builtinId="9" hidden="1"/>
    <cellStyle name="Followed Hyperlink" xfId="2364" builtinId="9" hidden="1"/>
    <cellStyle name="Followed Hyperlink" xfId="2365" builtinId="9" hidden="1"/>
    <cellStyle name="Followed Hyperlink" xfId="2366" builtinId="9" hidden="1"/>
    <cellStyle name="Followed Hyperlink" xfId="2367" builtinId="9" hidden="1"/>
    <cellStyle name="Followed Hyperlink" xfId="2368" builtinId="9" hidden="1"/>
    <cellStyle name="Followed Hyperlink" xfId="2369" builtinId="9" hidden="1"/>
    <cellStyle name="Followed Hyperlink" xfId="2370" builtinId="9" hidden="1"/>
    <cellStyle name="Followed Hyperlink" xfId="2371" builtinId="9" hidden="1"/>
    <cellStyle name="Followed Hyperlink" xfId="2372" builtinId="9" hidden="1"/>
    <cellStyle name="Followed Hyperlink" xfId="2373" builtinId="9" hidden="1"/>
    <cellStyle name="Followed Hyperlink" xfId="2374" builtinId="9" hidden="1"/>
    <cellStyle name="Followed Hyperlink" xfId="2375" builtinId="9" hidden="1"/>
    <cellStyle name="Followed Hyperlink" xfId="2376" builtinId="9" hidden="1"/>
    <cellStyle name="Followed Hyperlink" xfId="2377" builtinId="9" hidden="1"/>
    <cellStyle name="Followed Hyperlink" xfId="2378" builtinId="9" hidden="1"/>
    <cellStyle name="Followed Hyperlink" xfId="2379" builtinId="9" hidden="1"/>
    <cellStyle name="Followed Hyperlink" xfId="2380" builtinId="9" hidden="1"/>
    <cellStyle name="Followed Hyperlink" xfId="2381" builtinId="9" hidden="1"/>
    <cellStyle name="Followed Hyperlink" xfId="2382" builtinId="9" hidden="1"/>
    <cellStyle name="Followed Hyperlink" xfId="2383" builtinId="9" hidden="1"/>
    <cellStyle name="Followed Hyperlink" xfId="2384" builtinId="9" hidden="1"/>
    <cellStyle name="Followed Hyperlink" xfId="2385" builtinId="9" hidden="1"/>
    <cellStyle name="Followed Hyperlink" xfId="2386" builtinId="9" hidden="1"/>
    <cellStyle name="Followed Hyperlink" xfId="2387" builtinId="9" hidden="1"/>
    <cellStyle name="Followed Hyperlink" xfId="2388" builtinId="9" hidden="1"/>
    <cellStyle name="Followed Hyperlink" xfId="2389" builtinId="9" hidden="1"/>
    <cellStyle name="Followed Hyperlink" xfId="2390" builtinId="9" hidden="1"/>
    <cellStyle name="Followed Hyperlink" xfId="2391" builtinId="9" hidden="1"/>
    <cellStyle name="Followed Hyperlink" xfId="2392" builtinId="9" hidden="1"/>
    <cellStyle name="Followed Hyperlink" xfId="2393" builtinId="9" hidden="1"/>
    <cellStyle name="Followed Hyperlink" xfId="2394" builtinId="9" hidden="1"/>
    <cellStyle name="Followed Hyperlink" xfId="2395" builtinId="9" hidden="1"/>
    <cellStyle name="Followed Hyperlink" xfId="2396" builtinId="9" hidden="1"/>
    <cellStyle name="Followed Hyperlink" xfId="2397" builtinId="9" hidden="1"/>
    <cellStyle name="Followed Hyperlink" xfId="2398" builtinId="9" hidden="1"/>
    <cellStyle name="Followed Hyperlink" xfId="2399" builtinId="9" hidden="1"/>
    <cellStyle name="Followed Hyperlink" xfId="2400" builtinId="9" hidden="1"/>
    <cellStyle name="Followed Hyperlink" xfId="2401" builtinId="9" hidden="1"/>
    <cellStyle name="Followed Hyperlink" xfId="2402" builtinId="9" hidden="1"/>
    <cellStyle name="Followed Hyperlink" xfId="2403" builtinId="9" hidden="1"/>
    <cellStyle name="Followed Hyperlink" xfId="2404" builtinId="9" hidden="1"/>
    <cellStyle name="Followed Hyperlink" xfId="2405" builtinId="9" hidden="1"/>
    <cellStyle name="Followed Hyperlink" xfId="2406" builtinId="9" hidden="1"/>
    <cellStyle name="Followed Hyperlink" xfId="2407" builtinId="9" hidden="1"/>
    <cellStyle name="Followed Hyperlink" xfId="2408" builtinId="9" hidden="1"/>
    <cellStyle name="Followed Hyperlink" xfId="2409" builtinId="9" hidden="1"/>
    <cellStyle name="Followed Hyperlink" xfId="2410" builtinId="9" hidden="1"/>
    <cellStyle name="Followed Hyperlink" xfId="2411" builtinId="9" hidden="1"/>
    <cellStyle name="Followed Hyperlink" xfId="2412" builtinId="9" hidden="1"/>
    <cellStyle name="Followed Hyperlink" xfId="2413" builtinId="9" hidden="1"/>
    <cellStyle name="Followed Hyperlink" xfId="2414" builtinId="9" hidden="1"/>
    <cellStyle name="Followed Hyperlink" xfId="2415" builtinId="9" hidden="1"/>
    <cellStyle name="Followed Hyperlink" xfId="2416" builtinId="9" hidden="1"/>
    <cellStyle name="Followed Hyperlink" xfId="2417" builtinId="9" hidden="1"/>
    <cellStyle name="Followed Hyperlink" xfId="2418" builtinId="9" hidden="1"/>
    <cellStyle name="Followed Hyperlink" xfId="2419" builtinId="9" hidden="1"/>
    <cellStyle name="Followed Hyperlink" xfId="2420" builtinId="9" hidden="1"/>
    <cellStyle name="Followed Hyperlink" xfId="2421" builtinId="9" hidden="1"/>
    <cellStyle name="Followed Hyperlink" xfId="2422" builtinId="9" hidden="1"/>
    <cellStyle name="Followed Hyperlink" xfId="2423" builtinId="9" hidden="1"/>
    <cellStyle name="Followed Hyperlink" xfId="2424" builtinId="9" hidden="1"/>
    <cellStyle name="Followed Hyperlink" xfId="2425" builtinId="9" hidden="1"/>
    <cellStyle name="Followed Hyperlink" xfId="2426" builtinId="9" hidden="1"/>
    <cellStyle name="Followed Hyperlink" xfId="2427" builtinId="9" hidden="1"/>
    <cellStyle name="Followed Hyperlink" xfId="2428" builtinId="9" hidden="1"/>
    <cellStyle name="Followed Hyperlink" xfId="2429" builtinId="9" hidden="1"/>
    <cellStyle name="Followed Hyperlink" xfId="2430" builtinId="9" hidden="1"/>
    <cellStyle name="Followed Hyperlink" xfId="2431" builtinId="9" hidden="1"/>
    <cellStyle name="Followed Hyperlink" xfId="2432" builtinId="9" hidden="1"/>
    <cellStyle name="Followed Hyperlink" xfId="2433" builtinId="9" hidden="1"/>
    <cellStyle name="Followed Hyperlink" xfId="2434" builtinId="9" hidden="1"/>
    <cellStyle name="Followed Hyperlink" xfId="2435" builtinId="9" hidden="1"/>
    <cellStyle name="Followed Hyperlink" xfId="2436" builtinId="9" hidden="1"/>
    <cellStyle name="Followed Hyperlink" xfId="2437" builtinId="9" hidden="1"/>
    <cellStyle name="Followed Hyperlink" xfId="2438" builtinId="9" hidden="1"/>
    <cellStyle name="Followed Hyperlink" xfId="2439" builtinId="9" hidden="1"/>
    <cellStyle name="Followed Hyperlink" xfId="2440" builtinId="9" hidden="1"/>
    <cellStyle name="Followed Hyperlink" xfId="2441" builtinId="9" hidden="1"/>
    <cellStyle name="Followed Hyperlink" xfId="2442" builtinId="9" hidden="1"/>
    <cellStyle name="Followed Hyperlink" xfId="2443" builtinId="9" hidden="1"/>
    <cellStyle name="Followed Hyperlink" xfId="2444" builtinId="9" hidden="1"/>
    <cellStyle name="Followed Hyperlink" xfId="2445" builtinId="9" hidden="1"/>
    <cellStyle name="Followed Hyperlink" xfId="2446" builtinId="9" hidden="1"/>
    <cellStyle name="Followed Hyperlink" xfId="2447" builtinId="9" hidden="1"/>
    <cellStyle name="Followed Hyperlink" xfId="2448" builtinId="9" hidden="1"/>
    <cellStyle name="Followed Hyperlink" xfId="2449" builtinId="9" hidden="1"/>
    <cellStyle name="Followed Hyperlink" xfId="2450" builtinId="9" hidden="1"/>
    <cellStyle name="Followed Hyperlink" xfId="2451" builtinId="9" hidden="1"/>
    <cellStyle name="Followed Hyperlink" xfId="2452" builtinId="9" hidden="1"/>
    <cellStyle name="Followed Hyperlink" xfId="2453" builtinId="9" hidden="1"/>
    <cellStyle name="Followed Hyperlink" xfId="2454" builtinId="9" hidden="1"/>
    <cellStyle name="Followed Hyperlink" xfId="2455" builtinId="9" hidden="1"/>
    <cellStyle name="Followed Hyperlink" xfId="2456" builtinId="9" hidden="1"/>
    <cellStyle name="Followed Hyperlink" xfId="2457" builtinId="9" hidden="1"/>
    <cellStyle name="Followed Hyperlink" xfId="2458" builtinId="9" hidden="1"/>
    <cellStyle name="Followed Hyperlink" xfId="2459" builtinId="9" hidden="1"/>
    <cellStyle name="Followed Hyperlink" xfId="2460" builtinId="9" hidden="1"/>
    <cellStyle name="Followed Hyperlink" xfId="2461" builtinId="9" hidden="1"/>
    <cellStyle name="Followed Hyperlink" xfId="2462" builtinId="9" hidden="1"/>
    <cellStyle name="Followed Hyperlink" xfId="2463" builtinId="9" hidden="1"/>
    <cellStyle name="Followed Hyperlink" xfId="2464" builtinId="9" hidden="1"/>
    <cellStyle name="Followed Hyperlink" xfId="2465" builtinId="9" hidden="1"/>
    <cellStyle name="Followed Hyperlink" xfId="2466" builtinId="9" hidden="1"/>
    <cellStyle name="Followed Hyperlink" xfId="2467" builtinId="9" hidden="1"/>
    <cellStyle name="Followed Hyperlink" xfId="2468" builtinId="9" hidden="1"/>
    <cellStyle name="Followed Hyperlink" xfId="2469" builtinId="9" hidden="1"/>
    <cellStyle name="Followed Hyperlink" xfId="2470" builtinId="9" hidden="1"/>
    <cellStyle name="Followed Hyperlink" xfId="2471" builtinId="9" hidden="1"/>
    <cellStyle name="Followed Hyperlink" xfId="2472" builtinId="9" hidden="1"/>
    <cellStyle name="Followed Hyperlink" xfId="2473" builtinId="9" hidden="1"/>
    <cellStyle name="Followed Hyperlink" xfId="2474" builtinId="9" hidden="1"/>
    <cellStyle name="Followed Hyperlink" xfId="2475" builtinId="9" hidden="1"/>
    <cellStyle name="Followed Hyperlink" xfId="2476" builtinId="9" hidden="1"/>
    <cellStyle name="Followed Hyperlink" xfId="2477" builtinId="9" hidden="1"/>
    <cellStyle name="Followed Hyperlink" xfId="2478" builtinId="9" hidden="1"/>
    <cellStyle name="Followed Hyperlink" xfId="2479" builtinId="9" hidden="1"/>
    <cellStyle name="Followed Hyperlink" xfId="2480" builtinId="9" hidden="1"/>
    <cellStyle name="Followed Hyperlink" xfId="2481" builtinId="9" hidden="1"/>
    <cellStyle name="Followed Hyperlink" xfId="2482" builtinId="9" hidden="1"/>
    <cellStyle name="Followed Hyperlink" xfId="2483" builtinId="9" hidden="1"/>
    <cellStyle name="Followed Hyperlink" xfId="2484" builtinId="9" hidden="1"/>
    <cellStyle name="Followed Hyperlink" xfId="2485" builtinId="9" hidden="1"/>
    <cellStyle name="Followed Hyperlink" xfId="2486" builtinId="9" hidden="1"/>
    <cellStyle name="Followed Hyperlink" xfId="2487" builtinId="9" hidden="1"/>
    <cellStyle name="Followed Hyperlink" xfId="2488" builtinId="9" hidden="1"/>
    <cellStyle name="Followed Hyperlink" xfId="2489" builtinId="9" hidden="1"/>
    <cellStyle name="Followed Hyperlink" xfId="2490" builtinId="9" hidden="1"/>
    <cellStyle name="Followed Hyperlink" xfId="2491" builtinId="9" hidden="1"/>
    <cellStyle name="Followed Hyperlink" xfId="2492" builtinId="9" hidden="1"/>
    <cellStyle name="Followed Hyperlink" xfId="2493" builtinId="9" hidden="1"/>
    <cellStyle name="Followed Hyperlink" xfId="2494" builtinId="9" hidden="1"/>
    <cellStyle name="Followed Hyperlink" xfId="2495" builtinId="9" hidden="1"/>
    <cellStyle name="Followed Hyperlink" xfId="2496" builtinId="9" hidden="1"/>
    <cellStyle name="Followed Hyperlink" xfId="2497" builtinId="9" hidden="1"/>
    <cellStyle name="Followed Hyperlink" xfId="2498" builtinId="9" hidden="1"/>
    <cellStyle name="Followed Hyperlink" xfId="2499" builtinId="9" hidden="1"/>
    <cellStyle name="Followed Hyperlink" xfId="2500" builtinId="9" hidden="1"/>
    <cellStyle name="Followed Hyperlink" xfId="2501" builtinId="9" hidden="1"/>
    <cellStyle name="Followed Hyperlink" xfId="2502" builtinId="9" hidden="1"/>
    <cellStyle name="Followed Hyperlink" xfId="2503" builtinId="9" hidden="1"/>
    <cellStyle name="Followed Hyperlink" xfId="2504" builtinId="9" hidden="1"/>
    <cellStyle name="Followed Hyperlink" xfId="2505" builtinId="9" hidden="1"/>
    <cellStyle name="Followed Hyperlink" xfId="2506" builtinId="9" hidden="1"/>
    <cellStyle name="Followed Hyperlink" xfId="2507" builtinId="9" hidden="1"/>
    <cellStyle name="Followed Hyperlink" xfId="2508" builtinId="9" hidden="1"/>
    <cellStyle name="Followed Hyperlink" xfId="2509" builtinId="9" hidden="1"/>
    <cellStyle name="Followed Hyperlink" xfId="2510" builtinId="9" hidden="1"/>
    <cellStyle name="Followed Hyperlink" xfId="2511" builtinId="9" hidden="1"/>
    <cellStyle name="Followed Hyperlink" xfId="2512" builtinId="9" hidden="1"/>
    <cellStyle name="Followed Hyperlink" xfId="2513" builtinId="9" hidden="1"/>
    <cellStyle name="Followed Hyperlink" xfId="2514" builtinId="9" hidden="1"/>
    <cellStyle name="Followed Hyperlink" xfId="2515" builtinId="9" hidden="1"/>
    <cellStyle name="Followed Hyperlink" xfId="2516" builtinId="9" hidden="1"/>
    <cellStyle name="Followed Hyperlink" xfId="2517" builtinId="9" hidden="1"/>
    <cellStyle name="Followed Hyperlink" xfId="2518" builtinId="9" hidden="1"/>
    <cellStyle name="Followed Hyperlink" xfId="2519" builtinId="9" hidden="1"/>
    <cellStyle name="Followed Hyperlink" xfId="2520" builtinId="9" hidden="1"/>
    <cellStyle name="Followed Hyperlink" xfId="2521" builtinId="9" hidden="1"/>
    <cellStyle name="Followed Hyperlink" xfId="2522" builtinId="9" hidden="1"/>
    <cellStyle name="Followed Hyperlink" xfId="2523" builtinId="9" hidden="1"/>
    <cellStyle name="Followed Hyperlink" xfId="2524" builtinId="9" hidden="1"/>
    <cellStyle name="Followed Hyperlink" xfId="2525" builtinId="9" hidden="1"/>
    <cellStyle name="Followed Hyperlink" xfId="2526" builtinId="9" hidden="1"/>
    <cellStyle name="Followed Hyperlink" xfId="2527" builtinId="9" hidden="1"/>
    <cellStyle name="Followed Hyperlink" xfId="2528" builtinId="9" hidden="1"/>
    <cellStyle name="Followed Hyperlink" xfId="2529" builtinId="9" hidden="1"/>
    <cellStyle name="Followed Hyperlink" xfId="2530" builtinId="9" hidden="1"/>
    <cellStyle name="Followed Hyperlink" xfId="2531" builtinId="9" hidden="1"/>
    <cellStyle name="Followed Hyperlink" xfId="2532" builtinId="9" hidden="1"/>
    <cellStyle name="Followed Hyperlink" xfId="2533" builtinId="9" hidden="1"/>
    <cellStyle name="Followed Hyperlink" xfId="2534" builtinId="9" hidden="1"/>
    <cellStyle name="Followed Hyperlink" xfId="2535" builtinId="9" hidden="1"/>
    <cellStyle name="Followed Hyperlink" xfId="2536" builtinId="9" hidden="1"/>
    <cellStyle name="Followed Hyperlink" xfId="2537" builtinId="9" hidden="1"/>
    <cellStyle name="Followed Hyperlink" xfId="2538" builtinId="9" hidden="1"/>
    <cellStyle name="Followed Hyperlink" xfId="2539" builtinId="9" hidden="1"/>
    <cellStyle name="Followed Hyperlink" xfId="2540" builtinId="9" hidden="1"/>
    <cellStyle name="Followed Hyperlink" xfId="2541" builtinId="9" hidden="1"/>
    <cellStyle name="Followed Hyperlink" xfId="2542" builtinId="9" hidden="1"/>
    <cellStyle name="Followed Hyperlink" xfId="2543" builtinId="9" hidden="1"/>
    <cellStyle name="Followed Hyperlink" xfId="2544" builtinId="9" hidden="1"/>
    <cellStyle name="Followed Hyperlink" xfId="2545" builtinId="9" hidden="1"/>
    <cellStyle name="Followed Hyperlink" xfId="2546" builtinId="9" hidden="1"/>
    <cellStyle name="Followed Hyperlink" xfId="2547" builtinId="9" hidden="1"/>
    <cellStyle name="Followed Hyperlink" xfId="2548" builtinId="9" hidden="1"/>
    <cellStyle name="Followed Hyperlink" xfId="2549" builtinId="9" hidden="1"/>
    <cellStyle name="Followed Hyperlink" xfId="2550" builtinId="9" hidden="1"/>
    <cellStyle name="Followed Hyperlink" xfId="2551" builtinId="9" hidden="1"/>
    <cellStyle name="Followed Hyperlink" xfId="2552" builtinId="9" hidden="1"/>
    <cellStyle name="Followed Hyperlink" xfId="2553" builtinId="9" hidden="1"/>
    <cellStyle name="Followed Hyperlink" xfId="2554" builtinId="9" hidden="1"/>
    <cellStyle name="Followed Hyperlink" xfId="2555" builtinId="9" hidden="1"/>
    <cellStyle name="Followed Hyperlink" xfId="2556" builtinId="9" hidden="1"/>
    <cellStyle name="Followed Hyperlink" xfId="2557" builtinId="9" hidden="1"/>
    <cellStyle name="Followed Hyperlink" xfId="2558" builtinId="9" hidden="1"/>
    <cellStyle name="Followed Hyperlink" xfId="2559" builtinId="9" hidden="1"/>
    <cellStyle name="Followed Hyperlink" xfId="2560" builtinId="9" hidden="1"/>
    <cellStyle name="Followed Hyperlink" xfId="2561" builtinId="9" hidden="1"/>
    <cellStyle name="Followed Hyperlink" xfId="2562" builtinId="9" hidden="1"/>
    <cellStyle name="Followed Hyperlink" xfId="2563" builtinId="9" hidden="1"/>
    <cellStyle name="Followed Hyperlink" xfId="2564" builtinId="9" hidden="1"/>
    <cellStyle name="Followed Hyperlink" xfId="2565" builtinId="9" hidden="1"/>
    <cellStyle name="Followed Hyperlink" xfId="2566" builtinId="9" hidden="1"/>
    <cellStyle name="Followed Hyperlink" xfId="2567" builtinId="9" hidden="1"/>
    <cellStyle name="Followed Hyperlink" xfId="2568" builtinId="9" hidden="1"/>
    <cellStyle name="Followed Hyperlink" xfId="2569" builtinId="9" hidden="1"/>
    <cellStyle name="Followed Hyperlink" xfId="2570" builtinId="9" hidden="1"/>
    <cellStyle name="Followed Hyperlink" xfId="2571" builtinId="9" hidden="1"/>
    <cellStyle name="Followed Hyperlink" xfId="2572" builtinId="9" hidden="1"/>
    <cellStyle name="Followed Hyperlink" xfId="2573" builtinId="9" hidden="1"/>
    <cellStyle name="Followed Hyperlink" xfId="2574" builtinId="9" hidden="1"/>
    <cellStyle name="Followed Hyperlink" xfId="2575" builtinId="9" hidden="1"/>
    <cellStyle name="Followed Hyperlink" xfId="2576" builtinId="9" hidden="1"/>
    <cellStyle name="Followed Hyperlink" xfId="2577" builtinId="9" hidden="1"/>
    <cellStyle name="Followed Hyperlink" xfId="2578" builtinId="9" hidden="1"/>
    <cellStyle name="Followed Hyperlink" xfId="2579" builtinId="9" hidden="1"/>
    <cellStyle name="Followed Hyperlink" xfId="2580" builtinId="9" hidden="1"/>
    <cellStyle name="Followed Hyperlink" xfId="2581" builtinId="9" hidden="1"/>
    <cellStyle name="Followed Hyperlink" xfId="2582" builtinId="9" hidden="1"/>
    <cellStyle name="Followed Hyperlink" xfId="2583" builtinId="9" hidden="1"/>
    <cellStyle name="Followed Hyperlink" xfId="2584" builtinId="9" hidden="1"/>
    <cellStyle name="Followed Hyperlink" xfId="2585" builtinId="9" hidden="1"/>
    <cellStyle name="Followed Hyperlink" xfId="2586" builtinId="9" hidden="1"/>
    <cellStyle name="Followed Hyperlink" xfId="2587" builtinId="9" hidden="1"/>
    <cellStyle name="Followed Hyperlink" xfId="2588" builtinId="9" hidden="1"/>
    <cellStyle name="Followed Hyperlink" xfId="2589" builtinId="9" hidden="1"/>
    <cellStyle name="Followed Hyperlink" xfId="2590" builtinId="9" hidden="1"/>
    <cellStyle name="Followed Hyperlink" xfId="2591" builtinId="9" hidden="1"/>
    <cellStyle name="Followed Hyperlink" xfId="2592" builtinId="9" hidden="1"/>
    <cellStyle name="Followed Hyperlink" xfId="2593" builtinId="9" hidden="1"/>
    <cellStyle name="Followed Hyperlink" xfId="2594" builtinId="9" hidden="1"/>
    <cellStyle name="Followed Hyperlink" xfId="2595" builtinId="9" hidden="1"/>
    <cellStyle name="Followed Hyperlink" xfId="2596" builtinId="9" hidden="1"/>
    <cellStyle name="Followed Hyperlink" xfId="2597" builtinId="9" hidden="1"/>
    <cellStyle name="Followed Hyperlink" xfId="2598" builtinId="9" hidden="1"/>
    <cellStyle name="Followed Hyperlink" xfId="2599" builtinId="9" hidden="1"/>
    <cellStyle name="Followed Hyperlink" xfId="2600" builtinId="9" hidden="1"/>
    <cellStyle name="Followed Hyperlink" xfId="2601" builtinId="9" hidden="1"/>
    <cellStyle name="Followed Hyperlink" xfId="2602" builtinId="9" hidden="1"/>
    <cellStyle name="Followed Hyperlink" xfId="2603" builtinId="9" hidden="1"/>
    <cellStyle name="Followed Hyperlink" xfId="2604" builtinId="9" hidden="1"/>
    <cellStyle name="Followed Hyperlink" xfId="2605" builtinId="9" hidden="1"/>
    <cellStyle name="Followed Hyperlink" xfId="2606" builtinId="9" hidden="1"/>
    <cellStyle name="Followed Hyperlink" xfId="2607" builtinId="9" hidden="1"/>
    <cellStyle name="Followed Hyperlink" xfId="2608" builtinId="9" hidden="1"/>
    <cellStyle name="Followed Hyperlink" xfId="2609" builtinId="9" hidden="1"/>
    <cellStyle name="Followed Hyperlink" xfId="2610" builtinId="9" hidden="1"/>
    <cellStyle name="Followed Hyperlink" xfId="2611" builtinId="9" hidden="1"/>
    <cellStyle name="Followed Hyperlink" xfId="2612" builtinId="9" hidden="1"/>
    <cellStyle name="Followed Hyperlink" xfId="2613" builtinId="9" hidden="1"/>
    <cellStyle name="Followed Hyperlink" xfId="2614" builtinId="9" hidden="1"/>
    <cellStyle name="Followed Hyperlink" xfId="2615" builtinId="9" hidden="1"/>
    <cellStyle name="Followed Hyperlink" xfId="2616" builtinId="9" hidden="1"/>
    <cellStyle name="Followed Hyperlink" xfId="2617" builtinId="9" hidden="1"/>
    <cellStyle name="Followed Hyperlink" xfId="2618" builtinId="9" hidden="1"/>
    <cellStyle name="Followed Hyperlink" xfId="2619" builtinId="9" hidden="1"/>
    <cellStyle name="Followed Hyperlink" xfId="2620" builtinId="9" hidden="1"/>
    <cellStyle name="Followed Hyperlink" xfId="2621" builtinId="9" hidden="1"/>
    <cellStyle name="Followed Hyperlink" xfId="2622" builtinId="9" hidden="1"/>
    <cellStyle name="Followed Hyperlink" xfId="2623" builtinId="9" hidden="1"/>
    <cellStyle name="Followed Hyperlink" xfId="2624" builtinId="9" hidden="1"/>
    <cellStyle name="Followed Hyperlink" xfId="2625" builtinId="9" hidden="1"/>
    <cellStyle name="Followed Hyperlink" xfId="2626" builtinId="9" hidden="1"/>
    <cellStyle name="Followed Hyperlink" xfId="2627" builtinId="9" hidden="1"/>
    <cellStyle name="Followed Hyperlink" xfId="2628" builtinId="9" hidden="1"/>
    <cellStyle name="Followed Hyperlink" xfId="2629" builtinId="9" hidden="1"/>
    <cellStyle name="Followed Hyperlink" xfId="2630" builtinId="9" hidden="1"/>
    <cellStyle name="Followed Hyperlink" xfId="2631" builtinId="9" hidden="1"/>
    <cellStyle name="Followed Hyperlink" xfId="2632" builtinId="9" hidden="1"/>
    <cellStyle name="Followed Hyperlink" xfId="2633" builtinId="9" hidden="1"/>
    <cellStyle name="Followed Hyperlink" xfId="2634" builtinId="9" hidden="1"/>
    <cellStyle name="Followed Hyperlink" xfId="2635" builtinId="9" hidden="1"/>
    <cellStyle name="Followed Hyperlink" xfId="2636" builtinId="9" hidden="1"/>
    <cellStyle name="Followed Hyperlink" xfId="2637" builtinId="9" hidden="1"/>
    <cellStyle name="Followed Hyperlink" xfId="2638" builtinId="9" hidden="1"/>
    <cellStyle name="Followed Hyperlink" xfId="2639" builtinId="9" hidden="1"/>
    <cellStyle name="Followed Hyperlink" xfId="2640" builtinId="9" hidden="1"/>
    <cellStyle name="Followed Hyperlink" xfId="2641" builtinId="9" hidden="1"/>
    <cellStyle name="Followed Hyperlink" xfId="2642" builtinId="9" hidden="1"/>
    <cellStyle name="Followed Hyperlink" xfId="2643" builtinId="9" hidden="1"/>
    <cellStyle name="Followed Hyperlink" xfId="2644" builtinId="9" hidden="1"/>
    <cellStyle name="Followed Hyperlink" xfId="2645" builtinId="9" hidden="1"/>
    <cellStyle name="Followed Hyperlink" xfId="2646" builtinId="9" hidden="1"/>
    <cellStyle name="Followed Hyperlink" xfId="2647" builtinId="9" hidden="1"/>
    <cellStyle name="Followed Hyperlink" xfId="2648" builtinId="9" hidden="1"/>
    <cellStyle name="Followed Hyperlink" xfId="2649" builtinId="9" hidden="1"/>
    <cellStyle name="Followed Hyperlink" xfId="2650" builtinId="9" hidden="1"/>
    <cellStyle name="Followed Hyperlink" xfId="2651" builtinId="9" hidden="1"/>
    <cellStyle name="Followed Hyperlink" xfId="2652" builtinId="9" hidden="1"/>
    <cellStyle name="Followed Hyperlink" xfId="2653" builtinId="9" hidden="1"/>
    <cellStyle name="Followed Hyperlink" xfId="2654" builtinId="9" hidden="1"/>
    <cellStyle name="Followed Hyperlink" xfId="2655" builtinId="9" hidden="1"/>
    <cellStyle name="Followed Hyperlink" xfId="2656" builtinId="9" hidden="1"/>
    <cellStyle name="Followed Hyperlink" xfId="2657" builtinId="9" hidden="1"/>
    <cellStyle name="Followed Hyperlink" xfId="2658" builtinId="9" hidden="1"/>
    <cellStyle name="Followed Hyperlink" xfId="2659" builtinId="9" hidden="1"/>
    <cellStyle name="Followed Hyperlink" xfId="2660" builtinId="9" hidden="1"/>
    <cellStyle name="Followed Hyperlink" xfId="2661" builtinId="9" hidden="1"/>
    <cellStyle name="Followed Hyperlink" xfId="2662" builtinId="9" hidden="1"/>
    <cellStyle name="Followed Hyperlink" xfId="2663" builtinId="9" hidden="1"/>
    <cellStyle name="Followed Hyperlink" xfId="2664" builtinId="9" hidden="1"/>
    <cellStyle name="Followed Hyperlink" xfId="2665" builtinId="9" hidden="1"/>
    <cellStyle name="Followed Hyperlink" xfId="2666" builtinId="9" hidden="1"/>
    <cellStyle name="Followed Hyperlink" xfId="2667" builtinId="9" hidden="1"/>
    <cellStyle name="Followed Hyperlink" xfId="2668" builtinId="9" hidden="1"/>
    <cellStyle name="Followed Hyperlink" xfId="2669" builtinId="9" hidden="1"/>
    <cellStyle name="Followed Hyperlink" xfId="2670" builtinId="9" hidden="1"/>
    <cellStyle name="Followed Hyperlink" xfId="2671" builtinId="9" hidden="1"/>
    <cellStyle name="Followed Hyperlink" xfId="2672" builtinId="9" hidden="1"/>
    <cellStyle name="Followed Hyperlink" xfId="2673" builtinId="9" hidden="1"/>
    <cellStyle name="Followed Hyperlink" xfId="2674" builtinId="9" hidden="1"/>
    <cellStyle name="Followed Hyperlink" xfId="2675" builtinId="9" hidden="1"/>
    <cellStyle name="Followed Hyperlink" xfId="2676" builtinId="9" hidden="1"/>
    <cellStyle name="Followed Hyperlink" xfId="2677" builtinId="9" hidden="1"/>
    <cellStyle name="Followed Hyperlink" xfId="2678" builtinId="9" hidden="1"/>
    <cellStyle name="Followed Hyperlink" xfId="2679" builtinId="9" hidden="1"/>
    <cellStyle name="Followed Hyperlink" xfId="2680" builtinId="9" hidden="1"/>
    <cellStyle name="Followed Hyperlink" xfId="2681" builtinId="9" hidden="1"/>
    <cellStyle name="Followed Hyperlink" xfId="2682" builtinId="9" hidden="1"/>
    <cellStyle name="Followed Hyperlink" xfId="2683" builtinId="9" hidden="1"/>
    <cellStyle name="Followed Hyperlink" xfId="2684" builtinId="9" hidden="1"/>
    <cellStyle name="Followed Hyperlink" xfId="2685" builtinId="9" hidden="1"/>
    <cellStyle name="Followed Hyperlink" xfId="2686" builtinId="9" hidden="1"/>
    <cellStyle name="Followed Hyperlink" xfId="2687" builtinId="9" hidden="1"/>
    <cellStyle name="Followed Hyperlink" xfId="2688" builtinId="9" hidden="1"/>
    <cellStyle name="Followed Hyperlink" xfId="2689" builtinId="9" hidden="1"/>
    <cellStyle name="Followed Hyperlink" xfId="2690" builtinId="9" hidden="1"/>
    <cellStyle name="Followed Hyperlink" xfId="2691" builtinId="9" hidden="1"/>
    <cellStyle name="Followed Hyperlink" xfId="2692" builtinId="9" hidden="1"/>
    <cellStyle name="Followed Hyperlink" xfId="2693" builtinId="9" hidden="1"/>
    <cellStyle name="Followed Hyperlink" xfId="2694" builtinId="9" hidden="1"/>
    <cellStyle name="Followed Hyperlink" xfId="2695" builtinId="9" hidden="1"/>
    <cellStyle name="Followed Hyperlink" xfId="2696" builtinId="9" hidden="1"/>
    <cellStyle name="Followed Hyperlink" xfId="2697" builtinId="9" hidden="1"/>
    <cellStyle name="Followed Hyperlink" xfId="2698" builtinId="9" hidden="1"/>
    <cellStyle name="Followed Hyperlink" xfId="2699" builtinId="9" hidden="1"/>
    <cellStyle name="Followed Hyperlink" xfId="2700" builtinId="9" hidden="1"/>
    <cellStyle name="Followed Hyperlink" xfId="2701" builtinId="9" hidden="1"/>
    <cellStyle name="Followed Hyperlink" xfId="2702" builtinId="9" hidden="1"/>
    <cellStyle name="Followed Hyperlink" xfId="2703" builtinId="9" hidden="1"/>
    <cellStyle name="Followed Hyperlink" xfId="2704" builtinId="9" hidden="1"/>
    <cellStyle name="Followed Hyperlink" xfId="2705" builtinId="9" hidden="1"/>
    <cellStyle name="Followed Hyperlink" xfId="2706" builtinId="9" hidden="1"/>
    <cellStyle name="Followed Hyperlink" xfId="2707" builtinId="9" hidden="1"/>
    <cellStyle name="Followed Hyperlink" xfId="2708" builtinId="9" hidden="1"/>
    <cellStyle name="Followed Hyperlink" xfId="2709" builtinId="9" hidden="1"/>
    <cellStyle name="Followed Hyperlink" xfId="2710" builtinId="9" hidden="1"/>
    <cellStyle name="Followed Hyperlink" xfId="2711" builtinId="9" hidden="1"/>
    <cellStyle name="Followed Hyperlink" xfId="2712" builtinId="9" hidden="1"/>
    <cellStyle name="Followed Hyperlink" xfId="2713" builtinId="9" hidden="1"/>
    <cellStyle name="Followed Hyperlink" xfId="2714" builtinId="9" hidden="1"/>
    <cellStyle name="Followed Hyperlink" xfId="2715" builtinId="9" hidden="1"/>
    <cellStyle name="Followed Hyperlink" xfId="2716" builtinId="9" hidden="1"/>
    <cellStyle name="Followed Hyperlink" xfId="2717" builtinId="9" hidden="1"/>
    <cellStyle name="Followed Hyperlink" xfId="2718" builtinId="9" hidden="1"/>
    <cellStyle name="Followed Hyperlink" xfId="2719" builtinId="9" hidden="1"/>
    <cellStyle name="Followed Hyperlink" xfId="2720" builtinId="9" hidden="1"/>
    <cellStyle name="Followed Hyperlink" xfId="2721" builtinId="9" hidden="1"/>
    <cellStyle name="Followed Hyperlink" xfId="2722" builtinId="9" hidden="1"/>
    <cellStyle name="Followed Hyperlink" xfId="2723" builtinId="9" hidden="1"/>
    <cellStyle name="Followed Hyperlink" xfId="2724" builtinId="9" hidden="1"/>
    <cellStyle name="Followed Hyperlink" xfId="2725" builtinId="9" hidden="1"/>
    <cellStyle name="Followed Hyperlink" xfId="2726" builtinId="9" hidden="1"/>
    <cellStyle name="Followed Hyperlink" xfId="2727" builtinId="9" hidden="1"/>
    <cellStyle name="Followed Hyperlink" xfId="2728" builtinId="9" hidden="1"/>
    <cellStyle name="Followed Hyperlink" xfId="2729" builtinId="9" hidden="1"/>
    <cellStyle name="Followed Hyperlink" xfId="2730" builtinId="9" hidden="1"/>
    <cellStyle name="Followed Hyperlink" xfId="2731" builtinId="9" hidden="1"/>
    <cellStyle name="Followed Hyperlink" xfId="2732" builtinId="9" hidden="1"/>
    <cellStyle name="Followed Hyperlink" xfId="2733" builtinId="9" hidden="1"/>
    <cellStyle name="Followed Hyperlink" xfId="2734" builtinId="9" hidden="1"/>
    <cellStyle name="Followed Hyperlink" xfId="2735" builtinId="9" hidden="1"/>
    <cellStyle name="Followed Hyperlink" xfId="2736" builtinId="9" hidden="1"/>
    <cellStyle name="Followed Hyperlink" xfId="2737" builtinId="9" hidden="1"/>
    <cellStyle name="Followed Hyperlink" xfId="2738" builtinId="9" hidden="1"/>
    <cellStyle name="Followed Hyperlink" xfId="2739" builtinId="9" hidden="1"/>
    <cellStyle name="Followed Hyperlink" xfId="2740" builtinId="9" hidden="1"/>
    <cellStyle name="Followed Hyperlink" xfId="2741" builtinId="9" hidden="1"/>
    <cellStyle name="Followed Hyperlink" xfId="2742" builtinId="9" hidden="1"/>
    <cellStyle name="Followed Hyperlink" xfId="2743" builtinId="9" hidden="1"/>
    <cellStyle name="Followed Hyperlink" xfId="2744" builtinId="9" hidden="1"/>
    <cellStyle name="Followed Hyperlink" xfId="2745" builtinId="9" hidden="1"/>
    <cellStyle name="Followed Hyperlink" xfId="2746" builtinId="9" hidden="1"/>
    <cellStyle name="Followed Hyperlink" xfId="2747" builtinId="9" hidden="1"/>
    <cellStyle name="Followed Hyperlink" xfId="2748" builtinId="9" hidden="1"/>
    <cellStyle name="Followed Hyperlink" xfId="2749" builtinId="9" hidden="1"/>
    <cellStyle name="Followed Hyperlink" xfId="2750" builtinId="9" hidden="1"/>
    <cellStyle name="Followed Hyperlink" xfId="2751" builtinId="9" hidden="1"/>
    <cellStyle name="Followed Hyperlink" xfId="2752" builtinId="9" hidden="1"/>
    <cellStyle name="Followed Hyperlink" xfId="2753" builtinId="9" hidden="1"/>
    <cellStyle name="Followed Hyperlink" xfId="2754" builtinId="9" hidden="1"/>
    <cellStyle name="Followed Hyperlink" xfId="2755" builtinId="9" hidden="1"/>
    <cellStyle name="Followed Hyperlink" xfId="2756" builtinId="9" hidden="1"/>
    <cellStyle name="Followed Hyperlink" xfId="2757" builtinId="9" hidden="1"/>
    <cellStyle name="Followed Hyperlink" xfId="2758" builtinId="9" hidden="1"/>
    <cellStyle name="Followed Hyperlink" xfId="2759" builtinId="9" hidden="1"/>
    <cellStyle name="Followed Hyperlink" xfId="2760" builtinId="9" hidden="1"/>
    <cellStyle name="Followed Hyperlink" xfId="2761" builtinId="9" hidden="1"/>
    <cellStyle name="Followed Hyperlink" xfId="2762" builtinId="9" hidden="1"/>
    <cellStyle name="Followed Hyperlink" xfId="2763" builtinId="9" hidden="1"/>
    <cellStyle name="Followed Hyperlink" xfId="2764" builtinId="9" hidden="1"/>
    <cellStyle name="Followed Hyperlink" xfId="2765" builtinId="9" hidden="1"/>
    <cellStyle name="Followed Hyperlink" xfId="2766" builtinId="9" hidden="1"/>
    <cellStyle name="Followed Hyperlink" xfId="2767" builtinId="9" hidden="1"/>
    <cellStyle name="Followed Hyperlink" xfId="2768" builtinId="9" hidden="1"/>
    <cellStyle name="Followed Hyperlink" xfId="2769" builtinId="9" hidden="1"/>
    <cellStyle name="Followed Hyperlink" xfId="2770" builtinId="9" hidden="1"/>
    <cellStyle name="Followed Hyperlink" xfId="2771" builtinId="9" hidden="1"/>
    <cellStyle name="Followed Hyperlink" xfId="2772" builtinId="9" hidden="1"/>
    <cellStyle name="Followed Hyperlink" xfId="2773" builtinId="9" hidden="1"/>
    <cellStyle name="Followed Hyperlink" xfId="2774" builtinId="9" hidden="1"/>
    <cellStyle name="Followed Hyperlink" xfId="2775" builtinId="9" hidden="1"/>
    <cellStyle name="Followed Hyperlink" xfId="2776" builtinId="9" hidden="1"/>
    <cellStyle name="Followed Hyperlink" xfId="2777" builtinId="9" hidden="1"/>
    <cellStyle name="Followed Hyperlink" xfId="2778" builtinId="9" hidden="1"/>
    <cellStyle name="Followed Hyperlink" xfId="2779" builtinId="9" hidden="1"/>
    <cellStyle name="Followed Hyperlink" xfId="2780" builtinId="9" hidden="1"/>
    <cellStyle name="Followed Hyperlink" xfId="2781" builtinId="9" hidden="1"/>
    <cellStyle name="Followed Hyperlink" xfId="2782" builtinId="9" hidden="1"/>
    <cellStyle name="Followed Hyperlink" xfId="2784" builtinId="9" hidden="1"/>
    <cellStyle name="Followed Hyperlink" xfId="2786" builtinId="9" hidden="1"/>
    <cellStyle name="Followed Hyperlink" xfId="2788" builtinId="9" hidden="1"/>
    <cellStyle name="Followed Hyperlink" xfId="2790" builtinId="9" hidden="1"/>
    <cellStyle name="Followed Hyperlink" xfId="2792" builtinId="9" hidden="1"/>
    <cellStyle name="Followed Hyperlink" xfId="2794" builtinId="9" hidden="1"/>
    <cellStyle name="Followed Hyperlink" xfId="2796" builtinId="9" hidden="1"/>
    <cellStyle name="Followed Hyperlink" xfId="2798" builtinId="9" hidden="1"/>
    <cellStyle name="Followed Hyperlink" xfId="2800" builtinId="9" hidden="1"/>
    <cellStyle name="Followed Hyperlink" xfId="2802" builtinId="9" hidden="1"/>
    <cellStyle name="Followed Hyperlink" xfId="2804" builtinId="9" hidden="1"/>
    <cellStyle name="Followed Hyperlink" xfId="2806" builtinId="9" hidden="1"/>
    <cellStyle name="Followed Hyperlink" xfId="2808" builtinId="9" hidden="1"/>
    <cellStyle name="Followed Hyperlink" xfId="2810" builtinId="9" hidden="1"/>
    <cellStyle name="Followed Hyperlink" xfId="2812" builtinId="9" hidden="1"/>
    <cellStyle name="Followed Hyperlink" xfId="2814" builtinId="9" hidden="1"/>
    <cellStyle name="Followed Hyperlink" xfId="2816" builtinId="9" hidden="1"/>
    <cellStyle name="Followed Hyperlink" xfId="2818" builtinId="9" hidden="1"/>
    <cellStyle name="Followed Hyperlink" xfId="2820" builtinId="9" hidden="1"/>
    <cellStyle name="Followed Hyperlink" xfId="2822" builtinId="9" hidden="1"/>
    <cellStyle name="Followed Hyperlink" xfId="2824" builtinId="9" hidden="1"/>
    <cellStyle name="Followed Hyperlink" xfId="2826" builtinId="9" hidden="1"/>
    <cellStyle name="Followed Hyperlink" xfId="2828" builtinId="9" hidden="1"/>
    <cellStyle name="Followed Hyperlink" xfId="2830" builtinId="9" hidden="1"/>
    <cellStyle name="Followed Hyperlink" xfId="2832" builtinId="9" hidden="1"/>
    <cellStyle name="Followed Hyperlink" xfId="2834" builtinId="9" hidden="1"/>
    <cellStyle name="Followed Hyperlink" xfId="2836" builtinId="9" hidden="1"/>
    <cellStyle name="Followed Hyperlink" xfId="2838" builtinId="9" hidden="1"/>
    <cellStyle name="Followed Hyperlink" xfId="2840" builtinId="9" hidden="1"/>
    <cellStyle name="Followed Hyperlink" xfId="2842" builtinId="9" hidden="1"/>
    <cellStyle name="Followed Hyperlink" xfId="2844" builtinId="9" hidden="1"/>
    <cellStyle name="Followed Hyperlink" xfId="2846" builtinId="9" hidden="1"/>
    <cellStyle name="Followed Hyperlink" xfId="2848" builtinId="9" hidden="1"/>
    <cellStyle name="Followed Hyperlink" xfId="2850" builtinId="9" hidden="1"/>
    <cellStyle name="Followed Hyperlink" xfId="2852" builtinId="9" hidden="1"/>
    <cellStyle name="Followed Hyperlink" xfId="2854" builtinId="9" hidden="1"/>
    <cellStyle name="Followed Hyperlink" xfId="2856" builtinId="9" hidden="1"/>
    <cellStyle name="Followed Hyperlink" xfId="2858" builtinId="9" hidden="1"/>
    <cellStyle name="Followed Hyperlink" xfId="2860" builtinId="9" hidden="1"/>
    <cellStyle name="Followed Hyperlink" xfId="2862" builtinId="9" hidden="1"/>
    <cellStyle name="Followed Hyperlink" xfId="2864" builtinId="9" hidden="1"/>
    <cellStyle name="Followed Hyperlink" xfId="2866" builtinId="9" hidden="1"/>
    <cellStyle name="Followed Hyperlink" xfId="2868" builtinId="9" hidden="1"/>
    <cellStyle name="Followed Hyperlink" xfId="2870" builtinId="9" hidden="1"/>
    <cellStyle name="Followed Hyperlink" xfId="2872" builtinId="9" hidden="1"/>
    <cellStyle name="Followed Hyperlink" xfId="2874" builtinId="9" hidden="1"/>
    <cellStyle name="Followed Hyperlink" xfId="2876" builtinId="9" hidden="1"/>
    <cellStyle name="Followed Hyperlink" xfId="2878" builtinId="9" hidden="1"/>
    <cellStyle name="Followed Hyperlink" xfId="2880" builtinId="9" hidden="1"/>
    <cellStyle name="Followed Hyperlink" xfId="2882" builtinId="9" hidden="1"/>
    <cellStyle name="Followed Hyperlink" xfId="2884" builtinId="9" hidden="1"/>
    <cellStyle name="Followed Hyperlink" xfId="2886" builtinId="9" hidden="1"/>
    <cellStyle name="Followed Hyperlink" xfId="2888" builtinId="9" hidden="1"/>
    <cellStyle name="Followed Hyperlink" xfId="2890" builtinId="9" hidden="1"/>
    <cellStyle name="Followed Hyperlink" xfId="2892"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28" builtinId="9" hidden="1"/>
    <cellStyle name="Followed Hyperlink" xfId="2930" builtinId="9" hidden="1"/>
    <cellStyle name="Followed Hyperlink" xfId="2932"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48" builtinId="9" hidden="1"/>
    <cellStyle name="Followed Hyperlink" xfId="2950" builtinId="9" hidden="1"/>
    <cellStyle name="Followed Hyperlink" xfId="2952" builtinId="9" hidden="1"/>
    <cellStyle name="Followed Hyperlink" xfId="2954" builtinId="9" hidden="1"/>
    <cellStyle name="Followed Hyperlink" xfId="2956" builtinId="9" hidden="1"/>
    <cellStyle name="Followed Hyperlink" xfId="2958" builtinId="9" hidden="1"/>
    <cellStyle name="Followed Hyperlink" xfId="2960" builtinId="9" hidden="1"/>
    <cellStyle name="Followed Hyperlink" xfId="2962" builtinId="9" hidden="1"/>
    <cellStyle name="Followed Hyperlink" xfId="2964" builtinId="9" hidden="1"/>
    <cellStyle name="Followed Hyperlink" xfId="2966" builtinId="9" hidden="1"/>
    <cellStyle name="Followed Hyperlink" xfId="2968" builtinId="9" hidden="1"/>
    <cellStyle name="Followed Hyperlink" xfId="2970" builtinId="9" hidden="1"/>
    <cellStyle name="Followed Hyperlink" xfId="2972" builtinId="9" hidden="1"/>
    <cellStyle name="Followed Hyperlink" xfId="2974" builtinId="9" hidden="1"/>
    <cellStyle name="Followed Hyperlink" xfId="2976" builtinId="9" hidden="1"/>
    <cellStyle name="Followed Hyperlink" xfId="2978" builtinId="9" hidden="1"/>
    <cellStyle name="Followed Hyperlink" xfId="2980" builtinId="9" hidden="1"/>
    <cellStyle name="Followed Hyperlink" xfId="2982" builtinId="9" hidden="1"/>
    <cellStyle name="Followed Hyperlink" xfId="2984" builtinId="9" hidden="1"/>
    <cellStyle name="Followed Hyperlink" xfId="2986" builtinId="9" hidden="1"/>
    <cellStyle name="Followed Hyperlink" xfId="2988" builtinId="9" hidden="1"/>
    <cellStyle name="Followed Hyperlink" xfId="2990" builtinId="9" hidden="1"/>
    <cellStyle name="Followed Hyperlink" xfId="2992" builtinId="9" hidden="1"/>
    <cellStyle name="Followed Hyperlink" xfId="2994" builtinId="9" hidden="1"/>
    <cellStyle name="Followed Hyperlink" xfId="2996" builtinId="9" hidden="1"/>
    <cellStyle name="Followed Hyperlink" xfId="2998" builtinId="9" hidden="1"/>
    <cellStyle name="Followed Hyperlink" xfId="3000" builtinId="9" hidden="1"/>
    <cellStyle name="Followed Hyperlink" xfId="3003" builtinId="9" hidden="1"/>
    <cellStyle name="Followed Hyperlink" xfId="300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2783" builtinId="8" hidden="1"/>
    <cellStyle name="Hyperlink" xfId="2785" builtinId="8" hidden="1"/>
    <cellStyle name="Hyperlink" xfId="2787" builtinId="8" hidden="1"/>
    <cellStyle name="Hyperlink" xfId="2789" builtinId="8" hidden="1"/>
    <cellStyle name="Hyperlink" xfId="2791" builtinId="8" hidden="1"/>
    <cellStyle name="Hyperlink" xfId="2793" builtinId="8" hidden="1"/>
    <cellStyle name="Hyperlink" xfId="2795" builtinId="8" hidden="1"/>
    <cellStyle name="Hyperlink" xfId="2797" builtinId="8" hidden="1"/>
    <cellStyle name="Hyperlink" xfId="2799" builtinId="8" hidden="1"/>
    <cellStyle name="Hyperlink" xfId="2801" builtinId="8" hidden="1"/>
    <cellStyle name="Hyperlink" xfId="2803" builtinId="8" hidden="1"/>
    <cellStyle name="Hyperlink" xfId="2805" builtinId="8" hidden="1"/>
    <cellStyle name="Hyperlink" xfId="2807" builtinId="8" hidden="1"/>
    <cellStyle name="Hyperlink" xfId="2809" builtinId="8" hidden="1"/>
    <cellStyle name="Hyperlink" xfId="2811" builtinId="8" hidden="1"/>
    <cellStyle name="Hyperlink" xfId="2813" builtinId="8" hidden="1"/>
    <cellStyle name="Hyperlink" xfId="2815" builtinId="8" hidden="1"/>
    <cellStyle name="Hyperlink" xfId="2817" builtinId="8" hidden="1"/>
    <cellStyle name="Hyperlink" xfId="2819" builtinId="8" hidden="1"/>
    <cellStyle name="Hyperlink" xfId="2821" builtinId="8" hidden="1"/>
    <cellStyle name="Hyperlink" xfId="2823" builtinId="8" hidden="1"/>
    <cellStyle name="Hyperlink" xfId="2825" builtinId="8" hidden="1"/>
    <cellStyle name="Hyperlink" xfId="2827" builtinId="8" hidden="1"/>
    <cellStyle name="Hyperlink" xfId="2829" builtinId="8" hidden="1"/>
    <cellStyle name="Hyperlink" xfId="2831" builtinId="8" hidden="1"/>
    <cellStyle name="Hyperlink" xfId="2833" builtinId="8" hidden="1"/>
    <cellStyle name="Hyperlink" xfId="2835" builtinId="8" hidden="1"/>
    <cellStyle name="Hyperlink" xfId="2837" builtinId="8" hidden="1"/>
    <cellStyle name="Hyperlink" xfId="2839" builtinId="8" hidden="1"/>
    <cellStyle name="Hyperlink" xfId="2841" builtinId="8" hidden="1"/>
    <cellStyle name="Hyperlink" xfId="2843" builtinId="8" hidden="1"/>
    <cellStyle name="Hyperlink" xfId="2845" builtinId="8" hidden="1"/>
    <cellStyle name="Hyperlink" xfId="2847" builtinId="8" hidden="1"/>
    <cellStyle name="Hyperlink" xfId="2849" builtinId="8" hidden="1"/>
    <cellStyle name="Hyperlink" xfId="2851" builtinId="8" hidden="1"/>
    <cellStyle name="Hyperlink" xfId="2853" builtinId="8" hidden="1"/>
    <cellStyle name="Hyperlink" xfId="2855" builtinId="8" hidden="1"/>
    <cellStyle name="Hyperlink" xfId="2857" builtinId="8" hidden="1"/>
    <cellStyle name="Hyperlink" xfId="2859" builtinId="8" hidden="1"/>
    <cellStyle name="Hyperlink" xfId="2861" builtinId="8" hidden="1"/>
    <cellStyle name="Hyperlink" xfId="2863" builtinId="8" hidden="1"/>
    <cellStyle name="Hyperlink" xfId="2865" builtinId="8" hidden="1"/>
    <cellStyle name="Hyperlink" xfId="2867" builtinId="8" hidden="1"/>
    <cellStyle name="Hyperlink" xfId="2869" builtinId="8" hidden="1"/>
    <cellStyle name="Hyperlink" xfId="2871" builtinId="8" hidden="1"/>
    <cellStyle name="Hyperlink" xfId="2873" builtinId="8" hidden="1"/>
    <cellStyle name="Hyperlink" xfId="2875" builtinId="8" hidden="1"/>
    <cellStyle name="Hyperlink" xfId="2877" builtinId="8" hidden="1"/>
    <cellStyle name="Hyperlink" xfId="2879" builtinId="8" hidden="1"/>
    <cellStyle name="Hyperlink" xfId="2881" builtinId="8" hidden="1"/>
    <cellStyle name="Hyperlink" xfId="2883" builtinId="8" hidden="1"/>
    <cellStyle name="Hyperlink" xfId="2885" builtinId="8" hidden="1"/>
    <cellStyle name="Hyperlink" xfId="2887" builtinId="8" hidden="1"/>
    <cellStyle name="Hyperlink" xfId="2889" builtinId="8" hidden="1"/>
    <cellStyle name="Hyperlink" xfId="2891" builtinId="8" hidden="1"/>
    <cellStyle name="Hyperlink" xfId="2893" builtinId="8" hidden="1"/>
    <cellStyle name="Hyperlink" xfId="2895" builtinId="8" hidden="1"/>
    <cellStyle name="Hyperlink" xfId="2897" builtinId="8" hidden="1"/>
    <cellStyle name="Hyperlink" xfId="2899" builtinId="8" hidden="1"/>
    <cellStyle name="Hyperlink" xfId="2901" builtinId="8" hidden="1"/>
    <cellStyle name="Hyperlink" xfId="2903" builtinId="8" hidden="1"/>
    <cellStyle name="Hyperlink" xfId="2905" builtinId="8" hidden="1"/>
    <cellStyle name="Hyperlink" xfId="2907" builtinId="8" hidden="1"/>
    <cellStyle name="Hyperlink" xfId="2909" builtinId="8" hidden="1"/>
    <cellStyle name="Hyperlink" xfId="2911" builtinId="8" hidden="1"/>
    <cellStyle name="Hyperlink" xfId="2913" builtinId="8" hidden="1"/>
    <cellStyle name="Hyperlink" xfId="2915" builtinId="8" hidden="1"/>
    <cellStyle name="Hyperlink" xfId="2917" builtinId="8" hidden="1"/>
    <cellStyle name="Hyperlink" xfId="2919" builtinId="8" hidden="1"/>
    <cellStyle name="Hyperlink" xfId="2921" builtinId="8" hidden="1"/>
    <cellStyle name="Hyperlink" xfId="2923" builtinId="8" hidden="1"/>
    <cellStyle name="Hyperlink" xfId="2925" builtinId="8" hidden="1"/>
    <cellStyle name="Hyperlink" xfId="2927" builtinId="8" hidden="1"/>
    <cellStyle name="Hyperlink" xfId="2929" builtinId="8" hidden="1"/>
    <cellStyle name="Hyperlink" xfId="2931" builtinId="8" hidden="1"/>
    <cellStyle name="Hyperlink" xfId="2933" builtinId="8" hidden="1"/>
    <cellStyle name="Hyperlink" xfId="2935" builtinId="8" hidden="1"/>
    <cellStyle name="Hyperlink" xfId="2937" builtinId="8" hidden="1"/>
    <cellStyle name="Hyperlink" xfId="2939" builtinId="8" hidden="1"/>
    <cellStyle name="Hyperlink" xfId="2941" builtinId="8" hidden="1"/>
    <cellStyle name="Hyperlink" xfId="2943" builtinId="8" hidden="1"/>
    <cellStyle name="Hyperlink" xfId="2945" builtinId="8" hidden="1"/>
    <cellStyle name="Hyperlink" xfId="2947" builtinId="8" hidden="1"/>
    <cellStyle name="Hyperlink" xfId="2949" builtinId="8" hidden="1"/>
    <cellStyle name="Hyperlink" xfId="2951" builtinId="8" hidden="1"/>
    <cellStyle name="Hyperlink" xfId="2953" builtinId="8" hidden="1"/>
    <cellStyle name="Hyperlink" xfId="2955" builtinId="8" hidden="1"/>
    <cellStyle name="Hyperlink" xfId="2957" builtinId="8" hidden="1"/>
    <cellStyle name="Hyperlink" xfId="2959" builtinId="8" hidden="1"/>
    <cellStyle name="Hyperlink" xfId="2961" builtinId="8" hidden="1"/>
    <cellStyle name="Hyperlink" xfId="2963" builtinId="8" hidden="1"/>
    <cellStyle name="Hyperlink" xfId="2965" builtinId="8" hidden="1"/>
    <cellStyle name="Hyperlink" xfId="2967" builtinId="8" hidden="1"/>
    <cellStyle name="Hyperlink" xfId="2969" builtinId="8" hidden="1"/>
    <cellStyle name="Hyperlink" xfId="2971" builtinId="8" hidden="1"/>
    <cellStyle name="Hyperlink" xfId="2973" builtinId="8" hidden="1"/>
    <cellStyle name="Hyperlink" xfId="2975" builtinId="8" hidden="1"/>
    <cellStyle name="Hyperlink" xfId="2977" builtinId="8" hidden="1"/>
    <cellStyle name="Hyperlink" xfId="2979" builtinId="8" hidden="1"/>
    <cellStyle name="Hyperlink" xfId="2981" builtinId="8" hidden="1"/>
    <cellStyle name="Hyperlink" xfId="2983" builtinId="8" hidden="1"/>
    <cellStyle name="Hyperlink" xfId="2985" builtinId="8" hidden="1"/>
    <cellStyle name="Hyperlink" xfId="2987" builtinId="8" hidden="1"/>
    <cellStyle name="Hyperlink" xfId="2989" builtinId="8" hidden="1"/>
    <cellStyle name="Hyperlink" xfId="2991" builtinId="8" hidden="1"/>
    <cellStyle name="Hyperlink" xfId="2993" builtinId="8" hidden="1"/>
    <cellStyle name="Hyperlink" xfId="2995" builtinId="8" hidden="1"/>
    <cellStyle name="Hyperlink" xfId="2997" builtinId="8" hidden="1"/>
    <cellStyle name="Hyperlink" xfId="2999" builtinId="8" hidden="1"/>
    <cellStyle name="Hyperlink" xfId="3001" builtinId="8"/>
    <cellStyle name="Normal" xfId="0" builtinId="0"/>
  </cellStyles>
  <dxfs count="8">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pieChart>
        <c:varyColors val="1"/>
        <c:ser>
          <c:idx val="0"/>
          <c:order val="0"/>
          <c:tx>
            <c:strRef>
              <c:f>'Table B. Summary'!$O$67</c:f>
              <c:strCache>
                <c:ptCount val="1"/>
              </c:strCache>
            </c:strRef>
          </c:tx>
          <c:spPr>
            <a:effectLst/>
          </c:spPr>
          <c:cat>
            <c:strRef>
              <c:f>'Table B. Summary'!$K$68:$K$73</c:f>
              <c:strCache>
                <c:ptCount val="6"/>
                <c:pt idx="0">
                  <c:v>Stationary energy</c:v>
                </c:pt>
                <c:pt idx="1">
                  <c:v>Transportation</c:v>
                </c:pt>
                <c:pt idx="2">
                  <c:v>Waste</c:v>
                </c:pt>
                <c:pt idx="3">
                  <c:v>IPPU</c:v>
                </c:pt>
                <c:pt idx="4">
                  <c:v>AFOLU</c:v>
                </c:pt>
                <c:pt idx="5">
                  <c:v>Other scope 3</c:v>
                </c:pt>
              </c:strCache>
            </c:strRef>
          </c:cat>
          <c:val>
            <c:numRef>
              <c:f>'Table B. Summary'!$O$68:$O$73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F59-442F-923D-560009C042FD}"/>
            </c:ext>
          </c:extLst>
        </c:ser>
        <c:ser>
          <c:idx val="1"/>
          <c:order val="1"/>
          <c:tx>
            <c:strRef>
              <c:f>'Table B. Summary'!$M$67</c:f>
              <c:strCache>
                <c:ptCount val="1"/>
                <c:pt idx="0">
                  <c:v>14067000 mtCO2e</c:v>
                </c:pt>
              </c:strCache>
            </c:strRef>
          </c:tx>
          <c:cat>
            <c:strRef>
              <c:f>'Table B. Summary'!$K$68:$K$73</c:f>
              <c:strCache>
                <c:ptCount val="6"/>
                <c:pt idx="0">
                  <c:v>Stationary energy</c:v>
                </c:pt>
                <c:pt idx="1">
                  <c:v>Transportation</c:v>
                </c:pt>
                <c:pt idx="2">
                  <c:v>Waste</c:v>
                </c:pt>
                <c:pt idx="3">
                  <c:v>IPPU</c:v>
                </c:pt>
                <c:pt idx="4">
                  <c:v>AFOLU</c:v>
                </c:pt>
                <c:pt idx="5">
                  <c:v>Other scope 3</c:v>
                </c:pt>
              </c:strCache>
            </c:strRef>
          </c:cat>
          <c:val>
            <c:numRef>
              <c:f>'Table B. Summary'!$M$68:$M$73</c:f>
              <c:numCache>
                <c:formatCode>#,##0</c:formatCode>
                <c:ptCount val="6"/>
                <c:pt idx="0">
                  <c:v>8176887.5185669111</c:v>
                </c:pt>
                <c:pt idx="1">
                  <c:v>4108360.9483637181</c:v>
                </c:pt>
                <c:pt idx="2">
                  <c:v>1781612.0262634505</c:v>
                </c:pt>
                <c:pt idx="3">
                  <c:v>0</c:v>
                </c:pt>
                <c:pt idx="4">
                  <c:v>0</c:v>
                </c:pt>
              </c:numCache>
            </c:numRef>
          </c:val>
          <c:extLst>
            <c:ext xmlns:c16="http://schemas.microsoft.com/office/drawing/2014/chart" uri="{C3380CC4-5D6E-409C-BE32-E72D297353CC}">
              <c16:uniqueId val="{00000001-BF59-442F-923D-560009C042FD}"/>
            </c:ext>
          </c:extLst>
        </c:ser>
        <c:ser>
          <c:idx val="2"/>
          <c:order val="2"/>
          <c:tx>
            <c:strRef>
              <c:f>'Table B. Summary'!$N$67</c:f>
              <c:strCache>
                <c:ptCount val="1"/>
                <c:pt idx="0">
                  <c:v>14067000 mtCO2e</c:v>
                </c:pt>
              </c:strCache>
            </c:strRef>
          </c:tx>
          <c:cat>
            <c:strRef>
              <c:f>'Table B. Summary'!$K$68:$K$73</c:f>
              <c:strCache>
                <c:ptCount val="6"/>
                <c:pt idx="0">
                  <c:v>Stationary energy</c:v>
                </c:pt>
                <c:pt idx="1">
                  <c:v>Transportation</c:v>
                </c:pt>
                <c:pt idx="2">
                  <c:v>Waste</c:v>
                </c:pt>
                <c:pt idx="3">
                  <c:v>IPPU</c:v>
                </c:pt>
                <c:pt idx="4">
                  <c:v>AFOLU</c:v>
                </c:pt>
                <c:pt idx="5">
                  <c:v>Other scope 3</c:v>
                </c:pt>
              </c:strCache>
            </c:strRef>
          </c:cat>
          <c:val>
            <c:numRef>
              <c:f>'Table B. Summary'!$N$68:$N$73</c:f>
              <c:numCache>
                <c:formatCode>#,##0</c:formatCode>
                <c:ptCount val="6"/>
                <c:pt idx="0">
                  <c:v>8176887.5185669111</c:v>
                </c:pt>
                <c:pt idx="1">
                  <c:v>4108360.9483637181</c:v>
                </c:pt>
                <c:pt idx="2">
                  <c:v>1781612.0262634505</c:v>
                </c:pt>
                <c:pt idx="3">
                  <c:v>0</c:v>
                </c:pt>
                <c:pt idx="4">
                  <c:v>0</c:v>
                </c:pt>
                <c:pt idx="5">
                  <c:v>0</c:v>
                </c:pt>
              </c:numCache>
            </c:numRef>
          </c:val>
          <c:extLst>
            <c:ext xmlns:c16="http://schemas.microsoft.com/office/drawing/2014/chart" uri="{C3380CC4-5D6E-409C-BE32-E72D297353CC}">
              <c16:uniqueId val="{00000002-BF59-442F-923D-560009C042FD}"/>
            </c:ext>
          </c:extLst>
        </c:ser>
        <c:ser>
          <c:idx val="3"/>
          <c:order val="3"/>
          <c:tx>
            <c:strRef>
              <c:f>'Table B. Summary'!$O$67</c:f>
              <c:strCache>
                <c:ptCount val="1"/>
              </c:strCache>
            </c:strRef>
          </c:tx>
          <c:cat>
            <c:strRef>
              <c:f>'Table B. Summary'!$K$68:$K$73</c:f>
              <c:strCache>
                <c:ptCount val="6"/>
                <c:pt idx="0">
                  <c:v>Stationary energy</c:v>
                </c:pt>
                <c:pt idx="1">
                  <c:v>Transportation</c:v>
                </c:pt>
                <c:pt idx="2">
                  <c:v>Waste</c:v>
                </c:pt>
                <c:pt idx="3">
                  <c:v>IPPU</c:v>
                </c:pt>
                <c:pt idx="4">
                  <c:v>AFOLU</c:v>
                </c:pt>
                <c:pt idx="5">
                  <c:v>Other scope 3</c:v>
                </c:pt>
              </c:strCache>
            </c:strRef>
          </c:cat>
          <c:val>
            <c:numRef>
              <c:f>'Table B. Summary'!$O$68:$O$73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BF59-442F-923D-560009C042FD}"/>
            </c:ext>
          </c:extLst>
        </c:ser>
        <c:dLbls>
          <c:showLegendKey val="0"/>
          <c:showVal val="0"/>
          <c:showCatName val="0"/>
          <c:showSerName val="0"/>
          <c:showPercent val="0"/>
          <c:showBubbleSize val="0"/>
          <c:showLeaderLines val="1"/>
        </c:dLbls>
        <c:firstSliceAng val="0"/>
      </c:pieChart>
    </c:plotArea>
    <c:legend>
      <c:legendPos val="r"/>
      <c:overlay val="0"/>
      <c:txPr>
        <a:bodyPr/>
        <a:lstStyle/>
        <a:p>
          <a:pPr>
            <a:defRPr lang="es-ES" sz="1200"/>
          </a:pPr>
          <a:endParaRPr lang="en-US"/>
        </a:p>
      </c:txPr>
    </c:legend>
    <c:plotVisOnly val="1"/>
    <c:dispBlanksAs val="zero"/>
    <c:showDLblsOverMax val="0"/>
  </c:chart>
  <c:spPr>
    <a:noFill/>
    <a:ln>
      <a:noFill/>
    </a:ln>
    <a:effectLst/>
  </c:spPr>
  <c:printSettings>
    <c:headerFooter/>
    <c:pageMargins b="1" l="0.75000000000000056" r="0.75000000000000056"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1"/>
      <c:txPr>
        <a:bodyPr/>
        <a:lstStyle/>
        <a:p>
          <a:pPr>
            <a:defRPr lang="es-ES"/>
          </a:pPr>
          <a:endParaRPr lang="en-US"/>
        </a:p>
      </c:txPr>
    </c:title>
    <c:autoTitleDeleted val="0"/>
    <c:plotArea>
      <c:layout/>
      <c:pieChart>
        <c:varyColors val="1"/>
        <c:ser>
          <c:idx val="0"/>
          <c:order val="0"/>
          <c:tx>
            <c:strRef>
              <c:f>'Table B. Summary'!$L$67</c:f>
              <c:strCache>
                <c:ptCount val="1"/>
                <c:pt idx="0">
                  <c:v>13531000 mtCO2e</c:v>
                </c:pt>
              </c:strCache>
            </c:strRef>
          </c:tx>
          <c:spPr>
            <a:effectLst/>
          </c:spPr>
          <c:dPt>
            <c:idx val="0"/>
            <c:bubble3D val="0"/>
            <c:spPr>
              <a:solidFill>
                <a:srgbClr val="4F81BD"/>
              </a:solidFill>
              <a:effectLst/>
            </c:spPr>
            <c:extLst>
              <c:ext xmlns:c16="http://schemas.microsoft.com/office/drawing/2014/chart" uri="{C3380CC4-5D6E-409C-BE32-E72D297353CC}">
                <c16:uniqueId val="{00000000-5271-4902-913E-4AD89F290A7C}"/>
              </c:ext>
            </c:extLst>
          </c:dPt>
          <c:cat>
            <c:strRef>
              <c:f>'Table B. Summary'!$K$68:$K$70</c:f>
              <c:strCache>
                <c:ptCount val="3"/>
                <c:pt idx="0">
                  <c:v>Stationary energy</c:v>
                </c:pt>
                <c:pt idx="1">
                  <c:v>Transportation</c:v>
                </c:pt>
                <c:pt idx="2">
                  <c:v>Waste</c:v>
                </c:pt>
              </c:strCache>
            </c:strRef>
          </c:cat>
          <c:val>
            <c:numRef>
              <c:f>'Table B. Summary'!$L$68:$L$70</c:f>
              <c:numCache>
                <c:formatCode>#,##0</c:formatCode>
                <c:ptCount val="3"/>
                <c:pt idx="0">
                  <c:v>7658352.8022113563</c:v>
                </c:pt>
                <c:pt idx="1">
                  <c:v>4091327.5129474513</c:v>
                </c:pt>
                <c:pt idx="2">
                  <c:v>1781612.0262634505</c:v>
                </c:pt>
              </c:numCache>
            </c:numRef>
          </c:val>
          <c:extLst>
            <c:ext xmlns:c16="http://schemas.microsoft.com/office/drawing/2014/chart" uri="{C3380CC4-5D6E-409C-BE32-E72D297353CC}">
              <c16:uniqueId val="{00000001-5271-4902-913E-4AD89F290A7C}"/>
            </c:ext>
          </c:extLst>
        </c:ser>
        <c:dLbls>
          <c:showLegendKey val="0"/>
          <c:showVal val="0"/>
          <c:showCatName val="0"/>
          <c:showSerName val="0"/>
          <c:showPercent val="0"/>
          <c:showBubbleSize val="0"/>
          <c:showLeaderLines val="1"/>
        </c:dLbls>
        <c:firstSliceAng val="0"/>
      </c:pieChart>
    </c:plotArea>
    <c:plotVisOnly val="1"/>
    <c:dispBlanksAs val="zero"/>
    <c:showDLblsOverMax val="0"/>
  </c:chart>
  <c:spPr>
    <a:ln>
      <a:noFill/>
    </a:ln>
  </c:spPr>
  <c:printSettings>
    <c:headerFooter/>
    <c:pageMargins b="1" l="0.75000000000000056" r="0.75000000000000056"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1"/>
      <c:txPr>
        <a:bodyPr/>
        <a:lstStyle/>
        <a:p>
          <a:pPr>
            <a:defRPr lang="es-ES"/>
          </a:pPr>
          <a:endParaRPr lang="en-US"/>
        </a:p>
      </c:txPr>
    </c:title>
    <c:autoTitleDeleted val="0"/>
    <c:plotArea>
      <c:layout/>
      <c:pieChart>
        <c:varyColors val="1"/>
        <c:ser>
          <c:idx val="0"/>
          <c:order val="0"/>
          <c:tx>
            <c:strRef>
              <c:f>'Table B. Summary'!$M$67</c:f>
              <c:strCache>
                <c:ptCount val="1"/>
                <c:pt idx="0">
                  <c:v>14067000 mtCO2e</c:v>
                </c:pt>
              </c:strCache>
            </c:strRef>
          </c:tx>
          <c:spPr>
            <a:effectLst/>
          </c:spPr>
          <c:dPt>
            <c:idx val="0"/>
            <c:bubble3D val="0"/>
            <c:spPr>
              <a:solidFill>
                <a:srgbClr val="4F81BD"/>
              </a:solidFill>
              <a:effectLst/>
            </c:spPr>
            <c:extLst>
              <c:ext xmlns:c16="http://schemas.microsoft.com/office/drawing/2014/chart" uri="{C3380CC4-5D6E-409C-BE32-E72D297353CC}">
                <c16:uniqueId val="{00000000-D621-4959-A9BF-9E52327477E6}"/>
              </c:ext>
            </c:extLst>
          </c:dPt>
          <c:cat>
            <c:strRef>
              <c:f>'Table B. Summary'!$K$68:$K$72</c:f>
              <c:strCache>
                <c:ptCount val="5"/>
                <c:pt idx="0">
                  <c:v>Stationary energy</c:v>
                </c:pt>
                <c:pt idx="1">
                  <c:v>Transportation</c:v>
                </c:pt>
                <c:pt idx="2">
                  <c:v>Waste</c:v>
                </c:pt>
                <c:pt idx="3">
                  <c:v>IPPU</c:v>
                </c:pt>
                <c:pt idx="4">
                  <c:v>AFOLU</c:v>
                </c:pt>
              </c:strCache>
            </c:strRef>
          </c:cat>
          <c:val>
            <c:numRef>
              <c:f>'Table B. Summary'!$M$68:$M$72</c:f>
              <c:numCache>
                <c:formatCode>#,##0</c:formatCode>
                <c:ptCount val="5"/>
                <c:pt idx="0">
                  <c:v>8176887.5185669111</c:v>
                </c:pt>
                <c:pt idx="1">
                  <c:v>4108360.9483637181</c:v>
                </c:pt>
                <c:pt idx="2">
                  <c:v>1781612.0262634505</c:v>
                </c:pt>
                <c:pt idx="3">
                  <c:v>0</c:v>
                </c:pt>
                <c:pt idx="4">
                  <c:v>0</c:v>
                </c:pt>
              </c:numCache>
            </c:numRef>
          </c:val>
          <c:extLst>
            <c:ext xmlns:c16="http://schemas.microsoft.com/office/drawing/2014/chart" uri="{C3380CC4-5D6E-409C-BE32-E72D297353CC}">
              <c16:uniqueId val="{00000001-D621-4959-A9BF-9E52327477E6}"/>
            </c:ext>
          </c:extLst>
        </c:ser>
        <c:dLbls>
          <c:showLegendKey val="0"/>
          <c:showVal val="0"/>
          <c:showCatName val="0"/>
          <c:showSerName val="0"/>
          <c:showPercent val="0"/>
          <c:showBubbleSize val="0"/>
          <c:showLeaderLines val="1"/>
        </c:dLbls>
        <c:firstSliceAng val="0"/>
      </c:pieChart>
    </c:plotArea>
    <c:plotVisOnly val="1"/>
    <c:dispBlanksAs val="zero"/>
    <c:showDLblsOverMax val="0"/>
  </c:chart>
  <c:spPr>
    <a:ln>
      <a:noFill/>
    </a:ln>
  </c:spPr>
  <c:printSettings>
    <c:headerFooter/>
    <c:pageMargins b="1" l="0.75000000000000056" r="0.7500000000000005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1"/>
      <c:txPr>
        <a:bodyPr/>
        <a:lstStyle/>
        <a:p>
          <a:pPr>
            <a:defRPr lang="es-ES"/>
          </a:pPr>
          <a:endParaRPr lang="en-US"/>
        </a:p>
      </c:txPr>
    </c:title>
    <c:autoTitleDeleted val="0"/>
    <c:plotArea>
      <c:layout/>
      <c:pieChart>
        <c:varyColors val="1"/>
        <c:ser>
          <c:idx val="0"/>
          <c:order val="0"/>
          <c:tx>
            <c:strRef>
              <c:f>'Table B. Summary'!$N$67</c:f>
              <c:strCache>
                <c:ptCount val="1"/>
                <c:pt idx="0">
                  <c:v>14067000 mtCO2e</c:v>
                </c:pt>
              </c:strCache>
            </c:strRef>
          </c:tx>
          <c:spPr>
            <a:effectLst/>
          </c:spPr>
          <c:dPt>
            <c:idx val="0"/>
            <c:bubble3D val="0"/>
            <c:spPr>
              <a:solidFill>
                <a:schemeClr val="accent1"/>
              </a:solidFill>
              <a:effectLst/>
            </c:spPr>
            <c:extLst>
              <c:ext xmlns:c16="http://schemas.microsoft.com/office/drawing/2014/chart" uri="{C3380CC4-5D6E-409C-BE32-E72D297353CC}">
                <c16:uniqueId val="{00000000-E87F-48DF-8806-B0E1C0D1769D}"/>
              </c:ext>
            </c:extLst>
          </c:dPt>
          <c:cat>
            <c:strRef>
              <c:f>'Table B. Summary'!$K$68:$K$73</c:f>
              <c:strCache>
                <c:ptCount val="6"/>
                <c:pt idx="0">
                  <c:v>Stationary energy</c:v>
                </c:pt>
                <c:pt idx="1">
                  <c:v>Transportation</c:v>
                </c:pt>
                <c:pt idx="2">
                  <c:v>Waste</c:v>
                </c:pt>
                <c:pt idx="3">
                  <c:v>IPPU</c:v>
                </c:pt>
                <c:pt idx="4">
                  <c:v>AFOLU</c:v>
                </c:pt>
                <c:pt idx="5">
                  <c:v>Other scope 3</c:v>
                </c:pt>
              </c:strCache>
            </c:strRef>
          </c:cat>
          <c:val>
            <c:numRef>
              <c:f>'Table B. Summary'!$N$68:$N$73</c:f>
              <c:numCache>
                <c:formatCode>#,##0</c:formatCode>
                <c:ptCount val="6"/>
                <c:pt idx="0">
                  <c:v>8176887.5185669111</c:v>
                </c:pt>
                <c:pt idx="1">
                  <c:v>4108360.9483637181</c:v>
                </c:pt>
                <c:pt idx="2">
                  <c:v>1781612.0262634505</c:v>
                </c:pt>
                <c:pt idx="3">
                  <c:v>0</c:v>
                </c:pt>
                <c:pt idx="4">
                  <c:v>0</c:v>
                </c:pt>
                <c:pt idx="5">
                  <c:v>0</c:v>
                </c:pt>
              </c:numCache>
            </c:numRef>
          </c:val>
          <c:extLst>
            <c:ext xmlns:c16="http://schemas.microsoft.com/office/drawing/2014/chart" uri="{C3380CC4-5D6E-409C-BE32-E72D297353CC}">
              <c16:uniqueId val="{00000001-E87F-48DF-8806-B0E1C0D1769D}"/>
            </c:ext>
          </c:extLst>
        </c:ser>
        <c:dLbls>
          <c:showLegendKey val="0"/>
          <c:showVal val="0"/>
          <c:showCatName val="0"/>
          <c:showSerName val="0"/>
          <c:showPercent val="0"/>
          <c:showBubbleSize val="0"/>
          <c:showLeaderLines val="1"/>
        </c:dLbls>
        <c:firstSliceAng val="0"/>
      </c:pieChart>
    </c:plotArea>
    <c:plotVisOnly val="1"/>
    <c:dispBlanksAs val="zero"/>
    <c:showDLblsOverMax val="0"/>
  </c:chart>
  <c:spPr>
    <a:noFill/>
    <a:ln>
      <a:noFill/>
    </a:ln>
  </c:spPr>
  <c:printSettings>
    <c:headerFooter/>
    <c:pageMargins b="1" l="0.75000000000000056" r="0.7500000000000005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8.9375840215095245E-2"/>
          <c:y val="3.4300791556728202E-2"/>
          <c:w val="0.89698943729594804"/>
          <c:h val="0.58158693137291162"/>
        </c:manualLayout>
      </c:layout>
      <c:barChart>
        <c:barDir val="col"/>
        <c:grouping val="stacked"/>
        <c:varyColors val="0"/>
        <c:ser>
          <c:idx val="0"/>
          <c:order val="0"/>
          <c:tx>
            <c:strRef>
              <c:f>'Table B. Summary'!$L$81</c:f>
              <c:strCache>
                <c:ptCount val="1"/>
                <c:pt idx="0">
                  <c:v>Scope 1</c:v>
                </c:pt>
              </c:strCache>
            </c:strRef>
          </c:tx>
          <c:spPr>
            <a:solidFill>
              <a:schemeClr val="accent1"/>
            </a:solidFill>
          </c:spPr>
          <c:invertIfNegative val="0"/>
          <c:dPt>
            <c:idx val="8"/>
            <c:invertIfNegative val="0"/>
            <c:bubble3D val="0"/>
            <c:spPr>
              <a:solidFill>
                <a:schemeClr val="accent2">
                  <a:lumMod val="75000"/>
                </a:schemeClr>
              </a:solidFill>
            </c:spPr>
            <c:extLst>
              <c:ext xmlns:c16="http://schemas.microsoft.com/office/drawing/2014/chart" uri="{C3380CC4-5D6E-409C-BE32-E72D297353CC}">
                <c16:uniqueId val="{00000000-B022-4216-AB42-55F4A0363F9A}"/>
              </c:ext>
            </c:extLst>
          </c:dPt>
          <c:dPt>
            <c:idx val="9"/>
            <c:invertIfNegative val="0"/>
            <c:bubble3D val="0"/>
            <c:spPr>
              <a:solidFill>
                <a:schemeClr val="accent2">
                  <a:lumMod val="75000"/>
                </a:schemeClr>
              </a:solidFill>
            </c:spPr>
            <c:extLst>
              <c:ext xmlns:c16="http://schemas.microsoft.com/office/drawing/2014/chart" uri="{C3380CC4-5D6E-409C-BE32-E72D297353CC}">
                <c16:uniqueId val="{00000001-B022-4216-AB42-55F4A0363F9A}"/>
              </c:ext>
            </c:extLst>
          </c:dPt>
          <c:dPt>
            <c:idx val="10"/>
            <c:invertIfNegative val="0"/>
            <c:bubble3D val="0"/>
            <c:spPr>
              <a:solidFill>
                <a:srgbClr val="953735"/>
              </a:solidFill>
            </c:spPr>
            <c:extLst>
              <c:ext xmlns:c16="http://schemas.microsoft.com/office/drawing/2014/chart" uri="{C3380CC4-5D6E-409C-BE32-E72D297353CC}">
                <c16:uniqueId val="{00000002-B022-4216-AB42-55F4A0363F9A}"/>
              </c:ext>
            </c:extLst>
          </c:dPt>
          <c:dPt>
            <c:idx val="11"/>
            <c:invertIfNegative val="0"/>
            <c:bubble3D val="0"/>
            <c:spPr>
              <a:solidFill>
                <a:srgbClr val="953735"/>
              </a:solidFill>
            </c:spPr>
            <c:extLst>
              <c:ext xmlns:c16="http://schemas.microsoft.com/office/drawing/2014/chart" uri="{C3380CC4-5D6E-409C-BE32-E72D297353CC}">
                <c16:uniqueId val="{00000003-B022-4216-AB42-55F4A0363F9A}"/>
              </c:ext>
            </c:extLst>
          </c:dPt>
          <c:dPt>
            <c:idx val="12"/>
            <c:invertIfNegative val="0"/>
            <c:bubble3D val="0"/>
            <c:spPr>
              <a:solidFill>
                <a:srgbClr val="953735"/>
              </a:solidFill>
            </c:spPr>
            <c:extLst>
              <c:ext xmlns:c16="http://schemas.microsoft.com/office/drawing/2014/chart" uri="{C3380CC4-5D6E-409C-BE32-E72D297353CC}">
                <c16:uniqueId val="{00000004-B022-4216-AB42-55F4A0363F9A}"/>
              </c:ext>
            </c:extLst>
          </c:dPt>
          <c:dPt>
            <c:idx val="13"/>
            <c:invertIfNegative val="0"/>
            <c:bubble3D val="0"/>
            <c:spPr>
              <a:solidFill>
                <a:schemeClr val="accent3">
                  <a:lumMod val="75000"/>
                </a:schemeClr>
              </a:solidFill>
            </c:spPr>
            <c:extLst>
              <c:ext xmlns:c16="http://schemas.microsoft.com/office/drawing/2014/chart" uri="{C3380CC4-5D6E-409C-BE32-E72D297353CC}">
                <c16:uniqueId val="{00000005-B022-4216-AB42-55F4A0363F9A}"/>
              </c:ext>
            </c:extLst>
          </c:dPt>
          <c:dPt>
            <c:idx val="14"/>
            <c:invertIfNegative val="0"/>
            <c:bubble3D val="0"/>
            <c:spPr>
              <a:solidFill>
                <a:schemeClr val="accent3">
                  <a:lumMod val="75000"/>
                </a:schemeClr>
              </a:solidFill>
            </c:spPr>
            <c:extLst>
              <c:ext xmlns:c16="http://schemas.microsoft.com/office/drawing/2014/chart" uri="{C3380CC4-5D6E-409C-BE32-E72D297353CC}">
                <c16:uniqueId val="{00000006-B022-4216-AB42-55F4A0363F9A}"/>
              </c:ext>
            </c:extLst>
          </c:dPt>
          <c:dPt>
            <c:idx val="15"/>
            <c:invertIfNegative val="0"/>
            <c:bubble3D val="0"/>
            <c:spPr>
              <a:solidFill>
                <a:srgbClr val="77933C"/>
              </a:solidFill>
            </c:spPr>
            <c:extLst>
              <c:ext xmlns:c16="http://schemas.microsoft.com/office/drawing/2014/chart" uri="{C3380CC4-5D6E-409C-BE32-E72D297353CC}">
                <c16:uniqueId val="{00000007-B022-4216-AB42-55F4A0363F9A}"/>
              </c:ext>
            </c:extLst>
          </c:dPt>
          <c:dPt>
            <c:idx val="16"/>
            <c:invertIfNegative val="0"/>
            <c:bubble3D val="0"/>
            <c:spPr>
              <a:solidFill>
                <a:schemeClr val="accent3">
                  <a:lumMod val="75000"/>
                </a:schemeClr>
              </a:solidFill>
            </c:spPr>
            <c:extLst>
              <c:ext xmlns:c16="http://schemas.microsoft.com/office/drawing/2014/chart" uri="{C3380CC4-5D6E-409C-BE32-E72D297353CC}">
                <c16:uniqueId val="{00000008-B022-4216-AB42-55F4A0363F9A}"/>
              </c:ext>
            </c:extLst>
          </c:dPt>
          <c:dPt>
            <c:idx val="17"/>
            <c:invertIfNegative val="0"/>
            <c:bubble3D val="0"/>
            <c:spPr>
              <a:solidFill>
                <a:schemeClr val="accent4"/>
              </a:solidFill>
            </c:spPr>
            <c:extLst>
              <c:ext xmlns:c16="http://schemas.microsoft.com/office/drawing/2014/chart" uri="{C3380CC4-5D6E-409C-BE32-E72D297353CC}">
                <c16:uniqueId val="{00000009-B022-4216-AB42-55F4A0363F9A}"/>
              </c:ext>
            </c:extLst>
          </c:dPt>
          <c:dPt>
            <c:idx val="18"/>
            <c:invertIfNegative val="0"/>
            <c:bubble3D val="0"/>
            <c:spPr>
              <a:solidFill>
                <a:srgbClr val="8064A2"/>
              </a:solidFill>
            </c:spPr>
            <c:extLst>
              <c:ext xmlns:c16="http://schemas.microsoft.com/office/drawing/2014/chart" uri="{C3380CC4-5D6E-409C-BE32-E72D297353CC}">
                <c16:uniqueId val="{0000000A-B022-4216-AB42-55F4A0363F9A}"/>
              </c:ext>
            </c:extLst>
          </c:dPt>
          <c:dPt>
            <c:idx val="19"/>
            <c:invertIfNegative val="0"/>
            <c:bubble3D val="0"/>
            <c:spPr>
              <a:solidFill>
                <a:schemeClr val="accent5"/>
              </a:solidFill>
            </c:spPr>
            <c:extLst>
              <c:ext xmlns:c16="http://schemas.microsoft.com/office/drawing/2014/chart" uri="{C3380CC4-5D6E-409C-BE32-E72D297353CC}">
                <c16:uniqueId val="{0000000B-B022-4216-AB42-55F4A0363F9A}"/>
              </c:ext>
            </c:extLst>
          </c:dPt>
          <c:dPt>
            <c:idx val="20"/>
            <c:invertIfNegative val="0"/>
            <c:bubble3D val="0"/>
            <c:spPr>
              <a:solidFill>
                <a:srgbClr val="4BACC6"/>
              </a:solidFill>
            </c:spPr>
            <c:extLst>
              <c:ext xmlns:c16="http://schemas.microsoft.com/office/drawing/2014/chart" uri="{C3380CC4-5D6E-409C-BE32-E72D297353CC}">
                <c16:uniqueId val="{0000000C-B022-4216-AB42-55F4A0363F9A}"/>
              </c:ext>
            </c:extLst>
          </c:dPt>
          <c:dPt>
            <c:idx val="21"/>
            <c:invertIfNegative val="0"/>
            <c:bubble3D val="0"/>
            <c:spPr>
              <a:solidFill>
                <a:srgbClr val="4BACC6"/>
              </a:solidFill>
            </c:spPr>
            <c:extLst>
              <c:ext xmlns:c16="http://schemas.microsoft.com/office/drawing/2014/chart" uri="{C3380CC4-5D6E-409C-BE32-E72D297353CC}">
                <c16:uniqueId val="{0000000D-B022-4216-AB42-55F4A0363F9A}"/>
              </c:ext>
            </c:extLst>
          </c:dPt>
          <c:cat>
            <c:strRef>
              <c:f>'Table B. Summary'!$K$82:$K$103</c:f>
              <c:strCache>
                <c:ptCount val="22"/>
                <c:pt idx="0">
                  <c:v>Residential</c:v>
                </c:pt>
                <c:pt idx="1">
                  <c:v>Commercial / institutional</c:v>
                </c:pt>
                <c:pt idx="2">
                  <c:v>Manufacturing / construction</c:v>
                </c:pt>
                <c:pt idx="3">
                  <c:v>Energy industries</c:v>
                </c:pt>
                <c:pt idx="4">
                  <c:v>Agriculture</c:v>
                </c:pt>
                <c:pt idx="5">
                  <c:v>Non-specified sources</c:v>
                </c:pt>
                <c:pt idx="6">
                  <c:v>Fugitive emissions (coal)</c:v>
                </c:pt>
                <c:pt idx="7">
                  <c:v>Fugitive emissions (oil and gas)</c:v>
                </c:pt>
                <c:pt idx="8">
                  <c:v>On-road</c:v>
                </c:pt>
                <c:pt idx="9">
                  <c:v>Railways</c:v>
                </c:pt>
                <c:pt idx="10">
                  <c:v>Waterborne</c:v>
                </c:pt>
                <c:pt idx="11">
                  <c:v>Aviation</c:v>
                </c:pt>
                <c:pt idx="12">
                  <c:v>Off-road</c:v>
                </c:pt>
                <c:pt idx="13">
                  <c:v>Solid waste</c:v>
                </c:pt>
                <c:pt idx="14">
                  <c:v>Biological waste</c:v>
                </c:pt>
                <c:pt idx="15">
                  <c:v>Incineraton</c:v>
                </c:pt>
                <c:pt idx="16">
                  <c:v>Wastewater</c:v>
                </c:pt>
                <c:pt idx="17">
                  <c:v>Industrial processes</c:v>
                </c:pt>
                <c:pt idx="18">
                  <c:v>Product use</c:v>
                </c:pt>
                <c:pt idx="19">
                  <c:v>Livestock</c:v>
                </c:pt>
                <c:pt idx="20">
                  <c:v>Land</c:v>
                </c:pt>
                <c:pt idx="21">
                  <c:v>Aggregate sources</c:v>
                </c:pt>
              </c:strCache>
            </c:strRef>
          </c:cat>
          <c:val>
            <c:numRef>
              <c:f>'Table B. Summary'!$L$82:$L$103</c:f>
              <c:numCache>
                <c:formatCode>#,##0</c:formatCode>
                <c:ptCount val="22"/>
                <c:pt idx="0">
                  <c:v>2.3948073141091091</c:v>
                </c:pt>
                <c:pt idx="1">
                  <c:v>0.84672514632999885</c:v>
                </c:pt>
                <c:pt idx="2">
                  <c:v>0.37056024344132088</c:v>
                </c:pt>
                <c:pt idx="3">
                  <c:v>0</c:v>
                </c:pt>
                <c:pt idx="4">
                  <c:v>0</c:v>
                </c:pt>
                <c:pt idx="5">
                  <c:v>0</c:v>
                </c:pt>
                <c:pt idx="6">
                  <c:v>0</c:v>
                </c:pt>
                <c:pt idx="7">
                  <c:v>0.1471976506580743</c:v>
                </c:pt>
                <c:pt idx="8">
                  <c:v>3.9948928588032144</c:v>
                </c:pt>
                <c:pt idx="9">
                  <c:v>1.7541769469090709E-2</c:v>
                </c:pt>
                <c:pt idx="10">
                  <c:v>0</c:v>
                </c:pt>
                <c:pt idx="11">
                  <c:v>0</c:v>
                </c:pt>
                <c:pt idx="12">
                  <c:v>0</c:v>
                </c:pt>
                <c:pt idx="13">
                  <c:v>0</c:v>
                </c:pt>
                <c:pt idx="14">
                  <c:v>0</c:v>
                </c:pt>
                <c:pt idx="15">
                  <c:v>0</c:v>
                </c:pt>
                <c:pt idx="16">
                  <c:v>5.5390376263450565E-2</c:v>
                </c:pt>
                <c:pt idx="17">
                  <c:v>0</c:v>
                </c:pt>
                <c:pt idx="18">
                  <c:v>0</c:v>
                </c:pt>
                <c:pt idx="19">
                  <c:v>0</c:v>
                </c:pt>
                <c:pt idx="20">
                  <c:v>0</c:v>
                </c:pt>
                <c:pt idx="21">
                  <c:v>0</c:v>
                </c:pt>
              </c:numCache>
            </c:numRef>
          </c:val>
          <c:extLst>
            <c:ext xmlns:c16="http://schemas.microsoft.com/office/drawing/2014/chart" uri="{C3380CC4-5D6E-409C-BE32-E72D297353CC}">
              <c16:uniqueId val="{0000000E-B022-4216-AB42-55F4A0363F9A}"/>
            </c:ext>
          </c:extLst>
        </c:ser>
        <c:ser>
          <c:idx val="2"/>
          <c:order val="1"/>
          <c:tx>
            <c:strRef>
              <c:f>'Table B. Summary'!$M$81</c:f>
              <c:strCache>
                <c:ptCount val="1"/>
                <c:pt idx="0">
                  <c:v>Scope 2</c:v>
                </c:pt>
              </c:strCache>
            </c:strRef>
          </c:tx>
          <c:spPr>
            <a:solidFill>
              <a:schemeClr val="accent1">
                <a:lumMod val="60000"/>
                <a:lumOff val="40000"/>
              </a:schemeClr>
            </a:solidFill>
          </c:spPr>
          <c:invertIfNegative val="0"/>
          <c:dPt>
            <c:idx val="8"/>
            <c:invertIfNegative val="0"/>
            <c:bubble3D val="0"/>
            <c:spPr>
              <a:solidFill>
                <a:schemeClr val="accent2">
                  <a:lumMod val="60000"/>
                  <a:lumOff val="40000"/>
                </a:schemeClr>
              </a:solidFill>
            </c:spPr>
            <c:extLst>
              <c:ext xmlns:c16="http://schemas.microsoft.com/office/drawing/2014/chart" uri="{C3380CC4-5D6E-409C-BE32-E72D297353CC}">
                <c16:uniqueId val="{0000000F-B022-4216-AB42-55F4A0363F9A}"/>
              </c:ext>
            </c:extLst>
          </c:dPt>
          <c:dPt>
            <c:idx val="9"/>
            <c:invertIfNegative val="0"/>
            <c:bubble3D val="0"/>
            <c:spPr>
              <a:solidFill>
                <a:srgbClr val="D99694"/>
              </a:solidFill>
            </c:spPr>
            <c:extLst>
              <c:ext xmlns:c16="http://schemas.microsoft.com/office/drawing/2014/chart" uri="{C3380CC4-5D6E-409C-BE32-E72D297353CC}">
                <c16:uniqueId val="{00000010-B022-4216-AB42-55F4A0363F9A}"/>
              </c:ext>
            </c:extLst>
          </c:dPt>
          <c:dPt>
            <c:idx val="10"/>
            <c:invertIfNegative val="0"/>
            <c:bubble3D val="0"/>
            <c:spPr>
              <a:solidFill>
                <a:srgbClr val="D99694"/>
              </a:solidFill>
            </c:spPr>
            <c:extLst>
              <c:ext xmlns:c16="http://schemas.microsoft.com/office/drawing/2014/chart" uri="{C3380CC4-5D6E-409C-BE32-E72D297353CC}">
                <c16:uniqueId val="{00000011-B022-4216-AB42-55F4A0363F9A}"/>
              </c:ext>
            </c:extLst>
          </c:dPt>
          <c:dPt>
            <c:idx val="11"/>
            <c:invertIfNegative val="0"/>
            <c:bubble3D val="0"/>
            <c:spPr>
              <a:solidFill>
                <a:srgbClr val="D99694"/>
              </a:solidFill>
            </c:spPr>
            <c:extLst>
              <c:ext xmlns:c16="http://schemas.microsoft.com/office/drawing/2014/chart" uri="{C3380CC4-5D6E-409C-BE32-E72D297353CC}">
                <c16:uniqueId val="{00000012-B022-4216-AB42-55F4A0363F9A}"/>
              </c:ext>
            </c:extLst>
          </c:dPt>
          <c:dPt>
            <c:idx val="12"/>
            <c:invertIfNegative val="0"/>
            <c:bubble3D val="0"/>
            <c:spPr>
              <a:solidFill>
                <a:srgbClr val="D99694"/>
              </a:solidFill>
            </c:spPr>
            <c:extLst>
              <c:ext xmlns:c16="http://schemas.microsoft.com/office/drawing/2014/chart" uri="{C3380CC4-5D6E-409C-BE32-E72D297353CC}">
                <c16:uniqueId val="{00000013-B022-4216-AB42-55F4A0363F9A}"/>
              </c:ext>
            </c:extLst>
          </c:dPt>
          <c:cat>
            <c:strRef>
              <c:f>'Table B. Summary'!$K$82:$K$103</c:f>
              <c:strCache>
                <c:ptCount val="22"/>
                <c:pt idx="0">
                  <c:v>Residential</c:v>
                </c:pt>
                <c:pt idx="1">
                  <c:v>Commercial / institutional</c:v>
                </c:pt>
                <c:pt idx="2">
                  <c:v>Manufacturing / construction</c:v>
                </c:pt>
                <c:pt idx="3">
                  <c:v>Energy industries</c:v>
                </c:pt>
                <c:pt idx="4">
                  <c:v>Agriculture</c:v>
                </c:pt>
                <c:pt idx="5">
                  <c:v>Non-specified sources</c:v>
                </c:pt>
                <c:pt idx="6">
                  <c:v>Fugitive emissions (coal)</c:v>
                </c:pt>
                <c:pt idx="7">
                  <c:v>Fugitive emissions (oil and gas)</c:v>
                </c:pt>
                <c:pt idx="8">
                  <c:v>On-road</c:v>
                </c:pt>
                <c:pt idx="9">
                  <c:v>Railways</c:v>
                </c:pt>
                <c:pt idx="10">
                  <c:v>Waterborne</c:v>
                </c:pt>
                <c:pt idx="11">
                  <c:v>Aviation</c:v>
                </c:pt>
                <c:pt idx="12">
                  <c:v>Off-road</c:v>
                </c:pt>
                <c:pt idx="13">
                  <c:v>Solid waste</c:v>
                </c:pt>
                <c:pt idx="14">
                  <c:v>Biological waste</c:v>
                </c:pt>
                <c:pt idx="15">
                  <c:v>Incineraton</c:v>
                </c:pt>
                <c:pt idx="16">
                  <c:v>Wastewater</c:v>
                </c:pt>
                <c:pt idx="17">
                  <c:v>Industrial processes</c:v>
                </c:pt>
                <c:pt idx="18">
                  <c:v>Product use</c:v>
                </c:pt>
                <c:pt idx="19">
                  <c:v>Livestock</c:v>
                </c:pt>
                <c:pt idx="20">
                  <c:v>Land</c:v>
                </c:pt>
                <c:pt idx="21">
                  <c:v>Aggregate sources</c:v>
                </c:pt>
              </c:strCache>
            </c:strRef>
          </c:cat>
          <c:val>
            <c:numRef>
              <c:f>'Table B. Summary'!$M$82:$M$103</c:f>
              <c:numCache>
                <c:formatCode>#,##0</c:formatCode>
                <c:ptCount val="22"/>
                <c:pt idx="0">
                  <c:v>1.4541970477896937</c:v>
                </c:pt>
                <c:pt idx="1">
                  <c:v>2.0753300732117785</c:v>
                </c:pt>
                <c:pt idx="2">
                  <c:v>0.36953532667138078</c:v>
                </c:pt>
                <c:pt idx="3">
                  <c:v>0</c:v>
                </c:pt>
                <c:pt idx="4">
                  <c:v>0</c:v>
                </c:pt>
                <c:pt idx="5">
                  <c:v>0</c:v>
                </c:pt>
                <c:pt idx="6">
                  <c:v>0</c:v>
                </c:pt>
                <c:pt idx="7">
                  <c:v>0</c:v>
                </c:pt>
                <c:pt idx="8">
                  <c:v>0</c:v>
                </c:pt>
                <c:pt idx="9">
                  <c:v>7.8892884675146296E-2</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14-B022-4216-AB42-55F4A0363F9A}"/>
            </c:ext>
          </c:extLst>
        </c:ser>
        <c:ser>
          <c:idx val="3"/>
          <c:order val="2"/>
          <c:tx>
            <c:strRef>
              <c:f>'Table B. Summary'!$N$81</c:f>
              <c:strCache>
                <c:ptCount val="1"/>
                <c:pt idx="0">
                  <c:v>Scope 3</c:v>
                </c:pt>
              </c:strCache>
            </c:strRef>
          </c:tx>
          <c:spPr>
            <a:solidFill>
              <a:schemeClr val="accent1">
                <a:lumMod val="40000"/>
                <a:lumOff val="60000"/>
              </a:schemeClr>
            </a:solidFill>
          </c:spPr>
          <c:invertIfNegative val="0"/>
          <c:dPt>
            <c:idx val="8"/>
            <c:invertIfNegative val="0"/>
            <c:bubble3D val="0"/>
            <c:spPr>
              <a:solidFill>
                <a:schemeClr val="accent2">
                  <a:lumMod val="40000"/>
                  <a:lumOff val="60000"/>
                </a:schemeClr>
              </a:solidFill>
            </c:spPr>
            <c:extLst>
              <c:ext xmlns:c16="http://schemas.microsoft.com/office/drawing/2014/chart" uri="{C3380CC4-5D6E-409C-BE32-E72D297353CC}">
                <c16:uniqueId val="{00000015-B022-4216-AB42-55F4A0363F9A}"/>
              </c:ext>
            </c:extLst>
          </c:dPt>
          <c:dPt>
            <c:idx val="9"/>
            <c:invertIfNegative val="0"/>
            <c:bubble3D val="0"/>
            <c:spPr>
              <a:solidFill>
                <a:schemeClr val="accent2">
                  <a:lumMod val="40000"/>
                  <a:lumOff val="60000"/>
                </a:schemeClr>
              </a:solidFill>
            </c:spPr>
            <c:extLst>
              <c:ext xmlns:c16="http://schemas.microsoft.com/office/drawing/2014/chart" uri="{C3380CC4-5D6E-409C-BE32-E72D297353CC}">
                <c16:uniqueId val="{00000016-B022-4216-AB42-55F4A0363F9A}"/>
              </c:ext>
            </c:extLst>
          </c:dPt>
          <c:dPt>
            <c:idx val="10"/>
            <c:invertIfNegative val="0"/>
            <c:bubble3D val="0"/>
            <c:spPr>
              <a:solidFill>
                <a:srgbClr val="E6B9B8"/>
              </a:solidFill>
            </c:spPr>
            <c:extLst>
              <c:ext xmlns:c16="http://schemas.microsoft.com/office/drawing/2014/chart" uri="{C3380CC4-5D6E-409C-BE32-E72D297353CC}">
                <c16:uniqueId val="{00000017-B022-4216-AB42-55F4A0363F9A}"/>
              </c:ext>
            </c:extLst>
          </c:dPt>
          <c:dPt>
            <c:idx val="11"/>
            <c:invertIfNegative val="0"/>
            <c:bubble3D val="0"/>
            <c:spPr>
              <a:solidFill>
                <a:srgbClr val="E6B9B8"/>
              </a:solidFill>
            </c:spPr>
            <c:extLst>
              <c:ext xmlns:c16="http://schemas.microsoft.com/office/drawing/2014/chart" uri="{C3380CC4-5D6E-409C-BE32-E72D297353CC}">
                <c16:uniqueId val="{00000018-B022-4216-AB42-55F4A0363F9A}"/>
              </c:ext>
            </c:extLst>
          </c:dPt>
          <c:dPt>
            <c:idx val="12"/>
            <c:invertIfNegative val="0"/>
            <c:bubble3D val="0"/>
            <c:spPr>
              <a:solidFill>
                <a:srgbClr val="E6B9B8"/>
              </a:solidFill>
            </c:spPr>
            <c:extLst>
              <c:ext xmlns:c16="http://schemas.microsoft.com/office/drawing/2014/chart" uri="{C3380CC4-5D6E-409C-BE32-E72D297353CC}">
                <c16:uniqueId val="{00000019-B022-4216-AB42-55F4A0363F9A}"/>
              </c:ext>
            </c:extLst>
          </c:dPt>
          <c:dPt>
            <c:idx val="13"/>
            <c:invertIfNegative val="0"/>
            <c:bubble3D val="0"/>
            <c:spPr>
              <a:solidFill>
                <a:schemeClr val="accent3">
                  <a:lumMod val="40000"/>
                  <a:lumOff val="60000"/>
                </a:schemeClr>
              </a:solidFill>
            </c:spPr>
            <c:extLst>
              <c:ext xmlns:c16="http://schemas.microsoft.com/office/drawing/2014/chart" uri="{C3380CC4-5D6E-409C-BE32-E72D297353CC}">
                <c16:uniqueId val="{0000001A-B022-4216-AB42-55F4A0363F9A}"/>
              </c:ext>
            </c:extLst>
          </c:dPt>
          <c:dPt>
            <c:idx val="14"/>
            <c:invertIfNegative val="0"/>
            <c:bubble3D val="0"/>
            <c:spPr>
              <a:solidFill>
                <a:schemeClr val="accent3">
                  <a:lumMod val="40000"/>
                  <a:lumOff val="60000"/>
                </a:schemeClr>
              </a:solidFill>
            </c:spPr>
            <c:extLst>
              <c:ext xmlns:c16="http://schemas.microsoft.com/office/drawing/2014/chart" uri="{C3380CC4-5D6E-409C-BE32-E72D297353CC}">
                <c16:uniqueId val="{0000001B-B022-4216-AB42-55F4A0363F9A}"/>
              </c:ext>
            </c:extLst>
          </c:dPt>
          <c:dPt>
            <c:idx val="15"/>
            <c:invertIfNegative val="0"/>
            <c:bubble3D val="0"/>
            <c:spPr>
              <a:solidFill>
                <a:srgbClr val="D7E4BD"/>
              </a:solidFill>
            </c:spPr>
            <c:extLst>
              <c:ext xmlns:c16="http://schemas.microsoft.com/office/drawing/2014/chart" uri="{C3380CC4-5D6E-409C-BE32-E72D297353CC}">
                <c16:uniqueId val="{0000001C-B022-4216-AB42-55F4A0363F9A}"/>
              </c:ext>
            </c:extLst>
          </c:dPt>
          <c:dPt>
            <c:idx val="16"/>
            <c:invertIfNegative val="0"/>
            <c:bubble3D val="0"/>
            <c:spPr>
              <a:solidFill>
                <a:srgbClr val="D7E4BD"/>
              </a:solidFill>
            </c:spPr>
            <c:extLst>
              <c:ext xmlns:c16="http://schemas.microsoft.com/office/drawing/2014/chart" uri="{C3380CC4-5D6E-409C-BE32-E72D297353CC}">
                <c16:uniqueId val="{0000001D-B022-4216-AB42-55F4A0363F9A}"/>
              </c:ext>
            </c:extLst>
          </c:dPt>
          <c:cat>
            <c:strRef>
              <c:f>'Table B. Summary'!$K$82:$K$103</c:f>
              <c:strCache>
                <c:ptCount val="22"/>
                <c:pt idx="0">
                  <c:v>Residential</c:v>
                </c:pt>
                <c:pt idx="1">
                  <c:v>Commercial / institutional</c:v>
                </c:pt>
                <c:pt idx="2">
                  <c:v>Manufacturing / construction</c:v>
                </c:pt>
                <c:pt idx="3">
                  <c:v>Energy industries</c:v>
                </c:pt>
                <c:pt idx="4">
                  <c:v>Agriculture</c:v>
                </c:pt>
                <c:pt idx="5">
                  <c:v>Non-specified sources</c:v>
                </c:pt>
                <c:pt idx="6">
                  <c:v>Fugitive emissions (coal)</c:v>
                </c:pt>
                <c:pt idx="7">
                  <c:v>Fugitive emissions (oil and gas)</c:v>
                </c:pt>
                <c:pt idx="8">
                  <c:v>On-road</c:v>
                </c:pt>
                <c:pt idx="9">
                  <c:v>Railways</c:v>
                </c:pt>
                <c:pt idx="10">
                  <c:v>Waterborne</c:v>
                </c:pt>
                <c:pt idx="11">
                  <c:v>Aviation</c:v>
                </c:pt>
                <c:pt idx="12">
                  <c:v>Off-road</c:v>
                </c:pt>
                <c:pt idx="13">
                  <c:v>Solid waste</c:v>
                </c:pt>
                <c:pt idx="14">
                  <c:v>Biological waste</c:v>
                </c:pt>
                <c:pt idx="15">
                  <c:v>Incineraton</c:v>
                </c:pt>
                <c:pt idx="16">
                  <c:v>Wastewater</c:v>
                </c:pt>
                <c:pt idx="17">
                  <c:v>Industrial processes</c:v>
                </c:pt>
                <c:pt idx="18">
                  <c:v>Product use</c:v>
                </c:pt>
                <c:pt idx="19">
                  <c:v>Livestock</c:v>
                </c:pt>
                <c:pt idx="20">
                  <c:v>Land</c:v>
                </c:pt>
                <c:pt idx="21">
                  <c:v>Aggregate sources</c:v>
                </c:pt>
              </c:strCache>
            </c:strRef>
          </c:cat>
          <c:val>
            <c:numRef>
              <c:f>'Table B. Summary'!$N$82:$N$103</c:f>
              <c:numCache>
                <c:formatCode>#,##0</c:formatCode>
                <c:ptCount val="22"/>
                <c:pt idx="0">
                  <c:v>0.21482884228037241</c:v>
                </c:pt>
                <c:pt idx="1">
                  <c:v>0.25443450119400751</c:v>
                </c:pt>
                <c:pt idx="2">
                  <c:v>4.9271372881174599E-2</c:v>
                </c:pt>
                <c:pt idx="3">
                  <c:v>0</c:v>
                </c:pt>
                <c:pt idx="4">
                  <c:v>0</c:v>
                </c:pt>
                <c:pt idx="5">
                  <c:v>0</c:v>
                </c:pt>
                <c:pt idx="6">
                  <c:v>0</c:v>
                </c:pt>
                <c:pt idx="7">
                  <c:v>0</c:v>
                </c:pt>
                <c:pt idx="8">
                  <c:v>0</c:v>
                </c:pt>
                <c:pt idx="9">
                  <c:v>1.7033435416266889E-2</c:v>
                </c:pt>
                <c:pt idx="10">
                  <c:v>0</c:v>
                </c:pt>
                <c:pt idx="11">
                  <c:v>0</c:v>
                </c:pt>
                <c:pt idx="12">
                  <c:v>0</c:v>
                </c:pt>
                <c:pt idx="13">
                  <c:v>1.6377740000000001</c:v>
                </c:pt>
                <c:pt idx="14">
                  <c:v>5.2616500000000005E-3</c:v>
                </c:pt>
                <c:pt idx="15">
                  <c:v>0</c:v>
                </c:pt>
                <c:pt idx="16">
                  <c:v>8.3185999999999996E-2</c:v>
                </c:pt>
                <c:pt idx="17">
                  <c:v>0</c:v>
                </c:pt>
                <c:pt idx="18">
                  <c:v>0</c:v>
                </c:pt>
                <c:pt idx="19">
                  <c:v>0</c:v>
                </c:pt>
                <c:pt idx="20">
                  <c:v>0</c:v>
                </c:pt>
                <c:pt idx="21">
                  <c:v>0</c:v>
                </c:pt>
              </c:numCache>
            </c:numRef>
          </c:val>
          <c:extLst>
            <c:ext xmlns:c16="http://schemas.microsoft.com/office/drawing/2014/chart" uri="{C3380CC4-5D6E-409C-BE32-E72D297353CC}">
              <c16:uniqueId val="{0000001E-B022-4216-AB42-55F4A0363F9A}"/>
            </c:ext>
          </c:extLst>
        </c:ser>
        <c:dLbls>
          <c:showLegendKey val="0"/>
          <c:showVal val="0"/>
          <c:showCatName val="0"/>
          <c:showSerName val="0"/>
          <c:showPercent val="0"/>
          <c:showBubbleSize val="0"/>
        </c:dLbls>
        <c:gapWidth val="150"/>
        <c:overlap val="100"/>
        <c:axId val="81741696"/>
        <c:axId val="81743232"/>
      </c:barChart>
      <c:catAx>
        <c:axId val="81741696"/>
        <c:scaling>
          <c:orientation val="minMax"/>
        </c:scaling>
        <c:delete val="0"/>
        <c:axPos val="b"/>
        <c:numFmt formatCode="General" sourceLinked="0"/>
        <c:majorTickMark val="out"/>
        <c:minorTickMark val="none"/>
        <c:tickLblPos val="nextTo"/>
        <c:txPr>
          <a:bodyPr rot="-5400000" vert="horz"/>
          <a:lstStyle/>
          <a:p>
            <a:pPr>
              <a:defRPr lang="es-ES" sz="1200"/>
            </a:pPr>
            <a:endParaRPr lang="en-US"/>
          </a:p>
        </c:txPr>
        <c:crossAx val="81743232"/>
        <c:crosses val="autoZero"/>
        <c:auto val="1"/>
        <c:lblAlgn val="ctr"/>
        <c:lblOffset val="100"/>
        <c:noMultiLvlLbl val="0"/>
      </c:catAx>
      <c:valAx>
        <c:axId val="81743232"/>
        <c:scaling>
          <c:orientation val="minMax"/>
          <c:min val="0"/>
        </c:scaling>
        <c:delete val="0"/>
        <c:axPos val="l"/>
        <c:majorGridlines/>
        <c:title>
          <c:tx>
            <c:rich>
              <a:bodyPr rot="-5400000" vert="horz"/>
              <a:lstStyle/>
              <a:p>
                <a:pPr>
                  <a:defRPr lang="es-ES" sz="1200"/>
                </a:pPr>
                <a:r>
                  <a:rPr lang="en-US" sz="1200"/>
                  <a:t>GHG emissions (million metric tonnes CO2e)</a:t>
                </a:r>
              </a:p>
            </c:rich>
          </c:tx>
          <c:layout>
            <c:manualLayout>
              <c:xMode val="edge"/>
              <c:yMode val="edge"/>
              <c:x val="1.3599440580876298E-2"/>
              <c:y val="5.6514535209165211E-2"/>
            </c:manualLayout>
          </c:layout>
          <c:overlay val="0"/>
        </c:title>
        <c:numFmt formatCode="#,##0.00" sourceLinked="0"/>
        <c:majorTickMark val="out"/>
        <c:minorTickMark val="none"/>
        <c:tickLblPos val="nextTo"/>
        <c:txPr>
          <a:bodyPr/>
          <a:lstStyle/>
          <a:p>
            <a:pPr>
              <a:defRPr lang="es-ES" sz="1200"/>
            </a:pPr>
            <a:endParaRPr lang="en-US"/>
          </a:p>
        </c:txPr>
        <c:crossAx val="81741696"/>
        <c:crosses val="autoZero"/>
        <c:crossBetween val="between"/>
      </c:valAx>
    </c:plotArea>
    <c:legend>
      <c:legendPos val="r"/>
      <c:layout>
        <c:manualLayout>
          <c:xMode val="edge"/>
          <c:yMode val="edge"/>
          <c:x val="0.85480037166887324"/>
          <c:y val="3.3915923424263937E-2"/>
          <c:w val="8.6541159627773812E-2"/>
          <c:h val="0.15994197111617031"/>
        </c:manualLayout>
      </c:layout>
      <c:overlay val="0"/>
      <c:spPr>
        <a:solidFill>
          <a:schemeClr val="bg1"/>
        </a:solidFill>
      </c:spPr>
      <c:txPr>
        <a:bodyPr/>
        <a:lstStyle/>
        <a:p>
          <a:pPr algn="l">
            <a:defRPr lang="es-ES" sz="1200"/>
          </a:pPr>
          <a:endParaRPr lang="en-US"/>
        </a:p>
      </c:txPr>
    </c:legend>
    <c:plotVisOnly val="1"/>
    <c:dispBlanksAs val="gap"/>
    <c:showDLblsOverMax val="0"/>
  </c:chart>
  <c:spPr>
    <a:ln>
      <a:noFill/>
    </a:ln>
  </c:spPr>
  <c:printSettings>
    <c:headerFooter/>
    <c:pageMargins b="1" l="0.75000000000000056" r="0.7500000000000005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0"/>
          <c:order val="0"/>
          <c:tx>
            <c:strRef>
              <c:f>'Table B. Summary'!$L$106</c:f>
              <c:strCache>
                <c:ptCount val="1"/>
                <c:pt idx="0">
                  <c:v>BASIC</c:v>
                </c:pt>
              </c:strCache>
            </c:strRef>
          </c:tx>
          <c:spPr>
            <a:solidFill>
              <a:schemeClr val="tx2"/>
            </a:solidFill>
            <a:ln>
              <a:noFill/>
            </a:ln>
          </c:spPr>
          <c:invertIfNegative val="0"/>
          <c:cat>
            <c:strRef>
              <c:f>'Table B. Summary'!$K$107:$K$109</c:f>
              <c:strCache>
                <c:ptCount val="3"/>
                <c:pt idx="0">
                  <c:v>Scope 1</c:v>
                </c:pt>
                <c:pt idx="1">
                  <c:v>Scope 2</c:v>
                </c:pt>
                <c:pt idx="2">
                  <c:v>Scope 3</c:v>
                </c:pt>
              </c:strCache>
            </c:strRef>
          </c:cat>
          <c:val>
            <c:numRef>
              <c:f>'Table B. Summary'!$L$107:$L$109</c:f>
              <c:numCache>
                <c:formatCode>#,##0</c:formatCode>
                <c:ptCount val="3"/>
                <c:pt idx="0">
                  <c:v>7.8271153590742593</c:v>
                </c:pt>
                <c:pt idx="1">
                  <c:v>3.9779553323479995</c:v>
                </c:pt>
                <c:pt idx="2">
                  <c:v>1.7262216499999998</c:v>
                </c:pt>
              </c:numCache>
            </c:numRef>
          </c:val>
          <c:extLst>
            <c:ext xmlns:c16="http://schemas.microsoft.com/office/drawing/2014/chart" uri="{C3380CC4-5D6E-409C-BE32-E72D297353CC}">
              <c16:uniqueId val="{00000000-0C21-45BF-A7CC-F4C2F098C251}"/>
            </c:ext>
          </c:extLst>
        </c:ser>
        <c:ser>
          <c:idx val="1"/>
          <c:order val="1"/>
          <c:tx>
            <c:strRef>
              <c:f>'Table B. Summary'!$M$106</c:f>
              <c:strCache>
                <c:ptCount val="1"/>
                <c:pt idx="0">
                  <c:v>BASIC+ (additional)</c:v>
                </c:pt>
              </c:strCache>
            </c:strRef>
          </c:tx>
          <c:spPr>
            <a:solidFill>
              <a:schemeClr val="accent1"/>
            </a:solidFill>
          </c:spPr>
          <c:invertIfNegative val="0"/>
          <c:cat>
            <c:strRef>
              <c:f>'Table B. Summary'!$K$107:$K$109</c:f>
              <c:strCache>
                <c:ptCount val="3"/>
                <c:pt idx="0">
                  <c:v>Scope 1</c:v>
                </c:pt>
                <c:pt idx="1">
                  <c:v>Scope 2</c:v>
                </c:pt>
                <c:pt idx="2">
                  <c:v>Scope 3</c:v>
                </c:pt>
              </c:strCache>
            </c:strRef>
          </c:cat>
          <c:val>
            <c:numRef>
              <c:f>'Table B. Summary'!$M$107:$M$109</c:f>
              <c:numCache>
                <c:formatCode>General</c:formatCode>
                <c:ptCount val="3"/>
                <c:pt idx="0" formatCode="#,##0">
                  <c:v>0</c:v>
                </c:pt>
                <c:pt idx="2" formatCode="#,##0">
                  <c:v>0.53556815177182138</c:v>
                </c:pt>
              </c:numCache>
            </c:numRef>
          </c:val>
          <c:extLst>
            <c:ext xmlns:c16="http://schemas.microsoft.com/office/drawing/2014/chart" uri="{C3380CC4-5D6E-409C-BE32-E72D297353CC}">
              <c16:uniqueId val="{00000001-0C21-45BF-A7CC-F4C2F098C251}"/>
            </c:ext>
          </c:extLst>
        </c:ser>
        <c:ser>
          <c:idx val="2"/>
          <c:order val="2"/>
          <c:tx>
            <c:strRef>
              <c:f>'Table B. Summary'!$N$106</c:f>
              <c:strCache>
                <c:ptCount val="1"/>
                <c:pt idx="0">
                  <c:v>Other territorial</c:v>
                </c:pt>
              </c:strCache>
            </c:strRef>
          </c:tx>
          <c:spPr>
            <a:solidFill>
              <a:schemeClr val="accent2"/>
            </a:solidFill>
          </c:spPr>
          <c:invertIfNegative val="0"/>
          <c:cat>
            <c:strRef>
              <c:f>'Table B. Summary'!$K$107:$K$109</c:f>
              <c:strCache>
                <c:ptCount val="3"/>
                <c:pt idx="0">
                  <c:v>Scope 1</c:v>
                </c:pt>
                <c:pt idx="1">
                  <c:v>Scope 2</c:v>
                </c:pt>
                <c:pt idx="2">
                  <c:v>Scope 3</c:v>
                </c:pt>
              </c:strCache>
            </c:strRef>
          </c:cat>
          <c:val>
            <c:numRef>
              <c:f>'Table B. Summary'!$N$107:$N$109</c:f>
              <c:numCache>
                <c:formatCode>General</c:formatCode>
                <c:ptCount val="3"/>
                <c:pt idx="0" formatCode="#,##0">
                  <c:v>9.5740783063760535</c:v>
                </c:pt>
              </c:numCache>
            </c:numRef>
          </c:val>
          <c:extLst>
            <c:ext xmlns:c16="http://schemas.microsoft.com/office/drawing/2014/chart" uri="{C3380CC4-5D6E-409C-BE32-E72D297353CC}">
              <c16:uniqueId val="{00000002-0C21-45BF-A7CC-F4C2F098C251}"/>
            </c:ext>
          </c:extLst>
        </c:ser>
        <c:ser>
          <c:idx val="3"/>
          <c:order val="3"/>
          <c:tx>
            <c:strRef>
              <c:f>'Table B. Summary'!$O$106</c:f>
              <c:strCache>
                <c:ptCount val="1"/>
                <c:pt idx="0">
                  <c:v>Other scope 3</c:v>
                </c:pt>
              </c:strCache>
            </c:strRef>
          </c:tx>
          <c:spPr>
            <a:solidFill>
              <a:schemeClr val="accent6"/>
            </a:solidFill>
          </c:spPr>
          <c:invertIfNegative val="0"/>
          <c:cat>
            <c:strRef>
              <c:f>'Table B. Summary'!$K$107:$K$109</c:f>
              <c:strCache>
                <c:ptCount val="3"/>
                <c:pt idx="0">
                  <c:v>Scope 1</c:v>
                </c:pt>
                <c:pt idx="1">
                  <c:v>Scope 2</c:v>
                </c:pt>
                <c:pt idx="2">
                  <c:v>Scope 3</c:v>
                </c:pt>
              </c:strCache>
            </c:strRef>
          </c:cat>
          <c:val>
            <c:numRef>
              <c:f>'Table B. Summary'!$O$107:$O$109</c:f>
              <c:numCache>
                <c:formatCode>General</c:formatCode>
                <c:ptCount val="3"/>
                <c:pt idx="2" formatCode="#,##0">
                  <c:v>0</c:v>
                </c:pt>
              </c:numCache>
            </c:numRef>
          </c:val>
          <c:extLst>
            <c:ext xmlns:c16="http://schemas.microsoft.com/office/drawing/2014/chart" uri="{C3380CC4-5D6E-409C-BE32-E72D297353CC}">
              <c16:uniqueId val="{00000003-0C21-45BF-A7CC-F4C2F098C251}"/>
            </c:ext>
          </c:extLst>
        </c:ser>
        <c:dLbls>
          <c:showLegendKey val="0"/>
          <c:showVal val="0"/>
          <c:showCatName val="0"/>
          <c:showSerName val="0"/>
          <c:showPercent val="0"/>
          <c:showBubbleSize val="0"/>
        </c:dLbls>
        <c:gapWidth val="150"/>
        <c:overlap val="100"/>
        <c:axId val="81785216"/>
        <c:axId val="81786752"/>
      </c:barChart>
      <c:catAx>
        <c:axId val="81785216"/>
        <c:scaling>
          <c:orientation val="minMax"/>
        </c:scaling>
        <c:delete val="0"/>
        <c:axPos val="b"/>
        <c:numFmt formatCode="General" sourceLinked="0"/>
        <c:majorTickMark val="out"/>
        <c:minorTickMark val="none"/>
        <c:tickLblPos val="nextTo"/>
        <c:txPr>
          <a:bodyPr/>
          <a:lstStyle/>
          <a:p>
            <a:pPr>
              <a:defRPr lang="es-ES" sz="1200"/>
            </a:pPr>
            <a:endParaRPr lang="en-US"/>
          </a:p>
        </c:txPr>
        <c:crossAx val="81786752"/>
        <c:crosses val="autoZero"/>
        <c:auto val="1"/>
        <c:lblAlgn val="ctr"/>
        <c:lblOffset val="100"/>
        <c:noMultiLvlLbl val="0"/>
      </c:catAx>
      <c:valAx>
        <c:axId val="81786752"/>
        <c:scaling>
          <c:orientation val="minMax"/>
        </c:scaling>
        <c:delete val="0"/>
        <c:axPos val="l"/>
        <c:majorGridlines/>
        <c:title>
          <c:tx>
            <c:rich>
              <a:bodyPr rot="-5400000" vert="horz"/>
              <a:lstStyle/>
              <a:p>
                <a:pPr>
                  <a:defRPr lang="es-ES"/>
                </a:pPr>
                <a:r>
                  <a:rPr lang="en-US" sz="1200" b="1"/>
                  <a:t>GHG emissions (million metric tonnes CO2e)</a:t>
                </a:r>
              </a:p>
            </c:rich>
          </c:tx>
          <c:layout>
            <c:manualLayout>
              <c:xMode val="edge"/>
              <c:yMode val="edge"/>
              <c:x val="3.8247749706133353E-3"/>
              <c:y val="7.7659345213427308E-2"/>
            </c:manualLayout>
          </c:layout>
          <c:overlay val="0"/>
        </c:title>
        <c:numFmt formatCode="#,##0.0" sourceLinked="0"/>
        <c:majorTickMark val="out"/>
        <c:minorTickMark val="none"/>
        <c:tickLblPos val="nextTo"/>
        <c:txPr>
          <a:bodyPr/>
          <a:lstStyle/>
          <a:p>
            <a:pPr>
              <a:defRPr lang="es-ES" sz="1200"/>
            </a:pPr>
            <a:endParaRPr lang="en-US"/>
          </a:p>
        </c:txPr>
        <c:crossAx val="81785216"/>
        <c:crosses val="autoZero"/>
        <c:crossBetween val="between"/>
      </c:valAx>
    </c:plotArea>
    <c:legend>
      <c:legendPos val="r"/>
      <c:overlay val="0"/>
      <c:txPr>
        <a:bodyPr/>
        <a:lstStyle/>
        <a:p>
          <a:pPr>
            <a:defRPr lang="es-ES" sz="1200"/>
          </a:pPr>
          <a:endParaRPr lang="en-US"/>
        </a:p>
      </c:txPr>
    </c:legend>
    <c:plotVisOnly val="1"/>
    <c:dispBlanksAs val="gap"/>
    <c:showDLblsOverMax val="0"/>
  </c:chart>
  <c:spPr>
    <a:ln>
      <a:noFill/>
    </a:ln>
  </c:spPr>
  <c:printSettings>
    <c:headerFooter/>
    <c:pageMargins b="1" l="0.75000000000000056" r="0.75000000000000056"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51</xdr:row>
      <xdr:rowOff>0</xdr:rowOff>
    </xdr:from>
    <xdr:to>
      <xdr:col>9</xdr:col>
      <xdr:colOff>287182</xdr:colOff>
      <xdr:row>79</xdr:row>
      <xdr:rowOff>152400</xdr:rowOff>
    </xdr:to>
    <xdr:pic>
      <xdr:nvPicPr>
        <xdr:cNvPr id="2" name="Picture 1" descr="Schermafbeelding 2015-06-23 om 11.33.39.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700" y="2578100"/>
          <a:ext cx="6141882" cy="5524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50800</xdr:colOff>
      <xdr:row>7</xdr:row>
      <xdr:rowOff>12700</xdr:rowOff>
    </xdr:from>
    <xdr:to>
      <xdr:col>0</xdr:col>
      <xdr:colOff>577850</xdr:colOff>
      <xdr:row>8</xdr:row>
      <xdr:rowOff>3175</xdr:rowOff>
    </xdr:to>
    <xdr:sp macro="[0]!Sheet10.VIII1" textlink="">
      <xdr:nvSpPr>
        <xdr:cNvPr id="2" name="Rounded Rectangle 1"/>
        <xdr:cNvSpPr/>
      </xdr:nvSpPr>
      <xdr:spPr>
        <a:xfrm>
          <a:off x="50800" y="110490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50800</xdr:colOff>
      <xdr:row>8</xdr:row>
      <xdr:rowOff>12700</xdr:rowOff>
    </xdr:from>
    <xdr:to>
      <xdr:col>0</xdr:col>
      <xdr:colOff>577850</xdr:colOff>
      <xdr:row>10</xdr:row>
      <xdr:rowOff>19050</xdr:rowOff>
    </xdr:to>
    <xdr:sp macro="[0]!Sheet3.VII1" textlink="">
      <xdr:nvSpPr>
        <xdr:cNvPr id="2" name="Rounded Rectangle 1"/>
        <xdr:cNvSpPr/>
      </xdr:nvSpPr>
      <xdr:spPr>
        <a:xfrm>
          <a:off x="50800" y="1736725"/>
          <a:ext cx="527050" cy="2063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9</xdr:row>
      <xdr:rowOff>6350</xdr:rowOff>
    </xdr:from>
    <xdr:to>
      <xdr:col>0</xdr:col>
      <xdr:colOff>588010</xdr:colOff>
      <xdr:row>9</xdr:row>
      <xdr:rowOff>187325</xdr:rowOff>
    </xdr:to>
    <xdr:sp macro="[0]!Sheet4.I11" textlink="">
      <xdr:nvSpPr>
        <xdr:cNvPr id="8" name="Rounded Rectangle 7"/>
        <xdr:cNvSpPr/>
      </xdr:nvSpPr>
      <xdr:spPr>
        <a:xfrm>
          <a:off x="60960" y="154305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15</xdr:row>
      <xdr:rowOff>6350</xdr:rowOff>
    </xdr:from>
    <xdr:to>
      <xdr:col>0</xdr:col>
      <xdr:colOff>588010</xdr:colOff>
      <xdr:row>15</xdr:row>
      <xdr:rowOff>187325</xdr:rowOff>
    </xdr:to>
    <xdr:sp macro="[0]!Sheet4.I12" textlink="">
      <xdr:nvSpPr>
        <xdr:cNvPr id="9" name="Rounded Rectangle 8"/>
        <xdr:cNvSpPr/>
      </xdr:nvSpPr>
      <xdr:spPr>
        <a:xfrm>
          <a:off x="60960" y="211455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20</xdr:row>
      <xdr:rowOff>6350</xdr:rowOff>
    </xdr:from>
    <xdr:to>
      <xdr:col>0</xdr:col>
      <xdr:colOff>588010</xdr:colOff>
      <xdr:row>20</xdr:row>
      <xdr:rowOff>187325</xdr:rowOff>
    </xdr:to>
    <xdr:sp macro="[0]!Sheet4.I13" textlink="">
      <xdr:nvSpPr>
        <xdr:cNvPr id="10" name="Rounded Rectangle 9"/>
        <xdr:cNvSpPr/>
      </xdr:nvSpPr>
      <xdr:spPr>
        <a:xfrm>
          <a:off x="60960" y="268605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35</xdr:row>
      <xdr:rowOff>5715</xdr:rowOff>
    </xdr:from>
    <xdr:to>
      <xdr:col>0</xdr:col>
      <xdr:colOff>588010</xdr:colOff>
      <xdr:row>35</xdr:row>
      <xdr:rowOff>186690</xdr:rowOff>
    </xdr:to>
    <xdr:sp macro="[0]!Sheet4.I22" textlink="">
      <xdr:nvSpPr>
        <xdr:cNvPr id="12" name="Rounded Rectangle 11"/>
        <xdr:cNvSpPr/>
      </xdr:nvSpPr>
      <xdr:spPr>
        <a:xfrm>
          <a:off x="60960" y="488251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40</xdr:row>
      <xdr:rowOff>8890</xdr:rowOff>
    </xdr:from>
    <xdr:to>
      <xdr:col>0</xdr:col>
      <xdr:colOff>588010</xdr:colOff>
      <xdr:row>40</xdr:row>
      <xdr:rowOff>189865</xdr:rowOff>
    </xdr:to>
    <xdr:sp macro="[0]!Sheet4.I23" textlink="">
      <xdr:nvSpPr>
        <xdr:cNvPr id="13" name="Rounded Rectangle 12"/>
        <xdr:cNvSpPr/>
      </xdr:nvSpPr>
      <xdr:spPr>
        <a:xfrm>
          <a:off x="60960" y="552577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54</xdr:row>
      <xdr:rowOff>5080</xdr:rowOff>
    </xdr:from>
    <xdr:to>
      <xdr:col>0</xdr:col>
      <xdr:colOff>588010</xdr:colOff>
      <xdr:row>54</xdr:row>
      <xdr:rowOff>186055</xdr:rowOff>
    </xdr:to>
    <xdr:sp macro="[0]!Sheet4.I32" textlink="">
      <xdr:nvSpPr>
        <xdr:cNvPr id="15" name="Rounded Rectangle 14"/>
        <xdr:cNvSpPr/>
      </xdr:nvSpPr>
      <xdr:spPr>
        <a:xfrm>
          <a:off x="60960" y="766318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59</xdr:row>
      <xdr:rowOff>5080</xdr:rowOff>
    </xdr:from>
    <xdr:to>
      <xdr:col>0</xdr:col>
      <xdr:colOff>588010</xdr:colOff>
      <xdr:row>59</xdr:row>
      <xdr:rowOff>186055</xdr:rowOff>
    </xdr:to>
    <xdr:sp macro="[0]!Sheet4.I33" textlink="">
      <xdr:nvSpPr>
        <xdr:cNvPr id="16" name="Rounded Rectangle 15"/>
        <xdr:cNvSpPr/>
      </xdr:nvSpPr>
      <xdr:spPr>
        <a:xfrm>
          <a:off x="60960" y="823468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74</xdr:row>
      <xdr:rowOff>7620</xdr:rowOff>
    </xdr:from>
    <xdr:to>
      <xdr:col>0</xdr:col>
      <xdr:colOff>588010</xdr:colOff>
      <xdr:row>74</xdr:row>
      <xdr:rowOff>188595</xdr:rowOff>
    </xdr:to>
    <xdr:sp macro="[0]!Sheet4.I42" textlink="">
      <xdr:nvSpPr>
        <xdr:cNvPr id="18" name="Rounded Rectangle 17"/>
        <xdr:cNvSpPr/>
      </xdr:nvSpPr>
      <xdr:spPr>
        <a:xfrm>
          <a:off x="60960" y="1044702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77</xdr:row>
      <xdr:rowOff>8255</xdr:rowOff>
    </xdr:from>
    <xdr:to>
      <xdr:col>0</xdr:col>
      <xdr:colOff>588010</xdr:colOff>
      <xdr:row>77</xdr:row>
      <xdr:rowOff>189230</xdr:rowOff>
    </xdr:to>
    <xdr:sp macro="[0]!Sheet4.I43" textlink="">
      <xdr:nvSpPr>
        <xdr:cNvPr id="19" name="Rounded Rectangle 18"/>
        <xdr:cNvSpPr/>
      </xdr:nvSpPr>
      <xdr:spPr>
        <a:xfrm>
          <a:off x="60960" y="1100645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28</xdr:row>
      <xdr:rowOff>5715</xdr:rowOff>
    </xdr:from>
    <xdr:to>
      <xdr:col>0</xdr:col>
      <xdr:colOff>588010</xdr:colOff>
      <xdr:row>28</xdr:row>
      <xdr:rowOff>186690</xdr:rowOff>
    </xdr:to>
    <xdr:sp macro="[0]!Sheet4.I21" textlink="">
      <xdr:nvSpPr>
        <xdr:cNvPr id="20" name="Rounded Rectangle 19"/>
        <xdr:cNvSpPr/>
      </xdr:nvSpPr>
      <xdr:spPr>
        <a:xfrm>
          <a:off x="60960" y="431101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48</xdr:row>
      <xdr:rowOff>5080</xdr:rowOff>
    </xdr:from>
    <xdr:to>
      <xdr:col>0</xdr:col>
      <xdr:colOff>588010</xdr:colOff>
      <xdr:row>48</xdr:row>
      <xdr:rowOff>186055</xdr:rowOff>
    </xdr:to>
    <xdr:sp macro="[0]!Sheet4.I31" textlink="">
      <xdr:nvSpPr>
        <xdr:cNvPr id="21" name="Rounded Rectangle 20"/>
        <xdr:cNvSpPr/>
      </xdr:nvSpPr>
      <xdr:spPr>
        <a:xfrm>
          <a:off x="60960" y="707898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67</xdr:row>
      <xdr:rowOff>7620</xdr:rowOff>
    </xdr:from>
    <xdr:to>
      <xdr:col>0</xdr:col>
      <xdr:colOff>588010</xdr:colOff>
      <xdr:row>67</xdr:row>
      <xdr:rowOff>188595</xdr:rowOff>
    </xdr:to>
    <xdr:sp macro="[0]!Sheet4.I41" textlink="">
      <xdr:nvSpPr>
        <xdr:cNvPr id="22" name="Rounded Rectangle 21"/>
        <xdr:cNvSpPr/>
      </xdr:nvSpPr>
      <xdr:spPr>
        <a:xfrm>
          <a:off x="60960" y="986282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80</xdr:row>
      <xdr:rowOff>8255</xdr:rowOff>
    </xdr:from>
    <xdr:to>
      <xdr:col>0</xdr:col>
      <xdr:colOff>588010</xdr:colOff>
      <xdr:row>80</xdr:row>
      <xdr:rowOff>189230</xdr:rowOff>
    </xdr:to>
    <xdr:sp macro="[0]!Sheet4.I44" textlink="">
      <xdr:nvSpPr>
        <xdr:cNvPr id="23" name="Rounded Rectangle 22"/>
        <xdr:cNvSpPr/>
      </xdr:nvSpPr>
      <xdr:spPr>
        <a:xfrm>
          <a:off x="60960" y="1157795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91</xdr:row>
      <xdr:rowOff>4445</xdr:rowOff>
    </xdr:from>
    <xdr:to>
      <xdr:col>0</xdr:col>
      <xdr:colOff>588010</xdr:colOff>
      <xdr:row>91</xdr:row>
      <xdr:rowOff>185420</xdr:rowOff>
    </xdr:to>
    <xdr:sp macro="[0]!Sheet4.I52" textlink="">
      <xdr:nvSpPr>
        <xdr:cNvPr id="24" name="Rounded Rectangle 23"/>
        <xdr:cNvSpPr/>
      </xdr:nvSpPr>
      <xdr:spPr>
        <a:xfrm>
          <a:off x="60960" y="1378394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94</xdr:row>
      <xdr:rowOff>4445</xdr:rowOff>
    </xdr:from>
    <xdr:to>
      <xdr:col>0</xdr:col>
      <xdr:colOff>588010</xdr:colOff>
      <xdr:row>94</xdr:row>
      <xdr:rowOff>185420</xdr:rowOff>
    </xdr:to>
    <xdr:sp macro="[0]!Sheet4.I53" textlink="">
      <xdr:nvSpPr>
        <xdr:cNvPr id="25" name="Rounded Rectangle 24"/>
        <xdr:cNvSpPr/>
      </xdr:nvSpPr>
      <xdr:spPr>
        <a:xfrm>
          <a:off x="60960" y="1435544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105</xdr:row>
      <xdr:rowOff>6985</xdr:rowOff>
    </xdr:from>
    <xdr:to>
      <xdr:col>0</xdr:col>
      <xdr:colOff>588010</xdr:colOff>
      <xdr:row>105</xdr:row>
      <xdr:rowOff>187960</xdr:rowOff>
    </xdr:to>
    <xdr:sp macro="[0]!Sheet4.I62" textlink="">
      <xdr:nvSpPr>
        <xdr:cNvPr id="26" name="Rounded Rectangle 25"/>
        <xdr:cNvSpPr/>
      </xdr:nvSpPr>
      <xdr:spPr>
        <a:xfrm>
          <a:off x="60960" y="1656778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108</xdr:row>
      <xdr:rowOff>7620</xdr:rowOff>
    </xdr:from>
    <xdr:to>
      <xdr:col>0</xdr:col>
      <xdr:colOff>588010</xdr:colOff>
      <xdr:row>108</xdr:row>
      <xdr:rowOff>188595</xdr:rowOff>
    </xdr:to>
    <xdr:sp macro="[0]!Sheet4.I63" textlink="">
      <xdr:nvSpPr>
        <xdr:cNvPr id="27" name="Rounded Rectangle 26"/>
        <xdr:cNvSpPr/>
      </xdr:nvSpPr>
      <xdr:spPr>
        <a:xfrm>
          <a:off x="60960" y="1713992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88</xdr:row>
      <xdr:rowOff>4445</xdr:rowOff>
    </xdr:from>
    <xdr:to>
      <xdr:col>0</xdr:col>
      <xdr:colOff>588010</xdr:colOff>
      <xdr:row>88</xdr:row>
      <xdr:rowOff>185420</xdr:rowOff>
    </xdr:to>
    <xdr:sp macro="[0]!Sheet4.I51" textlink="">
      <xdr:nvSpPr>
        <xdr:cNvPr id="28" name="Rounded Rectangle 27"/>
        <xdr:cNvSpPr/>
      </xdr:nvSpPr>
      <xdr:spPr>
        <a:xfrm>
          <a:off x="60960" y="1321244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102</xdr:row>
      <xdr:rowOff>6985</xdr:rowOff>
    </xdr:from>
    <xdr:to>
      <xdr:col>0</xdr:col>
      <xdr:colOff>588010</xdr:colOff>
      <xdr:row>102</xdr:row>
      <xdr:rowOff>187960</xdr:rowOff>
    </xdr:to>
    <xdr:sp macro="[0]!Sheet4.I61" textlink="">
      <xdr:nvSpPr>
        <xdr:cNvPr id="29" name="Rounded Rectangle 28"/>
        <xdr:cNvSpPr/>
      </xdr:nvSpPr>
      <xdr:spPr>
        <a:xfrm>
          <a:off x="60960" y="1599628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116</xdr:row>
      <xdr:rowOff>6985</xdr:rowOff>
    </xdr:from>
    <xdr:to>
      <xdr:col>0</xdr:col>
      <xdr:colOff>588010</xdr:colOff>
      <xdr:row>116</xdr:row>
      <xdr:rowOff>187960</xdr:rowOff>
    </xdr:to>
    <xdr:sp macro="[0]!Sheet4.I71" textlink="">
      <xdr:nvSpPr>
        <xdr:cNvPr id="30" name="Rounded Rectangle 29"/>
        <xdr:cNvSpPr/>
      </xdr:nvSpPr>
      <xdr:spPr>
        <a:xfrm>
          <a:off x="60960" y="1877758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60960</xdr:colOff>
      <xdr:row>124</xdr:row>
      <xdr:rowOff>6985</xdr:rowOff>
    </xdr:from>
    <xdr:to>
      <xdr:col>0</xdr:col>
      <xdr:colOff>588010</xdr:colOff>
      <xdr:row>124</xdr:row>
      <xdr:rowOff>187960</xdr:rowOff>
    </xdr:to>
    <xdr:sp macro="[0]!Sheet4.I81" textlink="">
      <xdr:nvSpPr>
        <xdr:cNvPr id="31" name="Rounded Rectangle 30"/>
        <xdr:cNvSpPr/>
      </xdr:nvSpPr>
      <xdr:spPr>
        <a:xfrm>
          <a:off x="60960" y="20415885"/>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61595</xdr:colOff>
      <xdr:row>9</xdr:row>
      <xdr:rowOff>10795</xdr:rowOff>
    </xdr:from>
    <xdr:to>
      <xdr:col>0</xdr:col>
      <xdr:colOff>588645</xdr:colOff>
      <xdr:row>9</xdr:row>
      <xdr:rowOff>189230</xdr:rowOff>
    </xdr:to>
    <xdr:sp macro="[0]!Sheet5.II11" textlink="">
      <xdr:nvSpPr>
        <xdr:cNvPr id="2" name="Rounded Rectangle 1"/>
        <xdr:cNvSpPr/>
      </xdr:nvSpPr>
      <xdr:spPr>
        <a:xfrm>
          <a:off x="61595" y="154749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14</xdr:row>
      <xdr:rowOff>10795</xdr:rowOff>
    </xdr:from>
    <xdr:to>
      <xdr:col>0</xdr:col>
      <xdr:colOff>588645</xdr:colOff>
      <xdr:row>14</xdr:row>
      <xdr:rowOff>189230</xdr:rowOff>
    </xdr:to>
    <xdr:sp macro="[0]!Sheet5.II12" textlink="">
      <xdr:nvSpPr>
        <xdr:cNvPr id="3" name="Rounded Rectangle 2"/>
        <xdr:cNvSpPr/>
      </xdr:nvSpPr>
      <xdr:spPr>
        <a:xfrm>
          <a:off x="61595" y="211899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17</xdr:row>
      <xdr:rowOff>10795</xdr:rowOff>
    </xdr:from>
    <xdr:to>
      <xdr:col>0</xdr:col>
      <xdr:colOff>588645</xdr:colOff>
      <xdr:row>17</xdr:row>
      <xdr:rowOff>189230</xdr:rowOff>
    </xdr:to>
    <xdr:sp macro="[0]!Sheet5.II13" textlink="">
      <xdr:nvSpPr>
        <xdr:cNvPr id="4" name="Rounded Rectangle 3"/>
        <xdr:cNvSpPr/>
      </xdr:nvSpPr>
      <xdr:spPr>
        <a:xfrm>
          <a:off x="61595" y="269049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25</xdr:row>
      <xdr:rowOff>13970</xdr:rowOff>
    </xdr:from>
    <xdr:to>
      <xdr:col>0</xdr:col>
      <xdr:colOff>588645</xdr:colOff>
      <xdr:row>26</xdr:row>
      <xdr:rowOff>1905</xdr:rowOff>
    </xdr:to>
    <xdr:sp macro="[0]!Sheet5.II21" textlink="">
      <xdr:nvSpPr>
        <xdr:cNvPr id="5" name="Rounded Rectangle 4"/>
        <xdr:cNvSpPr/>
      </xdr:nvSpPr>
      <xdr:spPr>
        <a:xfrm>
          <a:off x="61595" y="4331970"/>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28</xdr:row>
      <xdr:rowOff>13970</xdr:rowOff>
    </xdr:from>
    <xdr:to>
      <xdr:col>0</xdr:col>
      <xdr:colOff>588645</xdr:colOff>
      <xdr:row>29</xdr:row>
      <xdr:rowOff>1905</xdr:rowOff>
    </xdr:to>
    <xdr:sp macro="[0]!Sheet5.II22" textlink="">
      <xdr:nvSpPr>
        <xdr:cNvPr id="6" name="Rounded Rectangle 5"/>
        <xdr:cNvSpPr/>
      </xdr:nvSpPr>
      <xdr:spPr>
        <a:xfrm>
          <a:off x="61595" y="4903470"/>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31</xdr:row>
      <xdr:rowOff>13970</xdr:rowOff>
    </xdr:from>
    <xdr:to>
      <xdr:col>0</xdr:col>
      <xdr:colOff>588645</xdr:colOff>
      <xdr:row>32</xdr:row>
      <xdr:rowOff>1905</xdr:rowOff>
    </xdr:to>
    <xdr:sp macro="[0]!Sheet5.II23" textlink="">
      <xdr:nvSpPr>
        <xdr:cNvPr id="7" name="Rounded Rectangle 6"/>
        <xdr:cNvSpPr/>
      </xdr:nvSpPr>
      <xdr:spPr>
        <a:xfrm>
          <a:off x="61595" y="5474970"/>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39</xdr:row>
      <xdr:rowOff>10795</xdr:rowOff>
    </xdr:from>
    <xdr:to>
      <xdr:col>0</xdr:col>
      <xdr:colOff>588645</xdr:colOff>
      <xdr:row>39</xdr:row>
      <xdr:rowOff>189230</xdr:rowOff>
    </xdr:to>
    <xdr:sp macro="[0]!Sheet5.II31" textlink="">
      <xdr:nvSpPr>
        <xdr:cNvPr id="8" name="Rounded Rectangle 7"/>
        <xdr:cNvSpPr/>
      </xdr:nvSpPr>
      <xdr:spPr>
        <a:xfrm>
          <a:off x="61595" y="711009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42</xdr:row>
      <xdr:rowOff>10795</xdr:rowOff>
    </xdr:from>
    <xdr:to>
      <xdr:col>0</xdr:col>
      <xdr:colOff>588645</xdr:colOff>
      <xdr:row>42</xdr:row>
      <xdr:rowOff>189230</xdr:rowOff>
    </xdr:to>
    <xdr:sp macro="[0]!Sheet5.II32" textlink="">
      <xdr:nvSpPr>
        <xdr:cNvPr id="9" name="Rounded Rectangle 8"/>
        <xdr:cNvSpPr/>
      </xdr:nvSpPr>
      <xdr:spPr>
        <a:xfrm>
          <a:off x="61595" y="768159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45</xdr:row>
      <xdr:rowOff>10795</xdr:rowOff>
    </xdr:from>
    <xdr:to>
      <xdr:col>0</xdr:col>
      <xdr:colOff>588645</xdr:colOff>
      <xdr:row>45</xdr:row>
      <xdr:rowOff>189230</xdr:rowOff>
    </xdr:to>
    <xdr:sp macro="[0]!Sheet5.II33" textlink="">
      <xdr:nvSpPr>
        <xdr:cNvPr id="10" name="Rounded Rectangle 9"/>
        <xdr:cNvSpPr/>
      </xdr:nvSpPr>
      <xdr:spPr>
        <a:xfrm>
          <a:off x="61595" y="825309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53</xdr:row>
      <xdr:rowOff>13970</xdr:rowOff>
    </xdr:from>
    <xdr:to>
      <xdr:col>0</xdr:col>
      <xdr:colOff>588645</xdr:colOff>
      <xdr:row>54</xdr:row>
      <xdr:rowOff>1905</xdr:rowOff>
    </xdr:to>
    <xdr:sp macro="[0]!Sheet5.II41" textlink="">
      <xdr:nvSpPr>
        <xdr:cNvPr id="11" name="Rounded Rectangle 10"/>
        <xdr:cNvSpPr/>
      </xdr:nvSpPr>
      <xdr:spPr>
        <a:xfrm>
          <a:off x="61595" y="9894570"/>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56</xdr:row>
      <xdr:rowOff>13970</xdr:rowOff>
    </xdr:from>
    <xdr:to>
      <xdr:col>0</xdr:col>
      <xdr:colOff>588645</xdr:colOff>
      <xdr:row>57</xdr:row>
      <xdr:rowOff>1905</xdr:rowOff>
    </xdr:to>
    <xdr:sp macro="[0]!Sheet5.II42" textlink="">
      <xdr:nvSpPr>
        <xdr:cNvPr id="12" name="Rounded Rectangle 11"/>
        <xdr:cNvSpPr/>
      </xdr:nvSpPr>
      <xdr:spPr>
        <a:xfrm>
          <a:off x="61595" y="10466070"/>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59</xdr:row>
      <xdr:rowOff>13970</xdr:rowOff>
    </xdr:from>
    <xdr:to>
      <xdr:col>0</xdr:col>
      <xdr:colOff>588645</xdr:colOff>
      <xdr:row>60</xdr:row>
      <xdr:rowOff>1905</xdr:rowOff>
    </xdr:to>
    <xdr:sp macro="[0]!Sheet5.II43" textlink="">
      <xdr:nvSpPr>
        <xdr:cNvPr id="13" name="Rounded Rectangle 12"/>
        <xdr:cNvSpPr/>
      </xdr:nvSpPr>
      <xdr:spPr>
        <a:xfrm>
          <a:off x="61595" y="11037570"/>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67</xdr:row>
      <xdr:rowOff>10795</xdr:rowOff>
    </xdr:from>
    <xdr:to>
      <xdr:col>0</xdr:col>
      <xdr:colOff>588645</xdr:colOff>
      <xdr:row>67</xdr:row>
      <xdr:rowOff>189230</xdr:rowOff>
    </xdr:to>
    <xdr:sp macro="[0]!Sheet5.II51" textlink="">
      <xdr:nvSpPr>
        <xdr:cNvPr id="14" name="Rounded Rectangle 13"/>
        <xdr:cNvSpPr/>
      </xdr:nvSpPr>
      <xdr:spPr>
        <a:xfrm>
          <a:off x="61595" y="1267269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70</xdr:row>
      <xdr:rowOff>10795</xdr:rowOff>
    </xdr:from>
    <xdr:to>
      <xdr:col>0</xdr:col>
      <xdr:colOff>588645</xdr:colOff>
      <xdr:row>70</xdr:row>
      <xdr:rowOff>189230</xdr:rowOff>
    </xdr:to>
    <xdr:sp macro="[0]!Sheet5.II52" textlink="">
      <xdr:nvSpPr>
        <xdr:cNvPr id="15" name="Rounded Rectangle 14"/>
        <xdr:cNvSpPr/>
      </xdr:nvSpPr>
      <xdr:spPr>
        <a:xfrm>
          <a:off x="61595" y="1324419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73</xdr:row>
      <xdr:rowOff>10795</xdr:rowOff>
    </xdr:from>
    <xdr:to>
      <xdr:col>0</xdr:col>
      <xdr:colOff>588645</xdr:colOff>
      <xdr:row>73</xdr:row>
      <xdr:rowOff>189230</xdr:rowOff>
    </xdr:to>
    <xdr:sp macro="[0]!Sheet5.II53" textlink="">
      <xdr:nvSpPr>
        <xdr:cNvPr id="16" name="Rounded Rectangle 15"/>
        <xdr:cNvSpPr/>
      </xdr:nvSpPr>
      <xdr:spPr>
        <a:xfrm>
          <a:off x="61595" y="1381569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60325</xdr:colOff>
      <xdr:row>9</xdr:row>
      <xdr:rowOff>13335</xdr:rowOff>
    </xdr:from>
    <xdr:to>
      <xdr:col>0</xdr:col>
      <xdr:colOff>587375</xdr:colOff>
      <xdr:row>9</xdr:row>
      <xdr:rowOff>186690</xdr:rowOff>
    </xdr:to>
    <xdr:sp macro="[0]!Sheet6.III11" textlink="">
      <xdr:nvSpPr>
        <xdr:cNvPr id="2" name="Rounded Rectangle 1"/>
        <xdr:cNvSpPr/>
      </xdr:nvSpPr>
      <xdr:spPr>
        <a:xfrm>
          <a:off x="60325" y="1550035"/>
          <a:ext cx="527050" cy="17335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60325</xdr:colOff>
      <xdr:row>12</xdr:row>
      <xdr:rowOff>8255</xdr:rowOff>
    </xdr:from>
    <xdr:to>
      <xdr:col>0</xdr:col>
      <xdr:colOff>587375</xdr:colOff>
      <xdr:row>12</xdr:row>
      <xdr:rowOff>186690</xdr:rowOff>
    </xdr:to>
    <xdr:sp macro="[0]!Sheet6.III12" textlink="">
      <xdr:nvSpPr>
        <xdr:cNvPr id="3" name="Rounded Rectangle 2"/>
        <xdr:cNvSpPr/>
      </xdr:nvSpPr>
      <xdr:spPr>
        <a:xfrm>
          <a:off x="60325" y="211645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60325</xdr:colOff>
      <xdr:row>15</xdr:row>
      <xdr:rowOff>8255</xdr:rowOff>
    </xdr:from>
    <xdr:to>
      <xdr:col>0</xdr:col>
      <xdr:colOff>587375</xdr:colOff>
      <xdr:row>15</xdr:row>
      <xdr:rowOff>184150</xdr:rowOff>
    </xdr:to>
    <xdr:sp macro="[0]!Sheet6.III13" textlink="">
      <xdr:nvSpPr>
        <xdr:cNvPr id="4" name="Rounded Rectangle 3"/>
        <xdr:cNvSpPr/>
      </xdr:nvSpPr>
      <xdr:spPr>
        <a:xfrm>
          <a:off x="60325" y="2687955"/>
          <a:ext cx="5270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60325</xdr:colOff>
      <xdr:row>23</xdr:row>
      <xdr:rowOff>10160</xdr:rowOff>
    </xdr:from>
    <xdr:to>
      <xdr:col>0</xdr:col>
      <xdr:colOff>587375</xdr:colOff>
      <xdr:row>23</xdr:row>
      <xdr:rowOff>188595</xdr:rowOff>
    </xdr:to>
    <xdr:sp macro="[0]!Sheet6.III21" textlink="">
      <xdr:nvSpPr>
        <xdr:cNvPr id="5" name="Rounded Rectangle 4"/>
        <xdr:cNvSpPr/>
      </xdr:nvSpPr>
      <xdr:spPr>
        <a:xfrm>
          <a:off x="60325" y="4328160"/>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60325</xdr:colOff>
      <xdr:row>26</xdr:row>
      <xdr:rowOff>8255</xdr:rowOff>
    </xdr:from>
    <xdr:to>
      <xdr:col>0</xdr:col>
      <xdr:colOff>587375</xdr:colOff>
      <xdr:row>26</xdr:row>
      <xdr:rowOff>186690</xdr:rowOff>
    </xdr:to>
    <xdr:sp macro="[0]!Sheet6.III22" textlink="">
      <xdr:nvSpPr>
        <xdr:cNvPr id="6" name="Rounded Rectangle 5"/>
        <xdr:cNvSpPr/>
      </xdr:nvSpPr>
      <xdr:spPr>
        <a:xfrm>
          <a:off x="60325" y="489775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60325</xdr:colOff>
      <xdr:row>29</xdr:row>
      <xdr:rowOff>11430</xdr:rowOff>
    </xdr:from>
    <xdr:to>
      <xdr:col>0</xdr:col>
      <xdr:colOff>587375</xdr:colOff>
      <xdr:row>29</xdr:row>
      <xdr:rowOff>187325</xdr:rowOff>
    </xdr:to>
    <xdr:sp macro="[0]!Sheet6.III23" textlink="">
      <xdr:nvSpPr>
        <xdr:cNvPr id="7" name="Rounded Rectangle 6"/>
        <xdr:cNvSpPr/>
      </xdr:nvSpPr>
      <xdr:spPr>
        <a:xfrm>
          <a:off x="60325" y="5472430"/>
          <a:ext cx="5270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64135</xdr:colOff>
      <xdr:row>37</xdr:row>
      <xdr:rowOff>7620</xdr:rowOff>
    </xdr:from>
    <xdr:to>
      <xdr:col>0</xdr:col>
      <xdr:colOff>591185</xdr:colOff>
      <xdr:row>37</xdr:row>
      <xdr:rowOff>186055</xdr:rowOff>
    </xdr:to>
    <xdr:sp macro="[0]!Sheet6.III31" textlink="">
      <xdr:nvSpPr>
        <xdr:cNvPr id="14" name="Rounded Rectangle 13"/>
        <xdr:cNvSpPr/>
      </xdr:nvSpPr>
      <xdr:spPr>
        <a:xfrm>
          <a:off x="64135" y="7106920"/>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64135</xdr:colOff>
      <xdr:row>40</xdr:row>
      <xdr:rowOff>5715</xdr:rowOff>
    </xdr:from>
    <xdr:to>
      <xdr:col>0</xdr:col>
      <xdr:colOff>591185</xdr:colOff>
      <xdr:row>40</xdr:row>
      <xdr:rowOff>184150</xdr:rowOff>
    </xdr:to>
    <xdr:sp macro="[0]!Sheet6.III32" textlink="">
      <xdr:nvSpPr>
        <xdr:cNvPr id="15" name="Rounded Rectangle 14"/>
        <xdr:cNvSpPr/>
      </xdr:nvSpPr>
      <xdr:spPr>
        <a:xfrm>
          <a:off x="64135" y="767651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64135</xdr:colOff>
      <xdr:row>43</xdr:row>
      <xdr:rowOff>9525</xdr:rowOff>
    </xdr:from>
    <xdr:to>
      <xdr:col>0</xdr:col>
      <xdr:colOff>591185</xdr:colOff>
      <xdr:row>43</xdr:row>
      <xdr:rowOff>185420</xdr:rowOff>
    </xdr:to>
    <xdr:sp macro="[0]!Sheet6.III33" textlink="">
      <xdr:nvSpPr>
        <xdr:cNvPr id="16" name="Rounded Rectangle 15"/>
        <xdr:cNvSpPr/>
      </xdr:nvSpPr>
      <xdr:spPr>
        <a:xfrm>
          <a:off x="64135" y="8251825"/>
          <a:ext cx="5270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62865</xdr:colOff>
      <xdr:row>51</xdr:row>
      <xdr:rowOff>7620</xdr:rowOff>
    </xdr:from>
    <xdr:to>
      <xdr:col>0</xdr:col>
      <xdr:colOff>589915</xdr:colOff>
      <xdr:row>51</xdr:row>
      <xdr:rowOff>186055</xdr:rowOff>
    </xdr:to>
    <xdr:sp macro="[0]!Sheet6.III41" textlink="">
      <xdr:nvSpPr>
        <xdr:cNvPr id="17" name="Rounded Rectangle 16"/>
        <xdr:cNvSpPr/>
      </xdr:nvSpPr>
      <xdr:spPr>
        <a:xfrm>
          <a:off x="62865" y="9888220"/>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62865</xdr:colOff>
      <xdr:row>54</xdr:row>
      <xdr:rowOff>5715</xdr:rowOff>
    </xdr:from>
    <xdr:to>
      <xdr:col>0</xdr:col>
      <xdr:colOff>589915</xdr:colOff>
      <xdr:row>54</xdr:row>
      <xdr:rowOff>184150</xdr:rowOff>
    </xdr:to>
    <xdr:sp macro="[0]!Sheet6.III42" textlink="">
      <xdr:nvSpPr>
        <xdr:cNvPr id="18" name="Rounded Rectangle 17"/>
        <xdr:cNvSpPr/>
      </xdr:nvSpPr>
      <xdr:spPr>
        <a:xfrm>
          <a:off x="62865" y="1045781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62865</xdr:colOff>
      <xdr:row>57</xdr:row>
      <xdr:rowOff>6350</xdr:rowOff>
    </xdr:from>
    <xdr:to>
      <xdr:col>0</xdr:col>
      <xdr:colOff>589915</xdr:colOff>
      <xdr:row>57</xdr:row>
      <xdr:rowOff>182245</xdr:rowOff>
    </xdr:to>
    <xdr:sp macro="[0]!Sheet6.III43" textlink="">
      <xdr:nvSpPr>
        <xdr:cNvPr id="19" name="Rounded Rectangle 18"/>
        <xdr:cNvSpPr/>
      </xdr:nvSpPr>
      <xdr:spPr>
        <a:xfrm>
          <a:off x="62865" y="11029950"/>
          <a:ext cx="5270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61595</xdr:colOff>
      <xdr:row>9</xdr:row>
      <xdr:rowOff>13335</xdr:rowOff>
    </xdr:from>
    <xdr:to>
      <xdr:col>0</xdr:col>
      <xdr:colOff>588645</xdr:colOff>
      <xdr:row>9</xdr:row>
      <xdr:rowOff>189230</xdr:rowOff>
    </xdr:to>
    <xdr:sp macro="[0]!Sheet7.IV1" textlink="">
      <xdr:nvSpPr>
        <xdr:cNvPr id="2" name="Rounded Rectangle 1"/>
        <xdr:cNvSpPr/>
      </xdr:nvSpPr>
      <xdr:spPr>
        <a:xfrm>
          <a:off x="61595" y="1727835"/>
          <a:ext cx="5270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61595</xdr:colOff>
      <xdr:row>17</xdr:row>
      <xdr:rowOff>8890</xdr:rowOff>
    </xdr:from>
    <xdr:to>
      <xdr:col>0</xdr:col>
      <xdr:colOff>588645</xdr:colOff>
      <xdr:row>17</xdr:row>
      <xdr:rowOff>189865</xdr:rowOff>
    </xdr:to>
    <xdr:sp macro="[0]!Sheet7.IV2" textlink="">
      <xdr:nvSpPr>
        <xdr:cNvPr id="3" name="Rounded Rectangle 2"/>
        <xdr:cNvSpPr/>
      </xdr:nvSpPr>
      <xdr:spPr>
        <a:xfrm>
          <a:off x="61595" y="3336290"/>
          <a:ext cx="5270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67945</xdr:colOff>
      <xdr:row>17</xdr:row>
      <xdr:rowOff>12700</xdr:rowOff>
    </xdr:from>
    <xdr:to>
      <xdr:col>0</xdr:col>
      <xdr:colOff>594995</xdr:colOff>
      <xdr:row>17</xdr:row>
      <xdr:rowOff>186055</xdr:rowOff>
    </xdr:to>
    <xdr:sp macro="[0]!Sheet8.V2" textlink="">
      <xdr:nvSpPr>
        <xdr:cNvPr id="2" name="Rounded Rectangle 1"/>
        <xdr:cNvSpPr/>
      </xdr:nvSpPr>
      <xdr:spPr>
        <a:xfrm>
          <a:off x="67945" y="3162300"/>
          <a:ext cx="527050" cy="17335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67945</xdr:colOff>
      <xdr:row>25</xdr:row>
      <xdr:rowOff>10795</xdr:rowOff>
    </xdr:from>
    <xdr:to>
      <xdr:col>0</xdr:col>
      <xdr:colOff>594995</xdr:colOff>
      <xdr:row>25</xdr:row>
      <xdr:rowOff>189230</xdr:rowOff>
    </xdr:to>
    <xdr:sp macro="[0]!Sheet8.V3" textlink="">
      <xdr:nvSpPr>
        <xdr:cNvPr id="3" name="Rounded Rectangle 2"/>
        <xdr:cNvSpPr/>
      </xdr:nvSpPr>
      <xdr:spPr>
        <a:xfrm>
          <a:off x="67945" y="4773295"/>
          <a:ext cx="5270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twoCellAnchor>
    <xdr:from>
      <xdr:col>0</xdr:col>
      <xdr:colOff>67945</xdr:colOff>
      <xdr:row>9</xdr:row>
      <xdr:rowOff>12065</xdr:rowOff>
    </xdr:from>
    <xdr:to>
      <xdr:col>0</xdr:col>
      <xdr:colOff>594995</xdr:colOff>
      <xdr:row>9</xdr:row>
      <xdr:rowOff>182880</xdr:rowOff>
    </xdr:to>
    <xdr:sp macro="[0]!Sheet8.V1" textlink="">
      <xdr:nvSpPr>
        <xdr:cNvPr id="4" name="Rounded Rectangle 3"/>
        <xdr:cNvSpPr/>
      </xdr:nvSpPr>
      <xdr:spPr>
        <a:xfrm>
          <a:off x="67945" y="1536065"/>
          <a:ext cx="527050" cy="17081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xdr:colOff>
      <xdr:row>9</xdr:row>
      <xdr:rowOff>11430</xdr:rowOff>
    </xdr:from>
    <xdr:to>
      <xdr:col>0</xdr:col>
      <xdr:colOff>586740</xdr:colOff>
      <xdr:row>9</xdr:row>
      <xdr:rowOff>179705</xdr:rowOff>
    </xdr:to>
    <xdr:sp macro="[0]!Sheet9.VI1" textlink="">
      <xdr:nvSpPr>
        <xdr:cNvPr id="2" name="Rounded Rectangle 1"/>
        <xdr:cNvSpPr/>
      </xdr:nvSpPr>
      <xdr:spPr>
        <a:xfrm>
          <a:off x="59690" y="1535430"/>
          <a:ext cx="527050" cy="1682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row</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88900</xdr:colOff>
      <xdr:row>67</xdr:row>
      <xdr:rowOff>6350</xdr:rowOff>
    </xdr:from>
    <xdr:to>
      <xdr:col>9</xdr:col>
      <xdr:colOff>12700</xdr:colOff>
      <xdr:row>78</xdr:row>
      <xdr:rowOff>12700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67</xdr:row>
      <xdr:rowOff>12700</xdr:rowOff>
    </xdr:from>
    <xdr:to>
      <xdr:col>3</xdr:col>
      <xdr:colOff>1270000</xdr:colOff>
      <xdr:row>78</xdr:row>
      <xdr:rowOff>12700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1193800</xdr:colOff>
      <xdr:row>67</xdr:row>
      <xdr:rowOff>12700</xdr:rowOff>
    </xdr:from>
    <xdr:to>
      <xdr:col>4</xdr:col>
      <xdr:colOff>279400</xdr:colOff>
      <xdr:row>78</xdr:row>
      <xdr:rowOff>12700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139700</xdr:colOff>
      <xdr:row>67</xdr:row>
      <xdr:rowOff>12700</xdr:rowOff>
    </xdr:from>
    <xdr:to>
      <xdr:col>7</xdr:col>
      <xdr:colOff>431800</xdr:colOff>
      <xdr:row>78</xdr:row>
      <xdr:rowOff>12700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81</xdr:row>
      <xdr:rowOff>12700</xdr:rowOff>
    </xdr:from>
    <xdr:to>
      <xdr:col>9</xdr:col>
      <xdr:colOff>12700</xdr:colOff>
      <xdr:row>102</xdr:row>
      <xdr:rowOff>38100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762000</xdr:colOff>
      <xdr:row>105</xdr:row>
      <xdr:rowOff>190500</xdr:rowOff>
    </xdr:from>
    <xdr:to>
      <xdr:col>7</xdr:col>
      <xdr:colOff>482600</xdr:colOff>
      <xdr:row>120</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doust/Library/Caches/TemporaryItems/Outlook%20Temp/GPC%20Reporting%20Tool_V1.2_ENG_Ri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Emission sources"/>
      <sheetName val="City information"/>
      <sheetName val="I - Stationary"/>
      <sheetName val="II - Transport"/>
      <sheetName val="III - Waste"/>
      <sheetName val="IV - IPPU"/>
      <sheetName val="V - AFOLU"/>
      <sheetName val="VI - Other scope 3"/>
      <sheetName val="Emission factors"/>
      <sheetName val="Data sources"/>
      <sheetName val="Table A. GPC GHG Overview"/>
      <sheetName val="Table B. GPC Summary"/>
      <sheetName val="Graphs"/>
      <sheetName val="Table B. GPC Summary (2)"/>
      <sheetName val="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AB3" t="str">
            <v/>
          </cell>
        </row>
        <row r="4">
          <cell r="A4" t="str">
            <v>Please select</v>
          </cell>
          <cell r="B4" t="str">
            <v>Please select</v>
          </cell>
          <cell r="C4" t="str">
            <v>Please select</v>
          </cell>
          <cell r="D4" t="str">
            <v>NO</v>
          </cell>
          <cell r="E4" t="str">
            <v>L</v>
          </cell>
          <cell r="F4" t="str">
            <v>CO2</v>
          </cell>
          <cell r="G4" t="str">
            <v>Please select</v>
          </cell>
          <cell r="H4" t="str">
            <v>Please select</v>
          </cell>
          <cell r="I4" t="str">
            <v>Please select</v>
          </cell>
          <cell r="K4" t="str">
            <v>Please select</v>
          </cell>
          <cell r="M4" t="str">
            <v>Please select</v>
          </cell>
          <cell r="O4" t="str">
            <v>Please select</v>
          </cell>
          <cell r="P4" t="str">
            <v>Please select</v>
          </cell>
          <cell r="R4" t="str">
            <v>Please select</v>
          </cell>
          <cell r="T4" t="str">
            <v>Please select</v>
          </cell>
          <cell r="V4" t="str">
            <v>Please select</v>
          </cell>
          <cell r="X4" t="str">
            <v>Please select</v>
          </cell>
          <cell r="Z4" t="str">
            <v>Please select</v>
          </cell>
          <cell r="AB4" t="str">
            <v>Please select</v>
          </cell>
          <cell r="AD4" t="str">
            <v>Please select</v>
          </cell>
          <cell r="AF4" t="str">
            <v>Please select</v>
          </cell>
          <cell r="AG4" t="str">
            <v>Please select</v>
          </cell>
          <cell r="AH4" t="str">
            <v>Please select</v>
          </cell>
          <cell r="AJ4" t="str">
            <v>Please select</v>
          </cell>
          <cell r="AL4" t="str">
            <v>Please select</v>
          </cell>
          <cell r="AN4" t="str">
            <v>Please select</v>
          </cell>
          <cell r="AP4" t="str">
            <v>Please select</v>
          </cell>
          <cell r="AR4" t="str">
            <v>Please select</v>
          </cell>
          <cell r="AS4" t="str">
            <v>Calendar year</v>
          </cell>
          <cell r="AT4" t="str">
            <v>Annual</v>
          </cell>
          <cell r="AU4" t="str">
            <v>Local</v>
          </cell>
        </row>
        <row r="5">
          <cell r="A5" t="str">
            <v xml:space="preserve">Administrative boundary of a local government </v>
          </cell>
          <cell r="B5" t="str">
            <v>Industry &amp; Manufacturing</v>
          </cell>
          <cell r="C5" t="str">
            <v>Tropical rainforest</v>
          </cell>
          <cell r="D5" t="str">
            <v>IE</v>
          </cell>
          <cell r="E5" t="str">
            <v>M</v>
          </cell>
          <cell r="F5" t="str">
            <v>CH4</v>
          </cell>
          <cell r="G5" t="str">
            <v>Gas (natural gas)</v>
          </cell>
          <cell r="H5" t="str">
            <v>Electricity</v>
          </cell>
          <cell r="I5" t="str">
            <v>Electricity generation</v>
          </cell>
          <cell r="K5" t="str">
            <v>All activities</v>
          </cell>
          <cell r="M5" t="str">
            <v>All activities</v>
          </cell>
          <cell r="O5" t="str">
            <v>Fuel sales approach</v>
          </cell>
          <cell r="P5" t="str">
            <v>Compressed natural gas (CNG)</v>
          </cell>
          <cell r="R5" t="str">
            <v>Diesel oil</v>
          </cell>
          <cell r="T5" t="str">
            <v>Compressed natural gas (CNG)</v>
          </cell>
          <cell r="V5" t="str">
            <v>Aviation gasoline</v>
          </cell>
          <cell r="X5" t="str">
            <v>Landfill sites - Methane commitment</v>
          </cell>
          <cell r="Z5" t="str">
            <v>All organic waste</v>
          </cell>
          <cell r="AB5" t="str">
            <v>Open burning of waste</v>
          </cell>
          <cell r="AD5" t="str">
            <v>All wastewater</v>
          </cell>
          <cell r="AF5" t="str">
            <v>All waste</v>
          </cell>
          <cell r="AG5" t="str">
            <v>All organic waste</v>
          </cell>
          <cell r="AH5" t="str">
            <v>All industrial processes</v>
          </cell>
          <cell r="AJ5" t="str">
            <v>All product use</v>
          </cell>
          <cell r="AL5" t="str">
            <v>All livestock</v>
          </cell>
          <cell r="AN5" t="str">
            <v>All land</v>
          </cell>
          <cell r="AP5" t="str">
            <v>Burning</v>
          </cell>
          <cell r="AR5" t="str">
            <v>Goods and services</v>
          </cell>
          <cell r="AS5" t="str">
            <v>Financial year</v>
          </cell>
          <cell r="AT5" t="str">
            <v>Every 2 years</v>
          </cell>
          <cell r="AU5" t="str">
            <v>Metro</v>
          </cell>
        </row>
        <row r="6">
          <cell r="A6" t="str">
            <v>Combination of administrative divisions</v>
          </cell>
          <cell r="B6" t="str">
            <v>Services</v>
          </cell>
          <cell r="C6" t="str">
            <v>Tropical monsoon</v>
          </cell>
          <cell r="D6" t="str">
            <v>NE</v>
          </cell>
          <cell r="E6" t="str">
            <v>H</v>
          </cell>
          <cell r="F6" t="str">
            <v>N2O</v>
          </cell>
          <cell r="G6" t="str">
            <v>Compressed natural gas (CNG)</v>
          </cell>
          <cell r="H6" t="str">
            <v>Electricity (CHP)</v>
          </cell>
          <cell r="I6" t="str">
            <v>Combined heat and power generation (CHP)</v>
          </cell>
          <cell r="K6" t="str">
            <v>Coal mining and handling</v>
          </cell>
          <cell r="M6" t="str">
            <v>Oil</v>
          </cell>
          <cell r="O6" t="str">
            <v>City-induced activity</v>
          </cell>
          <cell r="P6" t="str">
            <v xml:space="preserve">Gas oil </v>
          </cell>
          <cell r="R6" t="str">
            <v>Electricity</v>
          </cell>
          <cell r="T6" t="str">
            <v xml:space="preserve">Gas oil </v>
          </cell>
          <cell r="V6" t="str">
            <v>Jet gasoline</v>
          </cell>
          <cell r="X6" t="str">
            <v>Landfill sites - First order decay</v>
          </cell>
          <cell r="Z6" t="str">
            <v>Composting</v>
          </cell>
          <cell r="AB6" t="str">
            <v>Waste incineration</v>
          </cell>
          <cell r="AD6" t="str">
            <v>Domestic wastewater</v>
          </cell>
          <cell r="AF6" t="str">
            <v>Municipal solid waste</v>
          </cell>
          <cell r="AG6" t="str">
            <v>Food waste</v>
          </cell>
          <cell r="AH6" t="str">
            <v>Mineral industry</v>
          </cell>
          <cell r="AJ6" t="str">
            <v>Non-energy products from fuels and solvent use</v>
          </cell>
          <cell r="AL6" t="str">
            <v>Cattle</v>
          </cell>
          <cell r="AN6" t="str">
            <v>Forest land</v>
          </cell>
          <cell r="AP6" t="str">
            <v xml:space="preserve">  Burning in Forest land</v>
          </cell>
          <cell r="AR6" t="str">
            <v>Food</v>
          </cell>
          <cell r="AS6" t="str">
            <v>Other (please specify)</v>
          </cell>
          <cell r="AT6" t="str">
            <v>Every 3 years</v>
          </cell>
          <cell r="AU6" t="str">
            <v>Regional</v>
          </cell>
        </row>
        <row r="7">
          <cell r="A7" t="str">
            <v>A metropolitan area</v>
          </cell>
          <cell r="B7" t="str">
            <v>Agriculture &amp; Fishing</v>
          </cell>
          <cell r="C7" t="str">
            <v>Tropical savannah</v>
          </cell>
          <cell r="D7" t="str">
            <v>C</v>
          </cell>
          <cell r="F7" t="str">
            <v>CO2, CH4</v>
          </cell>
          <cell r="G7" t="str">
            <v xml:space="preserve">Crude oil </v>
          </cell>
          <cell r="H7" t="str">
            <v>Heating</v>
          </cell>
          <cell r="I7" t="str">
            <v>Heat plants</v>
          </cell>
          <cell r="K7" t="str">
            <v xml:space="preserve">  Underground mines</v>
          </cell>
          <cell r="M7" t="str">
            <v xml:space="preserve">  Venting</v>
          </cell>
          <cell r="O7" t="str">
            <v>Georgraphic / Territorial</v>
          </cell>
          <cell r="P7" t="str">
            <v>Diesel oil</v>
          </cell>
          <cell r="R7" t="str">
            <v>Distance travelled (vehicle)</v>
          </cell>
          <cell r="T7" t="str">
            <v>Diesel oil</v>
          </cell>
          <cell r="V7" t="str">
            <v>Jet kerosene</v>
          </cell>
          <cell r="X7" t="str">
            <v>Other managed waste disposal site(s)</v>
          </cell>
          <cell r="Z7" t="str">
            <v>Anaerobic digestion</v>
          </cell>
          <cell r="AD7" t="str">
            <v>Industrial wastewater</v>
          </cell>
          <cell r="AF7" t="str">
            <v>Sludge</v>
          </cell>
          <cell r="AG7" t="str">
            <v>Garden and park waste</v>
          </cell>
          <cell r="AH7" t="str">
            <v xml:space="preserve">  Cement production</v>
          </cell>
          <cell r="AJ7" t="str">
            <v xml:space="preserve">  Lubricant use</v>
          </cell>
          <cell r="AL7" t="str">
            <v>Buffalo</v>
          </cell>
          <cell r="AN7" t="str">
            <v xml:space="preserve">  Forest land remaining Forest land</v>
          </cell>
          <cell r="AP7" t="str">
            <v xml:space="preserve">  Burning in Cropland</v>
          </cell>
          <cell r="AR7" t="str">
            <v>Construction</v>
          </cell>
          <cell r="AT7" t="str">
            <v>Every 4 years</v>
          </cell>
          <cell r="AU7" t="str">
            <v>National</v>
          </cell>
        </row>
        <row r="8">
          <cell r="A8" t="str">
            <v>Other (please specify)</v>
          </cell>
          <cell r="B8" t="str">
            <v>Other (please specify)</v>
          </cell>
          <cell r="C8" t="str">
            <v>Dry desert</v>
          </cell>
          <cell r="F8" t="str">
            <v>CO2, N2O</v>
          </cell>
          <cell r="G8" t="str">
            <v xml:space="preserve">Gas oil </v>
          </cell>
          <cell r="H8" t="str">
            <v>Heating (CHP)</v>
          </cell>
          <cell r="I8" t="str">
            <v>Other (please specify)</v>
          </cell>
          <cell r="K8" t="str">
            <v xml:space="preserve">    Mining</v>
          </cell>
          <cell r="M8" t="str">
            <v xml:space="preserve">  Flaring</v>
          </cell>
          <cell r="O8" t="str">
            <v>Resident activity</v>
          </cell>
          <cell r="P8" t="str">
            <v>Motor gasoline (petrol)</v>
          </cell>
          <cell r="R8" t="str">
            <v>Distance travelled (passenger)</v>
          </cell>
          <cell r="T8" t="str">
            <v>Motor gasoline (petrol)</v>
          </cell>
          <cell r="V8" t="str">
            <v>Electricity</v>
          </cell>
          <cell r="X8" t="str">
            <v>Unmanaged waste disposal sites</v>
          </cell>
          <cell r="Z8" t="str">
            <v>Other (please specify)</v>
          </cell>
          <cell r="AF8" t="str">
            <v>Industrial waste</v>
          </cell>
          <cell r="AG8" t="str">
            <v>Sludge</v>
          </cell>
          <cell r="AH8" t="str">
            <v xml:space="preserve">  Lime production</v>
          </cell>
          <cell r="AJ8" t="str">
            <v xml:space="preserve">  Parraffin wax use</v>
          </cell>
          <cell r="AL8" t="str">
            <v>Sheep</v>
          </cell>
          <cell r="AN8" t="str">
            <v xml:space="preserve">  Crop land converted to Forest land</v>
          </cell>
          <cell r="AP8" t="str">
            <v xml:space="preserve">  Burning in Grassland</v>
          </cell>
          <cell r="AR8" t="str">
            <v>Upstream emissions from energy use</v>
          </cell>
          <cell r="AT8" t="str">
            <v>Every 5 years</v>
          </cell>
          <cell r="AU8" t="str">
            <v>International</v>
          </cell>
        </row>
        <row r="9">
          <cell r="C9" t="str">
            <v>Dry steppe (hot)</v>
          </cell>
          <cell r="F9" t="str">
            <v>CH4, N2O</v>
          </cell>
          <cell r="G9" t="str">
            <v xml:space="preserve">Diesel oil </v>
          </cell>
          <cell r="H9" t="str">
            <v>Steam</v>
          </cell>
          <cell r="K9" t="str">
            <v xml:space="preserve">    Post-mining seam gas emissions</v>
          </cell>
          <cell r="M9" t="str">
            <v xml:space="preserve">  Exploration</v>
          </cell>
          <cell r="P9" t="str">
            <v>Kerosene</v>
          </cell>
          <cell r="R9" t="str">
            <v>Distance travelled (freight)</v>
          </cell>
          <cell r="T9" t="str">
            <v>Kerosene</v>
          </cell>
          <cell r="V9" t="str">
            <v>Distance travelled (vehicle)</v>
          </cell>
          <cell r="X9" t="str">
            <v>Uncategorised waste disposal sites</v>
          </cell>
          <cell r="AF9" t="str">
            <v>Other (please specify)</v>
          </cell>
          <cell r="AG9" t="str">
            <v>Other (please specify)</v>
          </cell>
          <cell r="AH9" t="str">
            <v xml:space="preserve">  Glass production</v>
          </cell>
          <cell r="AJ9" t="str">
            <v xml:space="preserve">  Solvent use</v>
          </cell>
          <cell r="AL9" t="str">
            <v>Goats</v>
          </cell>
          <cell r="AN9" t="str">
            <v xml:space="preserve">  Grassland converted to Forest land</v>
          </cell>
          <cell r="AP9" t="str">
            <v xml:space="preserve">  Burning in All Other land</v>
          </cell>
          <cell r="AR9" t="str">
            <v>Other (please specify)</v>
          </cell>
          <cell r="AT9" t="str">
            <v>As required</v>
          </cell>
          <cell r="AU9" t="str">
            <v>Other (please specify)</v>
          </cell>
        </row>
        <row r="10">
          <cell r="C10" t="str">
            <v>Dry steppe (cold)</v>
          </cell>
          <cell r="F10" t="str">
            <v>CO2, CH4, N2O</v>
          </cell>
          <cell r="G10" t="str">
            <v>Motor gasoline (petrol)</v>
          </cell>
          <cell r="H10" t="str">
            <v>Steam (CHP)</v>
          </cell>
          <cell r="K10" t="str">
            <v xml:space="preserve">    Abandoned underground mines</v>
          </cell>
          <cell r="M10" t="str">
            <v xml:space="preserve">  Production and Upgrading</v>
          </cell>
          <cell r="P10" t="str">
            <v xml:space="preserve">Residual fuel oil </v>
          </cell>
          <cell r="R10" t="str">
            <v>Travel expenditure</v>
          </cell>
          <cell r="T10" t="str">
            <v xml:space="preserve">Residual fuel oil </v>
          </cell>
          <cell r="V10" t="str">
            <v>Distance travelled (passenger)</v>
          </cell>
          <cell r="AH10" t="str">
            <v xml:space="preserve">  Other Process Uses of Carbonates</v>
          </cell>
          <cell r="AJ10" t="str">
            <v>Electronics industry</v>
          </cell>
          <cell r="AL10" t="str">
            <v>Camels</v>
          </cell>
          <cell r="AN10" t="str">
            <v xml:space="preserve">  Settlements converted to Forest land</v>
          </cell>
          <cell r="AP10" t="str">
            <v>Liming</v>
          </cell>
          <cell r="AT10" t="str">
            <v>Once</v>
          </cell>
        </row>
        <row r="11">
          <cell r="C11" t="str">
            <v>Temperate, dry summer (Mediterranean)</v>
          </cell>
          <cell r="F11" t="str">
            <v>HFCs</v>
          </cell>
          <cell r="G11" t="str">
            <v xml:space="preserve">Kerosene </v>
          </cell>
          <cell r="H11" t="str">
            <v>Cooling</v>
          </cell>
          <cell r="K11" t="str">
            <v xml:space="preserve">    Flaring of drained CH4 or conversion of CH4 to CO2</v>
          </cell>
          <cell r="M11" t="str">
            <v xml:space="preserve">  Transport</v>
          </cell>
          <cell r="P11" t="str">
            <v>Liquefied petroleum gas (LPG)</v>
          </cell>
          <cell r="R11" t="str">
            <v>Travel time</v>
          </cell>
          <cell r="T11" t="str">
            <v>Liquefied petroleum gas (LPG)</v>
          </cell>
          <cell r="V11" t="str">
            <v>Distance travelled (freight)</v>
          </cell>
          <cell r="AH11" t="str">
            <v>Chemical industry</v>
          </cell>
          <cell r="AJ11" t="str">
            <v xml:space="preserve">  Integrated circuit or semiconductor</v>
          </cell>
          <cell r="AL11" t="str">
            <v>Horses</v>
          </cell>
          <cell r="AN11" t="str">
            <v xml:space="preserve">  Wetlands converted to Forest land</v>
          </cell>
          <cell r="AP11" t="str">
            <v>Urea fertilization</v>
          </cell>
          <cell r="AT11" t="str">
            <v>Other (please specify)</v>
          </cell>
        </row>
        <row r="12">
          <cell r="C12" t="str">
            <v>Temperate, dry winter</v>
          </cell>
          <cell r="F12" t="str">
            <v>PFCs</v>
          </cell>
          <cell r="G12" t="str">
            <v xml:space="preserve">Residual fuel oil </v>
          </cell>
          <cell r="H12" t="str">
            <v>Cooling (CHP)</v>
          </cell>
          <cell r="K12" t="str">
            <v xml:space="preserve">  Surface mines</v>
          </cell>
          <cell r="M12" t="str">
            <v xml:space="preserve">  Refining</v>
          </cell>
          <cell r="P12" t="str">
            <v>Liquefied natural gas (LNG)</v>
          </cell>
          <cell r="R12" t="str">
            <v>T&amp;D losses from grid-supplied energy consumption</v>
          </cell>
          <cell r="T12" t="str">
            <v>Liquefied natural gas (LNG)</v>
          </cell>
          <cell r="V12" t="str">
            <v>Travel expenditure</v>
          </cell>
          <cell r="AH12" t="str">
            <v xml:space="preserve">  Ammonia production</v>
          </cell>
          <cell r="AJ12" t="str">
            <v xml:space="preserve">  TFT flat panel display</v>
          </cell>
          <cell r="AL12" t="str">
            <v>Mules and Asses</v>
          </cell>
          <cell r="AN12" t="str">
            <v xml:space="preserve">  Other land converted to Forest land</v>
          </cell>
          <cell r="AP12" t="str">
            <v>Direct N2O from managed soils</v>
          </cell>
        </row>
        <row r="13">
          <cell r="C13" t="str">
            <v>Temperate, hot summer</v>
          </cell>
          <cell r="F13" t="str">
            <v>SF6</v>
          </cell>
          <cell r="G13" t="str">
            <v>Liquefied petroleum gases (LPG)</v>
          </cell>
          <cell r="H13" t="str">
            <v>Other (please specify)</v>
          </cell>
          <cell r="K13" t="str">
            <v xml:space="preserve">    Mining</v>
          </cell>
          <cell r="M13" t="str">
            <v xml:space="preserve">  Distribution of oil products</v>
          </cell>
          <cell r="P13" t="str">
            <v>Biogasoline</v>
          </cell>
          <cell r="R13" t="str">
            <v>Other (please specify)</v>
          </cell>
          <cell r="T13" t="str">
            <v>Biogasoline</v>
          </cell>
          <cell r="V13" t="str">
            <v>Travel time</v>
          </cell>
          <cell r="AH13" t="str">
            <v xml:space="preserve">  Nitric acid production</v>
          </cell>
          <cell r="AJ13" t="str">
            <v xml:space="preserve">  Photovoltaics</v>
          </cell>
          <cell r="AL13" t="str">
            <v>Swine</v>
          </cell>
          <cell r="AN13" t="str">
            <v>Crop land</v>
          </cell>
          <cell r="AP13" t="str">
            <v>Indirect N2O from managed soils</v>
          </cell>
        </row>
        <row r="14">
          <cell r="C14" t="str">
            <v>Temperate, warm summer</v>
          </cell>
          <cell r="F14" t="str">
            <v>HFCs, PFCs</v>
          </cell>
          <cell r="G14" t="str">
            <v>Liquefied natural gas (LNG)</v>
          </cell>
          <cell r="K14" t="str">
            <v xml:space="preserve">    Post-mining seam gas emissions</v>
          </cell>
          <cell r="M14" t="str">
            <v xml:space="preserve">  Other</v>
          </cell>
          <cell r="P14" t="str">
            <v>Biodiesels</v>
          </cell>
          <cell r="T14" t="str">
            <v>Biodiesels</v>
          </cell>
          <cell r="V14" t="str">
            <v>T&amp;D losses from grid-supplied energy consumption</v>
          </cell>
          <cell r="AH14" t="str">
            <v xml:space="preserve">  Adipic acid production</v>
          </cell>
          <cell r="AJ14" t="str">
            <v xml:space="preserve">  Heat transfer fluid</v>
          </cell>
          <cell r="AL14" t="str">
            <v>Poultry</v>
          </cell>
          <cell r="AN14" t="str">
            <v xml:space="preserve">  Crop land remaining Crop land</v>
          </cell>
          <cell r="AP14" t="str">
            <v>Indirect N2O from manure management</v>
          </cell>
        </row>
        <row r="15">
          <cell r="C15" t="str">
            <v>Temperate, cold summer</v>
          </cell>
          <cell r="F15" t="str">
            <v>HFCs, SF6</v>
          </cell>
          <cell r="G15" t="str">
            <v xml:space="preserve">Naphtha </v>
          </cell>
          <cell r="K15" t="str">
            <v>Uncontrolled combustion and burning coal dumps</v>
          </cell>
          <cell r="M15" t="str">
            <v>Natural gas</v>
          </cell>
          <cell r="P15" t="str">
            <v>Methanol</v>
          </cell>
          <cell r="T15" t="str">
            <v>Methanol</v>
          </cell>
          <cell r="V15" t="str">
            <v>Other (please specify)</v>
          </cell>
          <cell r="AH15" t="str">
            <v xml:space="preserve">  Caprolactam production</v>
          </cell>
          <cell r="AJ15" t="str">
            <v>Product uses as substitutes for ozone depleting substances</v>
          </cell>
          <cell r="AL15" t="str">
            <v>Other (please specify)</v>
          </cell>
          <cell r="AN15" t="str">
            <v xml:space="preserve">  Forest land converted to Crop land</v>
          </cell>
          <cell r="AP15" t="str">
            <v>Rice cultivations</v>
          </cell>
        </row>
        <row r="16">
          <cell r="C16" t="str">
            <v>Cold, dry summer</v>
          </cell>
          <cell r="F16" t="str">
            <v>PFCs, SF6</v>
          </cell>
          <cell r="G16" t="str">
            <v xml:space="preserve">Bitumen </v>
          </cell>
          <cell r="K16" t="str">
            <v>Solid fuel transformation</v>
          </cell>
          <cell r="M16" t="str">
            <v xml:space="preserve">  Venting</v>
          </cell>
          <cell r="P16" t="str">
            <v>Ethanol</v>
          </cell>
          <cell r="T16" t="str">
            <v>Ethanol</v>
          </cell>
          <cell r="AH16" t="str">
            <v xml:space="preserve">  Carbide production</v>
          </cell>
          <cell r="AJ16" t="str">
            <v xml:space="preserve">  Refrigeration and air conditioning</v>
          </cell>
          <cell r="AN16" t="str">
            <v xml:space="preserve">  Grassland converted to Crop land</v>
          </cell>
          <cell r="AP16" t="str">
            <v>CH4 from drained organic soils</v>
          </cell>
        </row>
        <row r="17">
          <cell r="C17" t="str">
            <v>Cold, dry winter</v>
          </cell>
          <cell r="F17" t="str">
            <v>HFCs, PFCs, SF6</v>
          </cell>
          <cell r="G17" t="str">
            <v xml:space="preserve">Lubricants </v>
          </cell>
          <cell r="K17" t="str">
            <v>Other (please specify)</v>
          </cell>
          <cell r="M17" t="str">
            <v xml:space="preserve">  Flaring</v>
          </cell>
          <cell r="P17" t="str">
            <v>E85</v>
          </cell>
          <cell r="T17" t="str">
            <v>E85</v>
          </cell>
          <cell r="AH17" t="str">
            <v xml:space="preserve">  Titanium dioxide production</v>
          </cell>
          <cell r="AJ17" t="str">
            <v xml:space="preserve">    Refrigeration and stationary air conditioning</v>
          </cell>
          <cell r="AN17" t="str">
            <v xml:space="preserve">  Settlements converted to Crop land</v>
          </cell>
          <cell r="AP17" t="str">
            <v>CH4 from drainage ditches on organic soils</v>
          </cell>
        </row>
        <row r="18">
          <cell r="C18" t="str">
            <v>Cold, hot summer</v>
          </cell>
          <cell r="F18" t="str">
            <v>NF3</v>
          </cell>
          <cell r="G18" t="str">
            <v xml:space="preserve">Petroleum coke </v>
          </cell>
          <cell r="M18" t="str">
            <v xml:space="preserve">  Exploration</v>
          </cell>
          <cell r="P18" t="str">
            <v>Other liquid biofuels</v>
          </cell>
          <cell r="T18" t="str">
            <v>Other liquid biofuels</v>
          </cell>
          <cell r="AH18" t="str">
            <v xml:space="preserve">  Soda ash production</v>
          </cell>
          <cell r="AJ18" t="str">
            <v xml:space="preserve">    Mobile air conditioning</v>
          </cell>
          <cell r="AN18" t="str">
            <v xml:space="preserve">  Wetlands converted to Crop land</v>
          </cell>
          <cell r="AP18" t="str">
            <v>CH4 from rewetting of organic soils</v>
          </cell>
        </row>
        <row r="19">
          <cell r="C19" t="str">
            <v>Cold, warm summer</v>
          </cell>
          <cell r="F19" t="str">
            <v>All F-gases</v>
          </cell>
          <cell r="G19" t="str">
            <v>Coal (bituminous or black coal)</v>
          </cell>
          <cell r="M19" t="str">
            <v xml:space="preserve">  Production</v>
          </cell>
          <cell r="P19" t="str">
            <v>Other biogas</v>
          </cell>
          <cell r="T19" t="str">
            <v>Other biogas</v>
          </cell>
          <cell r="AH19" t="str">
            <v xml:space="preserve">  Petrochemical and black carbon production</v>
          </cell>
          <cell r="AJ19" t="str">
            <v xml:space="preserve">  Foam blowing agents</v>
          </cell>
          <cell r="AN19" t="str">
            <v xml:space="preserve">  Other land converted to Crop land</v>
          </cell>
          <cell r="AP19" t="str">
            <v>CH4 emissions from rewetting of mangroves and tidal marshes</v>
          </cell>
        </row>
        <row r="20">
          <cell r="C20" t="str">
            <v>Cold, cold summer</v>
          </cell>
          <cell r="F20" t="str">
            <v>All GHGs</v>
          </cell>
          <cell r="G20" t="str">
            <v>Coal (coke)</v>
          </cell>
          <cell r="M20" t="str">
            <v xml:space="preserve">  Processing</v>
          </cell>
          <cell r="P20" t="str">
            <v>Electricity</v>
          </cell>
          <cell r="T20" t="str">
            <v>Electricity</v>
          </cell>
          <cell r="AH20" t="str">
            <v xml:space="preserve">  Fluorochemical production</v>
          </cell>
          <cell r="AJ20" t="str">
            <v xml:space="preserve">  Fire protection</v>
          </cell>
          <cell r="AN20" t="str">
            <v>Grassland</v>
          </cell>
          <cell r="AP20" t="str">
            <v>N2O emissions from aquaculture</v>
          </cell>
        </row>
        <row r="21">
          <cell r="C21" t="str">
            <v>Cold, very cold winter</v>
          </cell>
          <cell r="G21" t="str">
            <v>Coal (manufactured solid fuels)</v>
          </cell>
          <cell r="M21" t="str">
            <v xml:space="preserve">  Transmission and storage</v>
          </cell>
          <cell r="P21" t="str">
            <v>Distance travelled (vehicle)</v>
          </cell>
          <cell r="T21" t="str">
            <v>Distance travelled (vehicle)</v>
          </cell>
          <cell r="AH21" t="str">
            <v>Metal industry</v>
          </cell>
          <cell r="AJ21" t="str">
            <v xml:space="preserve">  Aerosols</v>
          </cell>
          <cell r="AN21" t="str">
            <v xml:space="preserve">  Grassland remaining Grassland</v>
          </cell>
          <cell r="AP21" t="str">
            <v>CH4 emissions from rewetted and created wetlands on inland wetland mineral soils</v>
          </cell>
        </row>
        <row r="22">
          <cell r="C22" t="str">
            <v>Polar, tundra</v>
          </cell>
          <cell r="G22" t="str">
            <v xml:space="preserve">Municipal wastes (all) </v>
          </cell>
          <cell r="M22" t="str">
            <v xml:space="preserve">  Distribution</v>
          </cell>
          <cell r="P22" t="str">
            <v>Distance travelled (passenger)</v>
          </cell>
          <cell r="T22" t="str">
            <v>Distance travelled (passenger)</v>
          </cell>
          <cell r="AH22" t="str">
            <v xml:space="preserve">  Iron and steel production</v>
          </cell>
          <cell r="AJ22" t="str">
            <v xml:space="preserve">  Solvents</v>
          </cell>
          <cell r="AN22" t="str">
            <v xml:space="preserve">  Forest land converted to Grassland</v>
          </cell>
          <cell r="AP22" t="str">
            <v>Harvested wood products</v>
          </cell>
        </row>
        <row r="23">
          <cell r="C23" t="str">
            <v>Polar, frost</v>
          </cell>
          <cell r="G23" t="str">
            <v xml:space="preserve">Municipal wastes (non-biomass fraction) </v>
          </cell>
          <cell r="M23" t="str">
            <v>Other (please specify)</v>
          </cell>
          <cell r="P23" t="str">
            <v>Distance travelled (freight)</v>
          </cell>
          <cell r="T23" t="str">
            <v>Distance travelled (freight)</v>
          </cell>
          <cell r="AH23" t="str">
            <v xml:space="preserve">  Ferroalloy production</v>
          </cell>
          <cell r="AJ23" t="str">
            <v>Other product manufacture and use</v>
          </cell>
          <cell r="AN23" t="str">
            <v xml:space="preserve">  Crop land converted to Grassland</v>
          </cell>
          <cell r="AP23" t="str">
            <v>Other (please specify)</v>
          </cell>
        </row>
        <row r="24">
          <cell r="G24" t="str">
            <v xml:space="preserve">Municipal wastes (biomass fraction) </v>
          </cell>
          <cell r="P24" t="str">
            <v>Travel expenditure</v>
          </cell>
          <cell r="T24" t="str">
            <v>Travel expenditure</v>
          </cell>
          <cell r="AH24" t="str">
            <v xml:space="preserve">  Aluminium production</v>
          </cell>
          <cell r="AJ24" t="str">
            <v xml:space="preserve">  Electrical equipment</v>
          </cell>
          <cell r="AN24" t="str">
            <v xml:space="preserve">  Wetlands converted to Grassland</v>
          </cell>
        </row>
        <row r="25">
          <cell r="G25" t="str">
            <v xml:space="preserve">Wood or wood waste </v>
          </cell>
          <cell r="P25" t="str">
            <v>Travel time</v>
          </cell>
          <cell r="T25" t="str">
            <v>Travel time</v>
          </cell>
          <cell r="AH25" t="str">
            <v xml:space="preserve">  Magnesium production</v>
          </cell>
          <cell r="AJ25" t="str">
            <v xml:space="preserve">  SF6 and PFCs from other product uses</v>
          </cell>
          <cell r="AN25" t="str">
            <v xml:space="preserve">  Settlements converted to Grassland</v>
          </cell>
        </row>
        <row r="26">
          <cell r="G26" t="str">
            <v xml:space="preserve">Charcoal </v>
          </cell>
          <cell r="P26" t="str">
            <v>T&amp;D losses from grid-supplied energy consumption</v>
          </cell>
          <cell r="T26" t="str">
            <v>T&amp;D losses from grid-supplied energy consumption</v>
          </cell>
          <cell r="AH26" t="str">
            <v xml:space="preserve">  Lead production</v>
          </cell>
          <cell r="AJ26" t="str">
            <v xml:space="preserve">  N2O from product uses</v>
          </cell>
          <cell r="AN26" t="str">
            <v xml:space="preserve">  Other land converted to Grassland</v>
          </cell>
        </row>
        <row r="27">
          <cell r="G27" t="str">
            <v xml:space="preserve">Biogasoline </v>
          </cell>
          <cell r="P27" t="str">
            <v>Other (please specify)</v>
          </cell>
          <cell r="T27" t="str">
            <v>Other (please specify)</v>
          </cell>
          <cell r="AH27" t="str">
            <v xml:space="preserve">  Zinc production</v>
          </cell>
          <cell r="AJ27" t="str">
            <v>Other</v>
          </cell>
          <cell r="AN27" t="str">
            <v>Wetlands</v>
          </cell>
        </row>
        <row r="28">
          <cell r="G28" t="str">
            <v xml:space="preserve">Biodiesels </v>
          </cell>
          <cell r="AH28" t="str">
            <v>Other (please specify)</v>
          </cell>
          <cell r="AJ28" t="str">
            <v xml:space="preserve">  Pulp and paper industry</v>
          </cell>
          <cell r="AN28" t="str">
            <v xml:space="preserve">  Wetlands remaining Wetlands</v>
          </cell>
        </row>
        <row r="29">
          <cell r="G29" t="str">
            <v>Methanol</v>
          </cell>
          <cell r="AJ29" t="str">
            <v xml:space="preserve">  Food and beverages industry</v>
          </cell>
          <cell r="AN29" t="str">
            <v xml:space="preserve">  Forest land converted to Wetlands</v>
          </cell>
        </row>
        <row r="30">
          <cell r="G30" t="str">
            <v>Ethanol</v>
          </cell>
          <cell r="AJ30" t="str">
            <v>Other (please specify)</v>
          </cell>
          <cell r="AN30" t="str">
            <v xml:space="preserve">  Crop land converted to Wetlands</v>
          </cell>
        </row>
        <row r="31">
          <cell r="G31" t="str">
            <v>E85</v>
          </cell>
          <cell r="AN31" t="str">
            <v xml:space="preserve">  Grassland converted to Wetlands</v>
          </cell>
        </row>
        <row r="32">
          <cell r="G32" t="str">
            <v xml:space="preserve">Sewage sludge </v>
          </cell>
          <cell r="AN32" t="str">
            <v xml:space="preserve">  Settlements converted to Wetlands</v>
          </cell>
        </row>
        <row r="33">
          <cell r="G33" t="str">
            <v xml:space="preserve">Other liquid biofuels </v>
          </cell>
          <cell r="AN33" t="str">
            <v xml:space="preserve">  Other land converted to Wetlands</v>
          </cell>
        </row>
        <row r="34">
          <cell r="G34" t="str">
            <v xml:space="preserve">Landfill gas </v>
          </cell>
          <cell r="AN34" t="str">
            <v>Settlements</v>
          </cell>
        </row>
        <row r="35">
          <cell r="G35" t="str">
            <v xml:space="preserve">Sludge gas </v>
          </cell>
          <cell r="AN35" t="str">
            <v xml:space="preserve">  Settlements remaining Settlements</v>
          </cell>
        </row>
        <row r="36">
          <cell r="G36" t="str">
            <v xml:space="preserve">Other biogas </v>
          </cell>
          <cell r="AN36" t="str">
            <v xml:space="preserve">  Forest land converted to Settlements</v>
          </cell>
        </row>
        <row r="37">
          <cell r="G37" t="str">
            <v>Other (please specify)</v>
          </cell>
          <cell r="AN37" t="str">
            <v xml:space="preserve">  Crop land converted to Settlements</v>
          </cell>
        </row>
        <row r="38">
          <cell r="AN38" t="str">
            <v xml:space="preserve">  Grassland converted to Settlements</v>
          </cell>
        </row>
        <row r="39">
          <cell r="AN39" t="str">
            <v xml:space="preserve">  Wetlands converted to Settlements</v>
          </cell>
        </row>
        <row r="40">
          <cell r="AN40" t="str">
            <v xml:space="preserve">  Other land converted to Settlements</v>
          </cell>
        </row>
        <row r="41">
          <cell r="AN41" t="str">
            <v>Other land</v>
          </cell>
        </row>
        <row r="42">
          <cell r="AN42" t="str">
            <v xml:space="preserve">  Other land remaining Other land</v>
          </cell>
        </row>
        <row r="43">
          <cell r="AN43" t="str">
            <v xml:space="preserve">  Forest land converted to Other land</v>
          </cell>
        </row>
        <row r="44">
          <cell r="AN44" t="str">
            <v xml:space="preserve">  Crop land converted to Other land</v>
          </cell>
        </row>
        <row r="45">
          <cell r="AN45" t="str">
            <v xml:space="preserve">  Grassland converted to Other land</v>
          </cell>
        </row>
        <row r="46">
          <cell r="AN46" t="str">
            <v xml:space="preserve">  Wetlands converted to Other land</v>
          </cell>
        </row>
        <row r="47">
          <cell r="AN47" t="str">
            <v xml:space="preserve">  Settlements converted to Other land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buenosaires.gob.ar/agenciaambiental/cambioclimatico/english-information-available-here/ghgs-emission-report"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www.aysa.com.ar/index.php?id_seccion=715" TargetMode="External"/><Relationship Id="rId1" Type="http://schemas.openxmlformats.org/officeDocument/2006/relationships/hyperlink" Target="http://www.enargas.gov.ar/DatosOper/Indice.php"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pageSetUpPr fitToPage="1"/>
  </sheetPr>
  <dimension ref="A1:AS306"/>
  <sheetViews>
    <sheetView tabSelected="1" workbookViewId="0">
      <selection activeCell="D33" sqref="D33"/>
    </sheetView>
  </sheetViews>
  <sheetFormatPr defaultColWidth="10.875" defaultRowHeight="15.75" outlineLevelRow="1"/>
  <cols>
    <col min="1" max="1" width="1.875" style="43" customWidth="1"/>
    <col min="2" max="2" width="13.375" style="3" customWidth="1"/>
    <col min="3" max="3" width="2.875" style="4" customWidth="1"/>
    <col min="4" max="4" width="13.375" style="4" customWidth="1"/>
    <col min="5" max="7" width="9.5" style="4" customWidth="1"/>
    <col min="8" max="8" width="9.375" style="4" customWidth="1"/>
    <col min="9" max="11" width="9.5" style="2" customWidth="1"/>
    <col min="12" max="12" width="10.875" style="43"/>
    <col min="13" max="14" width="10.875" style="43" customWidth="1"/>
    <col min="15" max="15" width="10.875" style="43"/>
    <col min="17" max="20" width="10.875" style="43"/>
    <col min="21" max="25" width="10.875" style="28"/>
    <col min="26" max="45" width="10.875" style="43"/>
    <col min="46" max="16384" width="10.875" style="1"/>
  </cols>
  <sheetData>
    <row r="1" spans="2:25" s="43" customFormat="1">
      <c r="B1" s="44"/>
      <c r="C1" s="45"/>
      <c r="D1" s="45"/>
      <c r="E1" s="45"/>
      <c r="F1" s="45"/>
      <c r="G1" s="45"/>
      <c r="H1" s="45"/>
      <c r="I1" s="46"/>
      <c r="J1" s="46"/>
      <c r="K1" s="46"/>
      <c r="U1" s="28"/>
      <c r="V1" s="28"/>
      <c r="W1" s="28"/>
      <c r="X1" s="28"/>
      <c r="Y1" s="28"/>
    </row>
    <row r="2" spans="2:25" s="43" customFormat="1" ht="23.25">
      <c r="B2" s="48" t="s">
        <v>982</v>
      </c>
      <c r="C2" s="45"/>
      <c r="D2" s="45"/>
      <c r="E2" s="45"/>
      <c r="F2" s="45"/>
      <c r="G2" s="45"/>
      <c r="H2" s="45"/>
      <c r="I2" s="46"/>
      <c r="J2" s="46"/>
      <c r="K2" s="46"/>
      <c r="U2" s="28"/>
      <c r="V2" s="28"/>
      <c r="W2" s="28"/>
      <c r="X2" s="28"/>
      <c r="Y2" s="28"/>
    </row>
    <row r="3" spans="2:25" s="43" customFormat="1">
      <c r="B3" s="44"/>
      <c r="C3" s="45"/>
      <c r="D3" s="45"/>
      <c r="E3" s="45"/>
      <c r="F3" s="45"/>
      <c r="G3" s="45"/>
      <c r="H3" s="45"/>
      <c r="I3" s="46"/>
      <c r="J3" s="46"/>
      <c r="K3" s="46"/>
      <c r="U3" s="28"/>
      <c r="V3" s="28"/>
      <c r="W3" s="28"/>
      <c r="X3" s="28"/>
      <c r="Y3" s="28"/>
    </row>
    <row r="4" spans="2:25" s="40" customFormat="1" ht="18.75">
      <c r="B4" s="549" t="s">
        <v>983</v>
      </c>
      <c r="C4" s="550"/>
      <c r="D4" s="550"/>
      <c r="E4" s="550"/>
      <c r="F4" s="550"/>
      <c r="G4" s="550"/>
      <c r="H4" s="550"/>
      <c r="I4" s="42"/>
      <c r="J4" s="42"/>
      <c r="K4" s="42"/>
      <c r="U4" s="557"/>
      <c r="V4" s="557"/>
      <c r="W4" s="557"/>
      <c r="X4" s="557"/>
      <c r="Y4" s="557"/>
    </row>
    <row r="5" spans="2:25" s="43" customFormat="1" ht="15" customHeight="1" thickBot="1">
      <c r="B5" s="44"/>
      <c r="C5" s="45"/>
      <c r="D5" s="45"/>
      <c r="E5" s="45"/>
      <c r="F5" s="45"/>
      <c r="G5" s="45"/>
      <c r="H5" s="45"/>
      <c r="I5" s="46"/>
      <c r="J5" s="46"/>
      <c r="K5" s="46"/>
      <c r="U5" s="28"/>
      <c r="V5" s="28"/>
      <c r="W5" s="28"/>
      <c r="X5" s="28"/>
      <c r="Y5" s="28"/>
    </row>
    <row r="6" spans="2:25" ht="30.95" customHeight="1">
      <c r="B6" s="1030" t="s">
        <v>0</v>
      </c>
      <c r="C6" s="1031"/>
      <c r="D6" s="1031"/>
      <c r="E6" s="1032"/>
      <c r="F6" s="474"/>
      <c r="G6" s="474"/>
      <c r="H6" s="384"/>
      <c r="I6" s="50" t="s">
        <v>1</v>
      </c>
      <c r="J6" s="50" t="s">
        <v>2</v>
      </c>
      <c r="K6" s="51" t="s">
        <v>3</v>
      </c>
      <c r="P6" s="15"/>
    </row>
    <row r="7" spans="2:25" s="49" customFormat="1" ht="15.95" customHeight="1">
      <c r="B7" s="391" t="s">
        <v>4</v>
      </c>
      <c r="C7" s="390"/>
      <c r="D7" s="390"/>
      <c r="E7" s="390"/>
      <c r="F7" s="390"/>
      <c r="G7" s="390"/>
      <c r="H7" s="390"/>
      <c r="I7" s="390"/>
      <c r="J7" s="390"/>
      <c r="K7" s="392"/>
      <c r="U7" s="558"/>
      <c r="V7" s="558"/>
      <c r="W7" s="558"/>
      <c r="X7" s="558"/>
      <c r="Y7" s="558"/>
    </row>
    <row r="8" spans="2:25" ht="15" customHeight="1">
      <c r="B8" s="1033" t="s">
        <v>5</v>
      </c>
      <c r="C8" s="1034"/>
      <c r="D8" s="1034"/>
      <c r="E8" s="1035"/>
      <c r="F8" s="456"/>
      <c r="G8" s="456"/>
      <c r="H8" s="398"/>
      <c r="I8" s="259" t="s">
        <v>38</v>
      </c>
      <c r="J8" s="259" t="s">
        <v>38</v>
      </c>
      <c r="K8" s="403" t="s">
        <v>38</v>
      </c>
      <c r="P8" s="15"/>
    </row>
    <row r="9" spans="2:25" ht="15" customHeight="1">
      <c r="B9" s="1033" t="s">
        <v>6</v>
      </c>
      <c r="C9" s="1034"/>
      <c r="D9" s="1034"/>
      <c r="E9" s="1035"/>
      <c r="F9" s="456"/>
      <c r="G9" s="456"/>
      <c r="H9" s="398"/>
      <c r="I9" s="259" t="s">
        <v>38</v>
      </c>
      <c r="J9" s="259" t="s">
        <v>38</v>
      </c>
      <c r="K9" s="403" t="s">
        <v>38</v>
      </c>
      <c r="P9" s="15"/>
    </row>
    <row r="10" spans="2:25" ht="15" customHeight="1">
      <c r="B10" s="1033" t="s">
        <v>7</v>
      </c>
      <c r="C10" s="1034"/>
      <c r="D10" s="1034"/>
      <c r="E10" s="1035"/>
      <c r="F10" s="456"/>
      <c r="G10" s="456"/>
      <c r="H10" s="398"/>
      <c r="I10" s="259" t="s">
        <v>38</v>
      </c>
      <c r="J10" s="259" t="s">
        <v>38</v>
      </c>
      <c r="K10" s="403" t="s">
        <v>38</v>
      </c>
      <c r="P10" s="15"/>
    </row>
    <row r="11" spans="2:25" ht="15" customHeight="1">
      <c r="B11" s="1033" t="s">
        <v>8</v>
      </c>
      <c r="C11" s="1034"/>
      <c r="D11" s="1034"/>
      <c r="E11" s="1035"/>
      <c r="F11" s="456"/>
      <c r="G11" s="456"/>
      <c r="H11" s="398"/>
      <c r="I11" s="259" t="s">
        <v>38</v>
      </c>
      <c r="J11" s="259" t="s">
        <v>38</v>
      </c>
      <c r="K11" s="403" t="s">
        <v>38</v>
      </c>
      <c r="P11" s="15"/>
    </row>
    <row r="12" spans="2:25" ht="15" customHeight="1">
      <c r="B12" s="1033" t="s">
        <v>9</v>
      </c>
      <c r="C12" s="1034"/>
      <c r="D12" s="1034"/>
      <c r="E12" s="1035"/>
      <c r="F12" s="456"/>
      <c r="G12" s="456"/>
      <c r="H12" s="398"/>
      <c r="I12" s="259" t="s">
        <v>38</v>
      </c>
      <c r="J12" s="259" t="s">
        <v>38</v>
      </c>
      <c r="K12" s="403" t="s">
        <v>38</v>
      </c>
      <c r="P12" s="15"/>
    </row>
    <row r="13" spans="2:25" ht="15.95" customHeight="1">
      <c r="B13" s="1033" t="s">
        <v>10</v>
      </c>
      <c r="C13" s="1034"/>
      <c r="D13" s="1034"/>
      <c r="E13" s="1035"/>
      <c r="F13" s="456"/>
      <c r="G13" s="456"/>
      <c r="H13" s="398"/>
      <c r="I13" s="510" t="s">
        <v>38</v>
      </c>
      <c r="J13" s="404"/>
      <c r="K13" s="405"/>
      <c r="P13" s="15"/>
    </row>
    <row r="14" spans="2:25" ht="15" customHeight="1">
      <c r="B14" s="1036" t="s">
        <v>11</v>
      </c>
      <c r="C14" s="1037"/>
      <c r="D14" s="1037"/>
      <c r="E14" s="1037"/>
      <c r="F14" s="456"/>
      <c r="G14" s="456"/>
      <c r="H14" s="398"/>
      <c r="I14" s="259" t="s">
        <v>38</v>
      </c>
      <c r="J14" s="259" t="s">
        <v>38</v>
      </c>
      <c r="K14" s="403" t="s">
        <v>38</v>
      </c>
      <c r="P14" s="15"/>
    </row>
    <row r="15" spans="2:25" ht="15" customHeight="1">
      <c r="B15" s="1033" t="s">
        <v>12</v>
      </c>
      <c r="C15" s="1034"/>
      <c r="D15" s="1034"/>
      <c r="E15" s="1035"/>
      <c r="F15" s="456"/>
      <c r="G15" s="456"/>
      <c r="H15" s="398"/>
      <c r="I15" s="259" t="s">
        <v>38</v>
      </c>
      <c r="J15" s="259" t="s">
        <v>38</v>
      </c>
      <c r="K15" s="403" t="s">
        <v>38</v>
      </c>
      <c r="P15" s="15"/>
    </row>
    <row r="16" spans="2:25" ht="15.95" customHeight="1">
      <c r="B16" s="400" t="s">
        <v>13</v>
      </c>
      <c r="C16" s="399"/>
      <c r="D16" s="399"/>
      <c r="E16" s="399"/>
      <c r="F16" s="399"/>
      <c r="G16" s="399"/>
      <c r="H16" s="398"/>
      <c r="I16" s="259" t="s">
        <v>38</v>
      </c>
      <c r="J16" s="263"/>
      <c r="K16" s="509"/>
      <c r="P16" s="15"/>
    </row>
    <row r="17" spans="1:25" ht="17.100000000000001" customHeight="1">
      <c r="B17" s="479" t="s">
        <v>14</v>
      </c>
      <c r="C17" s="480"/>
      <c r="D17" s="480"/>
      <c r="E17" s="480"/>
      <c r="F17" s="456"/>
      <c r="G17" s="456"/>
      <c r="H17" s="398"/>
      <c r="I17" s="259" t="s">
        <v>38</v>
      </c>
      <c r="J17" s="263"/>
      <c r="K17" s="406"/>
      <c r="P17" s="15"/>
    </row>
    <row r="18" spans="1:25" s="49" customFormat="1" ht="15.95" customHeight="1">
      <c r="B18" s="391" t="s">
        <v>15</v>
      </c>
      <c r="C18" s="390"/>
      <c r="D18" s="390"/>
      <c r="E18" s="390"/>
      <c r="F18" s="390"/>
      <c r="G18" s="390"/>
      <c r="H18" s="390"/>
      <c r="I18" s="390"/>
      <c r="J18" s="390"/>
      <c r="K18" s="392"/>
      <c r="U18" s="558"/>
      <c r="V18" s="558"/>
      <c r="W18" s="558"/>
      <c r="X18" s="558"/>
      <c r="Y18" s="558"/>
    </row>
    <row r="19" spans="1:25" ht="15" customHeight="1">
      <c r="B19" s="1033" t="s">
        <v>16</v>
      </c>
      <c r="C19" s="1034"/>
      <c r="D19" s="1034"/>
      <c r="E19" s="1035"/>
      <c r="F19" s="456"/>
      <c r="G19" s="456"/>
      <c r="H19" s="398"/>
      <c r="I19" s="259" t="s">
        <v>38</v>
      </c>
      <c r="J19" s="259" t="s">
        <v>38</v>
      </c>
      <c r="K19" s="403" t="s">
        <v>38</v>
      </c>
      <c r="P19" s="15"/>
    </row>
    <row r="20" spans="1:25" ht="15" customHeight="1">
      <c r="B20" s="1033" t="s">
        <v>17</v>
      </c>
      <c r="C20" s="1034"/>
      <c r="D20" s="1034"/>
      <c r="E20" s="1035"/>
      <c r="F20" s="456"/>
      <c r="G20" s="456"/>
      <c r="H20" s="398"/>
      <c r="I20" s="259" t="s">
        <v>38</v>
      </c>
      <c r="J20" s="259" t="s">
        <v>38</v>
      </c>
      <c r="K20" s="403" t="s">
        <v>38</v>
      </c>
      <c r="P20" s="15"/>
    </row>
    <row r="21" spans="1:25" ht="15" customHeight="1">
      <c r="B21" s="1033" t="s">
        <v>18</v>
      </c>
      <c r="C21" s="1034"/>
      <c r="D21" s="1034"/>
      <c r="E21" s="1035"/>
      <c r="F21" s="456"/>
      <c r="G21" s="456"/>
      <c r="H21" s="398"/>
      <c r="I21" s="259" t="s">
        <v>38</v>
      </c>
      <c r="J21" s="259" t="s">
        <v>38</v>
      </c>
      <c r="K21" s="403" t="s">
        <v>38</v>
      </c>
      <c r="P21" s="15"/>
    </row>
    <row r="22" spans="1:25" ht="15" customHeight="1">
      <c r="B22" s="1033" t="s">
        <v>19</v>
      </c>
      <c r="C22" s="1034"/>
      <c r="D22" s="1034"/>
      <c r="E22" s="1035"/>
      <c r="F22" s="456"/>
      <c r="G22" s="456"/>
      <c r="H22" s="398"/>
      <c r="I22" s="259" t="s">
        <v>38</v>
      </c>
      <c r="J22" s="259" t="s">
        <v>38</v>
      </c>
      <c r="K22" s="403" t="s">
        <v>38</v>
      </c>
      <c r="P22" s="15"/>
    </row>
    <row r="23" spans="1:25" ht="15" customHeight="1">
      <c r="B23" s="1033" t="s">
        <v>20</v>
      </c>
      <c r="C23" s="1034"/>
      <c r="D23" s="1034"/>
      <c r="E23" s="1035"/>
      <c r="F23" s="456"/>
      <c r="G23" s="456"/>
      <c r="H23" s="398"/>
      <c r="I23" s="259" t="s">
        <v>38</v>
      </c>
      <c r="J23" s="259" t="s">
        <v>38</v>
      </c>
      <c r="K23" s="406"/>
      <c r="P23" s="15"/>
    </row>
    <row r="24" spans="1:25" s="43" customFormat="1" ht="15" customHeight="1">
      <c r="A24" s="389"/>
      <c r="B24" s="391" t="s">
        <v>21</v>
      </c>
      <c r="C24" s="390"/>
      <c r="D24" s="390"/>
      <c r="E24" s="390"/>
      <c r="F24" s="390"/>
      <c r="G24" s="390"/>
      <c r="H24" s="390"/>
      <c r="I24" s="390"/>
      <c r="J24" s="390"/>
      <c r="K24" s="392"/>
      <c r="U24" s="28"/>
      <c r="V24" s="28"/>
      <c r="W24" s="28"/>
      <c r="X24" s="28"/>
      <c r="Y24" s="28"/>
    </row>
    <row r="25" spans="1:25" ht="15.95" customHeight="1">
      <c r="B25" s="1038" t="s">
        <v>22</v>
      </c>
      <c r="C25" s="1039"/>
      <c r="D25" s="1039"/>
      <c r="E25" s="1040"/>
      <c r="F25" s="477"/>
      <c r="G25" s="477"/>
      <c r="H25" s="401"/>
      <c r="I25" s="259" t="s">
        <v>38</v>
      </c>
      <c r="J25" s="407"/>
      <c r="K25" s="408" t="s">
        <v>38</v>
      </c>
      <c r="P25" s="15"/>
    </row>
    <row r="26" spans="1:25" ht="15.95" customHeight="1">
      <c r="B26" s="1041" t="s">
        <v>23</v>
      </c>
      <c r="C26" s="1042"/>
      <c r="D26" s="1042"/>
      <c r="E26" s="1043"/>
      <c r="F26" s="478"/>
      <c r="G26" s="478"/>
      <c r="H26" s="402"/>
      <c r="I26" s="260" t="s">
        <v>38</v>
      </c>
      <c r="J26" s="407"/>
      <c r="K26" s="405"/>
      <c r="P26" s="15"/>
    </row>
    <row r="27" spans="1:25" ht="15.95" customHeight="1">
      <c r="B27" s="1044" t="s">
        <v>24</v>
      </c>
      <c r="C27" s="1045"/>
      <c r="D27" s="1045"/>
      <c r="E27" s="1046"/>
      <c r="F27" s="399"/>
      <c r="G27" s="399"/>
      <c r="H27" s="398"/>
      <c r="I27" s="259" t="s">
        <v>38</v>
      </c>
      <c r="J27" s="407"/>
      <c r="K27" s="408" t="s">
        <v>38</v>
      </c>
      <c r="P27" s="15"/>
    </row>
    <row r="28" spans="1:25" ht="15.95" customHeight="1">
      <c r="B28" s="1041" t="s">
        <v>25</v>
      </c>
      <c r="C28" s="1042"/>
      <c r="D28" s="1042"/>
      <c r="E28" s="1043"/>
      <c r="F28" s="478"/>
      <c r="G28" s="478"/>
      <c r="H28" s="402"/>
      <c r="I28" s="260" t="s">
        <v>38</v>
      </c>
      <c r="J28" s="407"/>
      <c r="K28" s="405"/>
      <c r="P28" s="15"/>
    </row>
    <row r="29" spans="1:25" ht="15.95" customHeight="1">
      <c r="B29" s="479" t="s">
        <v>26</v>
      </c>
      <c r="C29" s="480"/>
      <c r="D29" s="480"/>
      <c r="E29" s="480"/>
      <c r="F29" s="399"/>
      <c r="G29" s="399"/>
      <c r="H29" s="398"/>
      <c r="I29" s="259" t="s">
        <v>38</v>
      </c>
      <c r="J29" s="263"/>
      <c r="K29" s="408" t="s">
        <v>38</v>
      </c>
      <c r="P29" s="15"/>
    </row>
    <row r="30" spans="1:25" ht="15.95" customHeight="1">
      <c r="B30" s="481" t="s">
        <v>27</v>
      </c>
      <c r="C30" s="482"/>
      <c r="D30" s="482"/>
      <c r="E30" s="482"/>
      <c r="F30" s="478"/>
      <c r="G30" s="478"/>
      <c r="H30" s="402"/>
      <c r="I30" s="260" t="s">
        <v>38</v>
      </c>
      <c r="J30" s="263"/>
      <c r="K30" s="405"/>
      <c r="P30" s="15"/>
    </row>
    <row r="31" spans="1:25" ht="15.95" customHeight="1">
      <c r="B31" s="479" t="s">
        <v>28</v>
      </c>
      <c r="C31" s="480"/>
      <c r="D31" s="480"/>
      <c r="E31" s="480"/>
      <c r="F31" s="399"/>
      <c r="G31" s="399"/>
      <c r="H31" s="398"/>
      <c r="I31" s="259" t="s">
        <v>38</v>
      </c>
      <c r="J31" s="263"/>
      <c r="K31" s="408" t="s">
        <v>38</v>
      </c>
      <c r="P31" s="15"/>
    </row>
    <row r="32" spans="1:25" ht="15.95" customHeight="1">
      <c r="B32" s="481" t="s">
        <v>29</v>
      </c>
      <c r="C32" s="482"/>
      <c r="D32" s="482"/>
      <c r="E32" s="482"/>
      <c r="F32" s="478"/>
      <c r="G32" s="478"/>
      <c r="H32" s="402"/>
      <c r="I32" s="260" t="s">
        <v>38</v>
      </c>
      <c r="J32" s="263"/>
      <c r="K32" s="405"/>
      <c r="P32" s="15"/>
    </row>
    <row r="33" spans="1:25" s="43" customFormat="1" ht="15" customHeight="1">
      <c r="A33" s="389"/>
      <c r="B33" s="387" t="s">
        <v>30</v>
      </c>
      <c r="C33" s="388"/>
      <c r="D33" s="388"/>
      <c r="E33" s="388"/>
      <c r="F33" s="388"/>
      <c r="G33" s="388"/>
      <c r="H33" s="388"/>
      <c r="I33" s="388"/>
      <c r="J33" s="388"/>
      <c r="K33" s="393"/>
      <c r="U33" s="28"/>
      <c r="V33" s="28"/>
      <c r="W33" s="28"/>
      <c r="X33" s="28"/>
      <c r="Y33" s="28"/>
    </row>
    <row r="34" spans="1:25" ht="15.95" customHeight="1">
      <c r="A34" s="389"/>
      <c r="B34" s="1033" t="s">
        <v>31</v>
      </c>
      <c r="C34" s="1034"/>
      <c r="D34" s="1034"/>
      <c r="E34" s="1035"/>
      <c r="F34" s="456"/>
      <c r="G34" s="456"/>
      <c r="H34" s="398"/>
      <c r="I34" s="262" t="s">
        <v>38</v>
      </c>
      <c r="J34" s="404"/>
      <c r="K34" s="406"/>
      <c r="P34" s="15"/>
    </row>
    <row r="35" spans="1:25" ht="17.100000000000001" customHeight="1">
      <c r="A35" s="389"/>
      <c r="B35" s="1033" t="s">
        <v>32</v>
      </c>
      <c r="C35" s="1034"/>
      <c r="D35" s="1034"/>
      <c r="E35" s="1035"/>
      <c r="F35" s="456"/>
      <c r="G35" s="456"/>
      <c r="H35" s="398"/>
      <c r="I35" s="262" t="s">
        <v>38</v>
      </c>
      <c r="J35" s="404"/>
      <c r="K35" s="406"/>
      <c r="P35" s="15"/>
    </row>
    <row r="36" spans="1:25" s="49" customFormat="1" ht="15.95" customHeight="1">
      <c r="B36" s="391" t="s">
        <v>33</v>
      </c>
      <c r="C36" s="390"/>
      <c r="D36" s="390"/>
      <c r="E36" s="390"/>
      <c r="F36" s="390"/>
      <c r="G36" s="390"/>
      <c r="H36" s="390"/>
      <c r="I36" s="390"/>
      <c r="J36" s="390"/>
      <c r="K36" s="392"/>
      <c r="U36" s="558"/>
      <c r="V36" s="558"/>
      <c r="W36" s="558"/>
      <c r="X36" s="558"/>
      <c r="Y36" s="558"/>
    </row>
    <row r="37" spans="1:25" ht="15.95" customHeight="1">
      <c r="B37" s="1033" t="s">
        <v>34</v>
      </c>
      <c r="C37" s="1034"/>
      <c r="D37" s="1034"/>
      <c r="E37" s="1035"/>
      <c r="F37" s="456"/>
      <c r="G37" s="456"/>
      <c r="H37" s="398"/>
      <c r="I37" s="262" t="s">
        <v>38</v>
      </c>
      <c r="J37" s="404"/>
      <c r="K37" s="406"/>
      <c r="P37" s="15"/>
    </row>
    <row r="38" spans="1:25" ht="15.95" customHeight="1">
      <c r="B38" s="1033" t="s">
        <v>35</v>
      </c>
      <c r="C38" s="1034"/>
      <c r="D38" s="1034"/>
      <c r="E38" s="1035"/>
      <c r="F38" s="456"/>
      <c r="G38" s="456"/>
      <c r="H38" s="398"/>
      <c r="I38" s="262" t="s">
        <v>38</v>
      </c>
      <c r="J38" s="404"/>
      <c r="K38" s="406"/>
      <c r="P38" s="15"/>
    </row>
    <row r="39" spans="1:25" ht="17.100000000000001" customHeight="1">
      <c r="B39" s="1033" t="s">
        <v>36</v>
      </c>
      <c r="C39" s="1034"/>
      <c r="D39" s="1034"/>
      <c r="E39" s="1035"/>
      <c r="F39" s="456"/>
      <c r="G39" s="456"/>
      <c r="H39" s="398"/>
      <c r="I39" s="262" t="s">
        <v>38</v>
      </c>
      <c r="J39" s="404"/>
      <c r="K39" s="406"/>
      <c r="P39" s="15"/>
    </row>
    <row r="40" spans="1:25" s="49" customFormat="1" ht="15.95" customHeight="1" thickBot="1">
      <c r="B40" s="394" t="s">
        <v>37</v>
      </c>
      <c r="C40" s="395"/>
      <c r="D40" s="395"/>
      <c r="E40" s="395"/>
      <c r="F40" s="395"/>
      <c r="G40" s="395"/>
      <c r="H40" s="395"/>
      <c r="I40" s="395"/>
      <c r="J40" s="395"/>
      <c r="K40" s="396"/>
      <c r="U40" s="558"/>
      <c r="V40" s="558"/>
      <c r="W40" s="558"/>
      <c r="X40" s="558"/>
      <c r="Y40" s="558"/>
    </row>
    <row r="41" spans="1:25" s="43" customFormat="1" ht="15" customHeight="1">
      <c r="B41" s="44"/>
      <c r="C41" s="45"/>
      <c r="D41" s="45"/>
      <c r="E41" s="45"/>
      <c r="F41" s="45"/>
      <c r="G41" s="45"/>
      <c r="H41" s="45"/>
      <c r="I41" s="46"/>
      <c r="J41" s="46"/>
      <c r="K41" s="46"/>
      <c r="U41" s="28"/>
      <c r="V41" s="28"/>
      <c r="W41" s="28"/>
      <c r="X41" s="28"/>
      <c r="Y41" s="28"/>
    </row>
    <row r="42" spans="1:25" s="43" customFormat="1" ht="15" customHeight="1">
      <c r="B42" s="257" t="s">
        <v>38</v>
      </c>
      <c r="C42" s="45" t="str">
        <f>"= sources required for reporting"</f>
        <v>= sources required for reporting</v>
      </c>
      <c r="D42" s="45"/>
      <c r="E42" s="45"/>
      <c r="F42" s="45"/>
      <c r="G42" s="45"/>
      <c r="H42" s="45"/>
      <c r="I42" s="46"/>
      <c r="J42" s="46"/>
      <c r="K42" s="46"/>
      <c r="U42" s="28"/>
      <c r="V42" s="28"/>
      <c r="W42" s="28"/>
      <c r="X42" s="28"/>
      <c r="Y42" s="28"/>
    </row>
    <row r="43" spans="1:25" s="43" customFormat="1" ht="15" customHeight="1">
      <c r="B43" s="258" t="s">
        <v>38</v>
      </c>
      <c r="C43" s="45" t="str">
        <f>"= sources required for BASIC reporting"</f>
        <v>= sources required for BASIC reporting</v>
      </c>
      <c r="D43" s="45"/>
      <c r="E43" s="45"/>
      <c r="F43" s="45"/>
      <c r="G43" s="45"/>
      <c r="H43" s="45"/>
      <c r="I43" s="46"/>
      <c r="J43" s="46"/>
      <c r="K43" s="46"/>
      <c r="U43" s="28"/>
      <c r="V43" s="28"/>
      <c r="W43" s="28"/>
      <c r="X43" s="28"/>
      <c r="Y43" s="28"/>
    </row>
    <row r="44" spans="1:25" s="43" customFormat="1" ht="15" customHeight="1">
      <c r="B44" s="259" t="s">
        <v>38</v>
      </c>
      <c r="C44" s="45" t="str">
        <f>" +"</f>
        <v xml:space="preserve"> +</v>
      </c>
      <c r="D44" s="262" t="s">
        <v>38</v>
      </c>
      <c r="E44" s="45" t="str">
        <f>"= sources required for BASIC+ reporting"</f>
        <v>= sources required for BASIC+ reporting</v>
      </c>
      <c r="F44" s="45"/>
      <c r="G44" s="45"/>
      <c r="H44" s="45"/>
      <c r="I44" s="46"/>
      <c r="J44" s="46"/>
      <c r="K44" s="46"/>
      <c r="U44" s="28"/>
      <c r="V44" s="28"/>
      <c r="W44" s="28"/>
      <c r="X44" s="28"/>
      <c r="Y44" s="28"/>
    </row>
    <row r="45" spans="1:25" s="43" customFormat="1" ht="15" customHeight="1">
      <c r="B45" s="260" t="s">
        <v>38</v>
      </c>
      <c r="C45" s="45" t="str">
        <f>"= additional scope 1 sources required for territorial reporting"</f>
        <v>= additional scope 1 sources required for territorial reporting</v>
      </c>
      <c r="D45" s="45"/>
      <c r="E45" s="45"/>
      <c r="F45" s="45"/>
      <c r="G45" s="45"/>
      <c r="H45" s="45"/>
      <c r="I45" s="46"/>
      <c r="J45" s="46"/>
      <c r="K45" s="46"/>
      <c r="U45" s="28"/>
      <c r="V45" s="28"/>
      <c r="W45" s="28"/>
      <c r="X45" s="28"/>
      <c r="Y45" s="28"/>
    </row>
    <row r="46" spans="1:25" s="43" customFormat="1" ht="15" customHeight="1">
      <c r="B46" s="261"/>
      <c r="C46" s="47" t="str">
        <f>"= other scope 3 sources"</f>
        <v>= other scope 3 sources</v>
      </c>
      <c r="D46" s="45"/>
      <c r="E46" s="45"/>
      <c r="F46" s="45"/>
      <c r="G46" s="45"/>
      <c r="H46" s="45"/>
      <c r="I46" s="46"/>
      <c r="J46" s="46"/>
      <c r="K46" s="46"/>
      <c r="U46" s="28"/>
      <c r="V46" s="28"/>
      <c r="W46" s="28"/>
      <c r="X46" s="28"/>
      <c r="Y46" s="28"/>
    </row>
    <row r="47" spans="1:25" s="43" customFormat="1" ht="15" customHeight="1">
      <c r="B47" s="263"/>
      <c r="C47" s="45" t="str">
        <f>"= non-applicable emission sources"</f>
        <v>= non-applicable emission sources</v>
      </c>
      <c r="D47" s="45"/>
      <c r="E47" s="45"/>
      <c r="F47" s="45"/>
      <c r="G47" s="45"/>
      <c r="H47" s="45"/>
      <c r="I47" s="46"/>
      <c r="J47" s="46"/>
      <c r="K47" s="46"/>
      <c r="U47" s="28"/>
      <c r="V47" s="28"/>
      <c r="W47" s="28"/>
      <c r="X47" s="28"/>
      <c r="Y47" s="28"/>
    </row>
    <row r="48" spans="1:25" s="43" customFormat="1">
      <c r="B48" s="44"/>
      <c r="C48" s="45"/>
      <c r="D48" s="45"/>
      <c r="E48" s="45"/>
      <c r="F48" s="45"/>
      <c r="G48" s="45"/>
      <c r="H48" s="45"/>
      <c r="I48" s="46"/>
      <c r="J48" s="46"/>
      <c r="K48" s="46"/>
      <c r="U48" s="28"/>
      <c r="V48" s="28"/>
      <c r="W48" s="28"/>
      <c r="X48" s="28"/>
      <c r="Y48" s="28"/>
    </row>
    <row r="49" spans="1:45" s="40" customFormat="1" ht="18.75">
      <c r="B49" s="549" t="s">
        <v>997</v>
      </c>
      <c r="C49" s="550"/>
      <c r="D49" s="550"/>
      <c r="E49" s="550"/>
      <c r="F49" s="550"/>
      <c r="G49" s="550"/>
      <c r="H49" s="550"/>
      <c r="I49" s="42"/>
      <c r="J49" s="42"/>
      <c r="K49" s="42"/>
      <c r="U49" s="557"/>
      <c r="V49" s="557"/>
      <c r="W49" s="557"/>
      <c r="X49" s="557"/>
      <c r="Y49" s="557"/>
    </row>
    <row r="50" spans="1:45">
      <c r="B50" s="44"/>
      <c r="C50" s="45"/>
      <c r="D50" s="45"/>
      <c r="E50" s="45"/>
      <c r="F50" s="45"/>
      <c r="G50" s="45"/>
      <c r="H50" s="45"/>
      <c r="I50" s="46"/>
      <c r="J50" s="46"/>
      <c r="K50" s="46"/>
      <c r="M50" s="45"/>
      <c r="N50" s="45"/>
      <c r="O50" s="45"/>
      <c r="Q50" s="45"/>
      <c r="R50" s="45"/>
      <c r="S50" s="45"/>
      <c r="T50" s="45"/>
      <c r="U50" s="47"/>
      <c r="V50" s="47"/>
    </row>
    <row r="51" spans="1:45" s="554" customFormat="1" ht="18.75">
      <c r="A51" s="40"/>
      <c r="B51" s="549" t="s">
        <v>998</v>
      </c>
      <c r="C51" s="550"/>
      <c r="D51" s="550"/>
      <c r="E51" s="550"/>
      <c r="F51" s="550"/>
      <c r="G51" s="550"/>
      <c r="H51" s="550"/>
      <c r="I51" s="42"/>
      <c r="J51" s="42"/>
      <c r="K51" s="42"/>
      <c r="L51" s="549" t="s">
        <v>999</v>
      </c>
      <c r="M51" s="549"/>
      <c r="N51" s="549"/>
      <c r="O51" s="550"/>
      <c r="P51" s="549"/>
      <c r="Q51" s="549"/>
      <c r="R51" s="549"/>
      <c r="S51" s="555"/>
      <c r="T51" s="555"/>
      <c r="U51" s="559"/>
      <c r="V51" s="560"/>
      <c r="W51" s="560"/>
      <c r="X51" s="557"/>
      <c r="Y51" s="557"/>
      <c r="Z51" s="40"/>
      <c r="AA51" s="40"/>
      <c r="AB51" s="40"/>
      <c r="AC51" s="40"/>
      <c r="AD51" s="40"/>
      <c r="AE51" s="40"/>
      <c r="AF51" s="40"/>
      <c r="AG51" s="40"/>
      <c r="AH51" s="40"/>
      <c r="AI51" s="40"/>
      <c r="AJ51" s="40"/>
      <c r="AK51" s="40"/>
      <c r="AL51" s="40"/>
      <c r="AM51" s="40"/>
      <c r="AN51" s="40"/>
      <c r="AO51" s="40"/>
      <c r="AP51" s="40"/>
      <c r="AQ51" s="40"/>
      <c r="AR51" s="40"/>
      <c r="AS51" s="40"/>
    </row>
    <row r="52" spans="1:45" ht="16.5" thickBot="1">
      <c r="B52" s="44"/>
      <c r="C52" s="45"/>
      <c r="D52" s="45"/>
      <c r="E52" s="45"/>
      <c r="F52" s="45"/>
      <c r="G52" s="45"/>
      <c r="H52" s="45"/>
      <c r="I52" s="46"/>
      <c r="J52" s="46"/>
      <c r="K52" s="46"/>
      <c r="L52" s="45"/>
      <c r="M52" s="45"/>
      <c r="N52" s="45"/>
      <c r="O52" s="45"/>
      <c r="P52" s="45"/>
      <c r="Q52" s="45"/>
      <c r="R52" s="45"/>
      <c r="S52" s="46"/>
      <c r="T52" s="46"/>
      <c r="U52" s="343"/>
    </row>
    <row r="53" spans="1:45">
      <c r="B53" s="44"/>
      <c r="C53" s="45"/>
      <c r="D53" s="45"/>
      <c r="E53" s="45"/>
      <c r="F53" s="45"/>
      <c r="G53" s="45"/>
      <c r="H53" s="45"/>
      <c r="I53" s="46"/>
      <c r="J53" s="46"/>
      <c r="K53" s="568"/>
      <c r="L53" s="993" t="s">
        <v>984</v>
      </c>
      <c r="M53" s="994"/>
      <c r="N53" s="995"/>
      <c r="O53" s="999" t="s">
        <v>987</v>
      </c>
      <c r="P53" s="994"/>
      <c r="Q53" s="994"/>
      <c r="R53" s="994"/>
      <c r="S53" s="994"/>
      <c r="T53" s="1000"/>
      <c r="U53" s="47"/>
    </row>
    <row r="54" spans="1:45" ht="16.5" thickBot="1">
      <c r="B54" s="44"/>
      <c r="C54" s="45"/>
      <c r="D54" s="45"/>
      <c r="E54" s="45"/>
      <c r="F54" s="45"/>
      <c r="G54" s="45"/>
      <c r="H54" s="45"/>
      <c r="I54" s="46"/>
      <c r="J54" s="46"/>
      <c r="K54" s="46"/>
      <c r="L54" s="996"/>
      <c r="M54" s="997"/>
      <c r="N54" s="998"/>
      <c r="O54" s="1001"/>
      <c r="P54" s="997"/>
      <c r="Q54" s="997"/>
      <c r="R54" s="997"/>
      <c r="S54" s="997"/>
      <c r="T54" s="1002"/>
      <c r="U54" s="47"/>
    </row>
    <row r="55" spans="1:45">
      <c r="B55" s="44"/>
      <c r="C55" s="45"/>
      <c r="D55" s="45"/>
      <c r="E55" s="45"/>
      <c r="F55" s="45"/>
      <c r="G55" s="45"/>
      <c r="H55" s="45"/>
      <c r="I55" s="46"/>
      <c r="J55" s="46"/>
      <c r="K55" s="46"/>
      <c r="L55" s="553"/>
      <c r="M55" s="551"/>
      <c r="N55" s="551"/>
      <c r="O55" s="551"/>
      <c r="P55" s="551"/>
      <c r="Q55" s="551"/>
      <c r="R55" s="551"/>
      <c r="S55" s="551"/>
      <c r="T55" s="552"/>
      <c r="U55" s="47"/>
    </row>
    <row r="56" spans="1:45">
      <c r="B56" s="44"/>
      <c r="C56" s="45"/>
      <c r="D56" s="45"/>
      <c r="E56" s="45"/>
      <c r="F56" s="45"/>
      <c r="G56" s="45"/>
      <c r="H56" s="45"/>
      <c r="I56" s="46"/>
      <c r="J56" s="46"/>
      <c r="K56" s="46"/>
      <c r="L56" s="972" t="s">
        <v>985</v>
      </c>
      <c r="M56" s="973"/>
      <c r="N56" s="967" t="s">
        <v>177</v>
      </c>
      <c r="O56" s="987" t="s">
        <v>988</v>
      </c>
      <c r="P56" s="988"/>
      <c r="Q56" s="988"/>
      <c r="R56" s="988"/>
      <c r="S56" s="988"/>
      <c r="T56" s="989"/>
      <c r="U56" s="47"/>
    </row>
    <row r="57" spans="1:45">
      <c r="B57" s="44"/>
      <c r="C57" s="45"/>
      <c r="D57" s="45"/>
      <c r="E57" s="45"/>
      <c r="F57" s="45"/>
      <c r="G57" s="45"/>
      <c r="H57" s="45"/>
      <c r="I57" s="46"/>
      <c r="J57" s="46"/>
      <c r="K57" s="46"/>
      <c r="L57" s="974"/>
      <c r="M57" s="975"/>
      <c r="N57" s="968"/>
      <c r="O57" s="990"/>
      <c r="P57" s="991"/>
      <c r="Q57" s="991"/>
      <c r="R57" s="991"/>
      <c r="S57" s="991"/>
      <c r="T57" s="992"/>
      <c r="U57" s="47"/>
    </row>
    <row r="58" spans="1:45">
      <c r="B58" s="44"/>
      <c r="C58" s="45"/>
      <c r="D58" s="45"/>
      <c r="E58" s="45"/>
      <c r="F58" s="45"/>
      <c r="G58" s="45"/>
      <c r="H58" s="45"/>
      <c r="I58" s="46"/>
      <c r="J58" s="46"/>
      <c r="K58" s="46"/>
      <c r="L58" s="562"/>
      <c r="M58" s="502"/>
      <c r="N58" s="967" t="s">
        <v>1002</v>
      </c>
      <c r="O58" s="987" t="s">
        <v>996</v>
      </c>
      <c r="P58" s="988"/>
      <c r="Q58" s="988"/>
      <c r="R58" s="988"/>
      <c r="S58" s="988"/>
      <c r="T58" s="989"/>
      <c r="U58" s="47"/>
    </row>
    <row r="59" spans="1:45">
      <c r="B59" s="44"/>
      <c r="C59" s="45"/>
      <c r="D59" s="45"/>
      <c r="E59" s="45"/>
      <c r="F59" s="45"/>
      <c r="G59" s="45"/>
      <c r="H59" s="45"/>
      <c r="I59" s="46"/>
      <c r="J59" s="46"/>
      <c r="K59" s="46"/>
      <c r="L59" s="562"/>
      <c r="M59" s="502"/>
      <c r="N59" s="968"/>
      <c r="O59" s="990"/>
      <c r="P59" s="991"/>
      <c r="Q59" s="991"/>
      <c r="R59" s="991"/>
      <c r="S59" s="991"/>
      <c r="T59" s="992"/>
      <c r="U59" s="47"/>
    </row>
    <row r="60" spans="1:45">
      <c r="B60" s="44"/>
      <c r="C60" s="45"/>
      <c r="D60" s="45"/>
      <c r="E60" s="45"/>
      <c r="F60" s="45"/>
      <c r="G60" s="45"/>
      <c r="H60" s="45"/>
      <c r="I60" s="46"/>
      <c r="J60" s="46"/>
      <c r="K60" s="46"/>
      <c r="L60" s="562"/>
      <c r="M60" s="502"/>
      <c r="N60" s="968"/>
      <c r="O60" s="981" t="s">
        <v>1049</v>
      </c>
      <c r="P60" s="982"/>
      <c r="Q60" s="982"/>
      <c r="R60" s="982"/>
      <c r="S60" s="982"/>
      <c r="T60" s="983"/>
      <c r="U60" s="343"/>
    </row>
    <row r="61" spans="1:45">
      <c r="B61" s="44"/>
      <c r="C61" s="45"/>
      <c r="D61" s="45"/>
      <c r="E61" s="45"/>
      <c r="F61" s="45"/>
      <c r="G61" s="45"/>
      <c r="H61" s="45"/>
      <c r="I61" s="46"/>
      <c r="J61" s="46"/>
      <c r="K61" s="46"/>
      <c r="L61" s="563"/>
      <c r="M61" s="47"/>
      <c r="N61" s="980"/>
      <c r="O61" s="984"/>
      <c r="P61" s="985"/>
      <c r="Q61" s="985"/>
      <c r="R61" s="985"/>
      <c r="S61" s="985"/>
      <c r="T61" s="986"/>
      <c r="U61" s="47"/>
    </row>
    <row r="62" spans="1:45">
      <c r="B62" s="44"/>
      <c r="C62" s="45"/>
      <c r="D62" s="45"/>
      <c r="E62" s="45"/>
      <c r="F62" s="45"/>
      <c r="G62" s="45"/>
      <c r="H62" s="45"/>
      <c r="I62" s="46"/>
      <c r="J62" s="46"/>
      <c r="K62" s="46"/>
      <c r="L62" s="972" t="s">
        <v>986</v>
      </c>
      <c r="M62" s="973"/>
      <c r="N62" s="967" t="s">
        <v>178</v>
      </c>
      <c r="O62" s="981" t="s">
        <v>993</v>
      </c>
      <c r="P62" s="982"/>
      <c r="Q62" s="982"/>
      <c r="R62" s="982"/>
      <c r="S62" s="982"/>
      <c r="T62" s="983"/>
      <c r="U62" s="47"/>
    </row>
    <row r="63" spans="1:45">
      <c r="B63" s="44"/>
      <c r="C63" s="45"/>
      <c r="D63" s="45"/>
      <c r="E63" s="45"/>
      <c r="F63" s="45"/>
      <c r="G63" s="45"/>
      <c r="H63" s="45"/>
      <c r="I63" s="46"/>
      <c r="J63" s="46"/>
      <c r="K63" s="46"/>
      <c r="L63" s="974"/>
      <c r="M63" s="975"/>
      <c r="N63" s="968"/>
      <c r="O63" s="984"/>
      <c r="P63" s="985"/>
      <c r="Q63" s="985"/>
      <c r="R63" s="985"/>
      <c r="S63" s="985"/>
      <c r="T63" s="986"/>
      <c r="U63" s="47"/>
    </row>
    <row r="64" spans="1:45" ht="15" customHeight="1">
      <c r="B64" s="44"/>
      <c r="C64" s="45"/>
      <c r="D64" s="45"/>
      <c r="E64" s="45"/>
      <c r="F64" s="45"/>
      <c r="G64" s="45"/>
      <c r="H64" s="45"/>
      <c r="I64" s="46"/>
      <c r="J64" s="46"/>
      <c r="K64" s="46"/>
      <c r="L64" s="564"/>
      <c r="M64" s="561"/>
      <c r="N64" s="967" t="s">
        <v>1002</v>
      </c>
      <c r="O64" s="981" t="s">
        <v>994</v>
      </c>
      <c r="P64" s="982"/>
      <c r="Q64" s="982"/>
      <c r="R64" s="982"/>
      <c r="S64" s="982"/>
      <c r="T64" s="983"/>
      <c r="U64" s="561"/>
      <c r="V64" s="556"/>
      <c r="W64" s="556"/>
      <c r="X64" s="556"/>
    </row>
    <row r="65" spans="2:24">
      <c r="B65" s="44"/>
      <c r="C65" s="45"/>
      <c r="D65" s="45"/>
      <c r="E65" s="45"/>
      <c r="F65" s="45"/>
      <c r="G65" s="45"/>
      <c r="H65" s="45"/>
      <c r="I65" s="46"/>
      <c r="J65" s="46"/>
      <c r="K65" s="46"/>
      <c r="L65" s="563"/>
      <c r="M65" s="47"/>
      <c r="N65" s="968"/>
      <c r="O65" s="984"/>
      <c r="P65" s="985"/>
      <c r="Q65" s="985"/>
      <c r="R65" s="985"/>
      <c r="S65" s="985"/>
      <c r="T65" s="986"/>
      <c r="U65" s="47"/>
    </row>
    <row r="66" spans="2:24">
      <c r="B66" s="44"/>
      <c r="C66" s="45"/>
      <c r="D66" s="45"/>
      <c r="E66" s="45"/>
      <c r="F66" s="45"/>
      <c r="G66" s="45"/>
      <c r="H66" s="45"/>
      <c r="I66" s="46"/>
      <c r="J66" s="46"/>
      <c r="K66" s="46"/>
      <c r="L66" s="563"/>
      <c r="M66" s="47"/>
      <c r="N66" s="968"/>
      <c r="O66" s="981" t="s">
        <v>1003</v>
      </c>
      <c r="P66" s="982"/>
      <c r="Q66" s="982"/>
      <c r="R66" s="982"/>
      <c r="S66" s="982"/>
      <c r="T66" s="983"/>
      <c r="U66" s="343"/>
    </row>
    <row r="67" spans="2:24">
      <c r="B67" s="44"/>
      <c r="C67" s="45"/>
      <c r="D67" s="45"/>
      <c r="E67" s="45"/>
      <c r="F67" s="45"/>
      <c r="G67" s="45"/>
      <c r="H67" s="45"/>
      <c r="I67" s="46"/>
      <c r="J67" s="46"/>
      <c r="K67" s="46"/>
      <c r="L67" s="563"/>
      <c r="M67" s="47"/>
      <c r="N67" s="980"/>
      <c r="O67" s="984"/>
      <c r="P67" s="985"/>
      <c r="Q67" s="985"/>
      <c r="R67" s="985"/>
      <c r="S67" s="985"/>
      <c r="T67" s="986"/>
      <c r="U67" s="343"/>
    </row>
    <row r="68" spans="2:24" ht="15" customHeight="1">
      <c r="B68" s="44"/>
      <c r="C68" s="45"/>
      <c r="D68" s="45"/>
      <c r="E68" s="45"/>
      <c r="F68" s="45"/>
      <c r="G68" s="45"/>
      <c r="H68" s="45"/>
      <c r="I68" s="46"/>
      <c r="J68" s="46"/>
      <c r="K68" s="46"/>
      <c r="L68" s="976" t="s">
        <v>990</v>
      </c>
      <c r="M68" s="977"/>
      <c r="N68" s="970" t="s">
        <v>179</v>
      </c>
      <c r="O68" s="981" t="s">
        <v>989</v>
      </c>
      <c r="P68" s="982"/>
      <c r="Q68" s="982"/>
      <c r="R68" s="982"/>
      <c r="S68" s="982"/>
      <c r="T68" s="983"/>
      <c r="U68" s="561"/>
      <c r="V68" s="556"/>
      <c r="W68" s="556"/>
      <c r="X68" s="556"/>
    </row>
    <row r="69" spans="2:24">
      <c r="B69" s="44"/>
      <c r="C69" s="45"/>
      <c r="D69" s="45"/>
      <c r="E69" s="45"/>
      <c r="F69" s="45"/>
      <c r="G69" s="45"/>
      <c r="H69" s="45"/>
      <c r="I69" s="46"/>
      <c r="J69" s="46"/>
      <c r="K69" s="46"/>
      <c r="L69" s="978"/>
      <c r="M69" s="979"/>
      <c r="N69" s="971"/>
      <c r="O69" s="984"/>
      <c r="P69" s="985"/>
      <c r="Q69" s="985"/>
      <c r="R69" s="985"/>
      <c r="S69" s="985"/>
      <c r="T69" s="986"/>
      <c r="U69" s="47"/>
    </row>
    <row r="70" spans="2:24">
      <c r="B70" s="44"/>
      <c r="C70" s="45"/>
      <c r="D70" s="45"/>
      <c r="E70" s="45"/>
      <c r="F70" s="45"/>
      <c r="G70" s="45"/>
      <c r="H70" s="45"/>
      <c r="I70" s="46"/>
      <c r="J70" s="46"/>
      <c r="K70" s="46"/>
      <c r="L70" s="563"/>
      <c r="M70" s="47"/>
      <c r="N70" s="967" t="s">
        <v>1002</v>
      </c>
      <c r="O70" s="981" t="s">
        <v>1004</v>
      </c>
      <c r="P70" s="982"/>
      <c r="Q70" s="982"/>
      <c r="R70" s="982"/>
      <c r="S70" s="982"/>
      <c r="T70" s="983"/>
      <c r="U70" s="47"/>
    </row>
    <row r="71" spans="2:24">
      <c r="B71" s="44"/>
      <c r="C71" s="45"/>
      <c r="D71" s="45"/>
      <c r="E71" s="45"/>
      <c r="F71" s="45"/>
      <c r="G71" s="45"/>
      <c r="H71" s="45"/>
      <c r="I71" s="46"/>
      <c r="J71" s="46"/>
      <c r="K71" s="46"/>
      <c r="L71" s="563"/>
      <c r="M71" s="47"/>
      <c r="N71" s="968"/>
      <c r="O71" s="984"/>
      <c r="P71" s="985"/>
      <c r="Q71" s="985"/>
      <c r="R71" s="985"/>
      <c r="S71" s="985"/>
      <c r="T71" s="986"/>
      <c r="U71" s="47"/>
    </row>
    <row r="72" spans="2:24">
      <c r="B72" s="44"/>
      <c r="C72" s="45"/>
      <c r="D72" s="45"/>
      <c r="E72" s="45"/>
      <c r="F72" s="45"/>
      <c r="G72" s="45"/>
      <c r="H72" s="45"/>
      <c r="I72" s="46"/>
      <c r="J72" s="46"/>
      <c r="K72" s="46"/>
      <c r="L72" s="565"/>
      <c r="M72" s="28"/>
      <c r="N72" s="968"/>
      <c r="O72" s="981" t="s">
        <v>1005</v>
      </c>
      <c r="P72" s="982"/>
      <c r="Q72" s="982"/>
      <c r="R72" s="982"/>
      <c r="S72" s="982"/>
      <c r="T72" s="983"/>
    </row>
    <row r="73" spans="2:24">
      <c r="B73" s="44"/>
      <c r="C73" s="45"/>
      <c r="D73" s="45"/>
      <c r="E73" s="45"/>
      <c r="F73" s="45"/>
      <c r="G73" s="45"/>
      <c r="H73" s="45"/>
      <c r="I73" s="46"/>
      <c r="J73" s="46"/>
      <c r="K73" s="46"/>
      <c r="L73" s="565"/>
      <c r="M73" s="28"/>
      <c r="N73" s="980"/>
      <c r="O73" s="984"/>
      <c r="P73" s="985"/>
      <c r="Q73" s="985"/>
      <c r="R73" s="985"/>
      <c r="S73" s="985"/>
      <c r="T73" s="986"/>
    </row>
    <row r="74" spans="2:24">
      <c r="B74" s="44"/>
      <c r="C74" s="45"/>
      <c r="D74" s="45"/>
      <c r="E74" s="45"/>
      <c r="F74" s="45"/>
      <c r="G74" s="45"/>
      <c r="H74" s="45"/>
      <c r="I74" s="46"/>
      <c r="J74" s="46"/>
      <c r="K74" s="46"/>
      <c r="L74" s="976" t="s">
        <v>992</v>
      </c>
      <c r="M74" s="977"/>
      <c r="N74" s="970" t="s">
        <v>217</v>
      </c>
      <c r="O74" s="981" t="s">
        <v>991</v>
      </c>
      <c r="P74" s="982"/>
      <c r="Q74" s="982"/>
      <c r="R74" s="982"/>
      <c r="S74" s="982"/>
      <c r="T74" s="983"/>
    </row>
    <row r="75" spans="2:24">
      <c r="B75" s="44"/>
      <c r="C75" s="45"/>
      <c r="D75" s="45"/>
      <c r="E75" s="45"/>
      <c r="F75" s="45"/>
      <c r="G75" s="45"/>
      <c r="H75" s="45"/>
      <c r="I75" s="46"/>
      <c r="J75" s="46"/>
      <c r="K75" s="46"/>
      <c r="L75" s="978"/>
      <c r="M75" s="979"/>
      <c r="N75" s="971"/>
      <c r="O75" s="984"/>
      <c r="P75" s="985"/>
      <c r="Q75" s="985"/>
      <c r="R75" s="985"/>
      <c r="S75" s="985"/>
      <c r="T75" s="986"/>
    </row>
    <row r="76" spans="2:24">
      <c r="B76" s="44"/>
      <c r="C76" s="45"/>
      <c r="D76" s="45"/>
      <c r="E76" s="45"/>
      <c r="F76" s="45"/>
      <c r="G76" s="45"/>
      <c r="H76" s="45"/>
      <c r="I76" s="46"/>
      <c r="J76" s="46"/>
      <c r="K76" s="46"/>
      <c r="L76" s="563"/>
      <c r="M76" s="47"/>
      <c r="N76" s="967" t="s">
        <v>1002</v>
      </c>
      <c r="O76" s="981" t="s">
        <v>995</v>
      </c>
      <c r="P76" s="982"/>
      <c r="Q76" s="982"/>
      <c r="R76" s="982"/>
      <c r="S76" s="982"/>
      <c r="T76" s="983"/>
    </row>
    <row r="77" spans="2:24">
      <c r="B77" s="44"/>
      <c r="C77" s="45"/>
      <c r="D77" s="45"/>
      <c r="E77" s="45"/>
      <c r="F77" s="45"/>
      <c r="G77" s="45"/>
      <c r="H77" s="45"/>
      <c r="I77" s="46"/>
      <c r="J77" s="46"/>
      <c r="K77" s="46"/>
      <c r="L77" s="563"/>
      <c r="M77" s="47"/>
      <c r="N77" s="968"/>
      <c r="O77" s="984"/>
      <c r="P77" s="985"/>
      <c r="Q77" s="985"/>
      <c r="R77" s="985"/>
      <c r="S77" s="985"/>
      <c r="T77" s="986"/>
    </row>
    <row r="78" spans="2:24">
      <c r="B78" s="44"/>
      <c r="C78" s="45"/>
      <c r="D78" s="45"/>
      <c r="E78" s="45"/>
      <c r="F78" s="45"/>
      <c r="G78" s="45"/>
      <c r="H78" s="45"/>
      <c r="I78" s="46"/>
      <c r="J78" s="46"/>
      <c r="K78" s="46"/>
      <c r="L78" s="564"/>
      <c r="M78" s="561"/>
      <c r="N78" s="968"/>
      <c r="O78" s="981" t="s">
        <v>1006</v>
      </c>
      <c r="P78" s="982"/>
      <c r="Q78" s="982"/>
      <c r="R78" s="982"/>
      <c r="S78" s="982"/>
      <c r="T78" s="983"/>
    </row>
    <row r="79" spans="2:24" ht="16.5" thickBot="1">
      <c r="B79" s="44"/>
      <c r="C79" s="45"/>
      <c r="D79" s="45"/>
      <c r="E79" s="45"/>
      <c r="F79" s="45"/>
      <c r="G79" s="45"/>
      <c r="H79" s="45"/>
      <c r="I79" s="46"/>
      <c r="J79" s="46"/>
      <c r="K79" s="46"/>
      <c r="L79" s="566"/>
      <c r="M79" s="567"/>
      <c r="N79" s="969"/>
      <c r="O79" s="1022"/>
      <c r="P79" s="1023"/>
      <c r="Q79" s="1023"/>
      <c r="R79" s="1023"/>
      <c r="S79" s="1023"/>
      <c r="T79" s="1024"/>
    </row>
    <row r="80" spans="2:24">
      <c r="B80" s="44"/>
      <c r="C80" s="45"/>
      <c r="D80" s="45"/>
      <c r="E80" s="45"/>
      <c r="F80" s="45"/>
      <c r="G80" s="45"/>
      <c r="H80" s="45"/>
      <c r="I80" s="46"/>
      <c r="J80" s="46"/>
      <c r="K80" s="46"/>
      <c r="P80" s="43"/>
    </row>
    <row r="81" spans="2:25">
      <c r="B81" s="44"/>
      <c r="C81" s="45"/>
      <c r="D81" s="45"/>
      <c r="E81" s="45"/>
      <c r="F81" s="45"/>
      <c r="G81" s="45"/>
      <c r="H81" s="45"/>
      <c r="I81" s="46"/>
      <c r="J81" s="46"/>
      <c r="K81" s="46"/>
      <c r="P81" s="43"/>
    </row>
    <row r="82" spans="2:25" s="40" customFormat="1" ht="18.75">
      <c r="B82" s="549" t="s">
        <v>1000</v>
      </c>
      <c r="C82" s="550"/>
      <c r="D82" s="550"/>
      <c r="E82" s="550"/>
      <c r="F82" s="550"/>
      <c r="G82" s="550"/>
      <c r="H82" s="550"/>
      <c r="I82" s="42"/>
      <c r="J82" s="42"/>
      <c r="K82" s="42"/>
      <c r="U82" s="557"/>
      <c r="V82" s="557"/>
      <c r="W82" s="557"/>
      <c r="X82" s="557"/>
      <c r="Y82" s="557"/>
    </row>
    <row r="83" spans="2:25" s="43" customFormat="1" ht="15" customHeight="1" outlineLevel="1" thickBot="1">
      <c r="B83" s="44"/>
      <c r="C83" s="45"/>
      <c r="D83" s="45"/>
      <c r="E83" s="45"/>
      <c r="F83" s="45"/>
      <c r="G83" s="45"/>
      <c r="H83" s="45"/>
      <c r="I83" s="46"/>
      <c r="J83" s="46"/>
      <c r="K83" s="46"/>
      <c r="U83" s="28"/>
      <c r="V83" s="28"/>
      <c r="W83" s="28"/>
      <c r="X83" s="28"/>
      <c r="Y83" s="28"/>
    </row>
    <row r="84" spans="2:25" s="43" customFormat="1" ht="15" customHeight="1" outlineLevel="1">
      <c r="B84" s="1011" t="s">
        <v>826</v>
      </c>
      <c r="C84" s="1012"/>
      <c r="D84" s="1012"/>
      <c r="E84" s="1013"/>
      <c r="F84" s="1025" t="s">
        <v>825</v>
      </c>
      <c r="G84" s="1012"/>
      <c r="H84" s="1012"/>
      <c r="I84" s="1026"/>
      <c r="J84" s="46"/>
      <c r="K84" s="46"/>
      <c r="U84" s="28"/>
      <c r="V84" s="28"/>
      <c r="W84" s="28"/>
      <c r="X84" s="28"/>
      <c r="Y84" s="28"/>
    </row>
    <row r="85" spans="2:25" s="43" customFormat="1" ht="15.95" customHeight="1" outlineLevel="1" thickBot="1">
      <c r="B85" s="1014" t="s">
        <v>827</v>
      </c>
      <c r="C85" s="1015"/>
      <c r="D85" s="1016" t="s">
        <v>828</v>
      </c>
      <c r="E85" s="1015"/>
      <c r="F85" s="385" t="s">
        <v>866</v>
      </c>
      <c r="G85" s="385" t="s">
        <v>867</v>
      </c>
      <c r="H85" s="385" t="s">
        <v>868</v>
      </c>
      <c r="I85" s="386" t="s">
        <v>869</v>
      </c>
      <c r="U85" s="28"/>
      <c r="V85" s="28"/>
      <c r="W85" s="28"/>
      <c r="X85" s="28"/>
      <c r="Y85" s="28"/>
    </row>
    <row r="86" spans="2:25" s="43" customFormat="1" ht="15" customHeight="1" outlineLevel="1">
      <c r="B86" s="382"/>
      <c r="C86" s="383"/>
      <c r="D86" s="383"/>
      <c r="E86" s="383"/>
      <c r="F86" s="383"/>
      <c r="G86" s="383"/>
      <c r="H86" s="383"/>
      <c r="I86" s="397"/>
      <c r="U86" s="28"/>
      <c r="V86" s="28"/>
      <c r="W86" s="28"/>
      <c r="X86" s="28"/>
      <c r="Y86" s="28"/>
    </row>
    <row r="87" spans="2:25" s="43" customFormat="1" ht="15" customHeight="1" outlineLevel="1">
      <c r="B87" s="1017" t="s">
        <v>306</v>
      </c>
      <c r="C87" s="1018"/>
      <c r="D87" s="1029" t="s">
        <v>824</v>
      </c>
      <c r="E87" s="1029"/>
      <c r="F87" s="582">
        <v>1</v>
      </c>
      <c r="G87" s="583">
        <v>1</v>
      </c>
      <c r="H87" s="583">
        <v>1</v>
      </c>
      <c r="I87" s="584">
        <v>1</v>
      </c>
      <c r="U87" s="28"/>
      <c r="V87" s="28"/>
      <c r="W87" s="28"/>
      <c r="X87" s="28"/>
      <c r="Y87" s="28"/>
    </row>
    <row r="88" spans="2:25" s="43" customFormat="1" ht="15" customHeight="1" outlineLevel="1">
      <c r="B88" s="1017" t="s">
        <v>307</v>
      </c>
      <c r="C88" s="1018"/>
      <c r="D88" s="1029" t="s">
        <v>823</v>
      </c>
      <c r="E88" s="1029"/>
      <c r="F88" s="582">
        <v>28</v>
      </c>
      <c r="G88" s="583">
        <v>25</v>
      </c>
      <c r="H88" s="583">
        <v>23</v>
      </c>
      <c r="I88" s="584">
        <v>21</v>
      </c>
      <c r="U88" s="28"/>
      <c r="V88" s="28"/>
      <c r="W88" s="28"/>
      <c r="X88" s="28"/>
      <c r="Y88" s="28"/>
    </row>
    <row r="89" spans="2:25" s="43" customFormat="1" ht="15" customHeight="1" outlineLevel="1">
      <c r="B89" s="1017" t="s">
        <v>308</v>
      </c>
      <c r="C89" s="1018"/>
      <c r="D89" s="1029" t="s">
        <v>822</v>
      </c>
      <c r="E89" s="1029"/>
      <c r="F89" s="582">
        <v>265</v>
      </c>
      <c r="G89" s="583">
        <v>298</v>
      </c>
      <c r="H89" s="583">
        <v>296</v>
      </c>
      <c r="I89" s="584">
        <v>310</v>
      </c>
      <c r="U89" s="28"/>
      <c r="V89" s="28"/>
      <c r="W89" s="28"/>
      <c r="X89" s="28"/>
      <c r="Y89" s="28"/>
    </row>
    <row r="90" spans="2:25" s="43" customFormat="1" ht="15" customHeight="1" outlineLevel="1">
      <c r="B90" s="1017" t="s">
        <v>315</v>
      </c>
      <c r="C90" s="1018"/>
      <c r="D90" s="1029" t="s">
        <v>887</v>
      </c>
      <c r="E90" s="1029"/>
      <c r="F90" s="582">
        <v>23500</v>
      </c>
      <c r="G90" s="583">
        <v>22800</v>
      </c>
      <c r="H90" s="583">
        <v>22200</v>
      </c>
      <c r="I90" s="584">
        <v>23900</v>
      </c>
      <c r="U90" s="28"/>
      <c r="V90" s="28"/>
      <c r="W90" s="28"/>
      <c r="X90" s="28"/>
      <c r="Y90" s="28"/>
    </row>
    <row r="91" spans="2:25" s="43" customFormat="1" ht="15" customHeight="1" outlineLevel="1">
      <c r="B91" s="1017" t="s">
        <v>873</v>
      </c>
      <c r="C91" s="1018"/>
      <c r="D91" s="28" t="s">
        <v>899</v>
      </c>
      <c r="E91" s="28"/>
      <c r="F91" s="583">
        <v>6630</v>
      </c>
      <c r="G91" s="583">
        <v>7390</v>
      </c>
      <c r="H91" s="583">
        <v>5700</v>
      </c>
      <c r="I91" s="585">
        <v>6500</v>
      </c>
      <c r="U91" s="28"/>
      <c r="V91" s="28"/>
      <c r="W91" s="28"/>
      <c r="X91" s="28"/>
      <c r="Y91" s="28"/>
    </row>
    <row r="92" spans="2:25" s="43" customFormat="1" ht="15" customHeight="1" outlineLevel="1">
      <c r="B92" s="1017" t="s">
        <v>874</v>
      </c>
      <c r="C92" s="1018"/>
      <c r="D92" s="472" t="s">
        <v>900</v>
      </c>
      <c r="E92" s="473"/>
      <c r="F92" s="583">
        <v>11100</v>
      </c>
      <c r="G92" s="583">
        <v>12200</v>
      </c>
      <c r="H92" s="583">
        <v>11900</v>
      </c>
      <c r="I92" s="585">
        <v>9200</v>
      </c>
      <c r="U92" s="28"/>
      <c r="V92" s="28"/>
      <c r="W92" s="28"/>
      <c r="X92" s="28"/>
      <c r="Y92" s="28"/>
    </row>
    <row r="93" spans="2:25" s="43" customFormat="1" ht="15" customHeight="1" outlineLevel="1">
      <c r="B93" s="1020" t="s">
        <v>875</v>
      </c>
      <c r="C93" s="1021"/>
      <c r="D93" s="28" t="s">
        <v>901</v>
      </c>
      <c r="E93" s="28"/>
      <c r="F93" s="583">
        <v>12400</v>
      </c>
      <c r="G93" s="583">
        <v>14800</v>
      </c>
      <c r="H93" s="583">
        <v>12000</v>
      </c>
      <c r="I93" s="585">
        <v>11700</v>
      </c>
      <c r="U93" s="28"/>
      <c r="V93" s="28"/>
      <c r="W93" s="28"/>
      <c r="X93" s="28"/>
      <c r="Y93" s="28"/>
    </row>
    <row r="94" spans="2:25" s="43" customFormat="1" ht="15" customHeight="1" outlineLevel="1">
      <c r="B94" s="1020" t="s">
        <v>876</v>
      </c>
      <c r="C94" s="1021"/>
      <c r="D94" s="472" t="s">
        <v>902</v>
      </c>
      <c r="E94" s="473"/>
      <c r="F94" s="583">
        <v>677</v>
      </c>
      <c r="G94" s="583">
        <v>675</v>
      </c>
      <c r="H94" s="583">
        <v>550</v>
      </c>
      <c r="I94" s="585">
        <v>650</v>
      </c>
      <c r="U94" s="28"/>
      <c r="V94" s="28"/>
      <c r="W94" s="28"/>
      <c r="X94" s="28"/>
      <c r="Y94" s="28"/>
    </row>
    <row r="95" spans="2:25" s="43" customFormat="1" ht="15" customHeight="1" outlineLevel="1">
      <c r="B95" s="1017" t="s">
        <v>877</v>
      </c>
      <c r="C95" s="1018"/>
      <c r="D95" s="28" t="s">
        <v>903</v>
      </c>
      <c r="E95" s="28"/>
      <c r="F95" s="583">
        <v>116</v>
      </c>
      <c r="G95" s="583">
        <v>92</v>
      </c>
      <c r="H95" s="583">
        <v>97</v>
      </c>
      <c r="I95" s="585">
        <v>150</v>
      </c>
      <c r="U95" s="28"/>
      <c r="V95" s="28"/>
      <c r="W95" s="28"/>
      <c r="X95" s="28"/>
      <c r="Y95" s="28"/>
    </row>
    <row r="96" spans="2:25" s="43" customFormat="1" ht="15" customHeight="1" outlineLevel="1">
      <c r="B96" s="1020" t="s">
        <v>878</v>
      </c>
      <c r="C96" s="1021"/>
      <c r="D96" s="472" t="s">
        <v>904</v>
      </c>
      <c r="E96" s="473"/>
      <c r="F96" s="583">
        <v>3170</v>
      </c>
      <c r="G96" s="583">
        <v>3500</v>
      </c>
      <c r="H96" s="583">
        <v>3400</v>
      </c>
      <c r="I96" s="585">
        <v>2800</v>
      </c>
      <c r="U96" s="28"/>
      <c r="V96" s="28"/>
      <c r="W96" s="28"/>
      <c r="X96" s="28"/>
      <c r="Y96" s="28"/>
    </row>
    <row r="97" spans="2:25" s="43" customFormat="1" ht="15" customHeight="1" outlineLevel="1">
      <c r="B97" s="1020" t="s">
        <v>879</v>
      </c>
      <c r="C97" s="1021"/>
      <c r="D97" s="28" t="s">
        <v>905</v>
      </c>
      <c r="E97" s="28"/>
      <c r="F97" s="583">
        <v>1120</v>
      </c>
      <c r="G97" s="583">
        <v>1100</v>
      </c>
      <c r="H97" s="583">
        <v>1100</v>
      </c>
      <c r="I97" s="585">
        <v>1000</v>
      </c>
      <c r="U97" s="28"/>
      <c r="V97" s="28"/>
      <c r="W97" s="28"/>
      <c r="X97" s="28"/>
      <c r="Y97" s="28"/>
    </row>
    <row r="98" spans="2:25" s="43" customFormat="1" ht="15" customHeight="1" outlineLevel="1">
      <c r="B98" s="1020" t="s">
        <v>880</v>
      </c>
      <c r="C98" s="1021"/>
      <c r="D98" s="472" t="s">
        <v>906</v>
      </c>
      <c r="E98" s="473"/>
      <c r="F98" s="583">
        <v>1300</v>
      </c>
      <c r="G98" s="583">
        <v>1430</v>
      </c>
      <c r="H98" s="583">
        <v>1300</v>
      </c>
      <c r="I98" s="585">
        <v>1300</v>
      </c>
      <c r="U98" s="28"/>
      <c r="V98" s="28"/>
      <c r="W98" s="28"/>
      <c r="X98" s="28"/>
      <c r="Y98" s="28"/>
    </row>
    <row r="99" spans="2:25" s="43" customFormat="1" ht="15" customHeight="1" outlineLevel="1">
      <c r="B99" s="1020" t="s">
        <v>881</v>
      </c>
      <c r="C99" s="1021"/>
      <c r="D99" s="28" t="s">
        <v>907</v>
      </c>
      <c r="E99" s="28"/>
      <c r="F99" s="583">
        <v>328</v>
      </c>
      <c r="G99" s="583">
        <v>353</v>
      </c>
      <c r="H99" s="583">
        <v>330</v>
      </c>
      <c r="I99" s="585">
        <v>300</v>
      </c>
      <c r="U99" s="28"/>
      <c r="V99" s="28"/>
      <c r="W99" s="28"/>
      <c r="X99" s="28"/>
      <c r="Y99" s="28"/>
    </row>
    <row r="100" spans="2:25" s="43" customFormat="1" ht="15" customHeight="1" outlineLevel="1">
      <c r="B100" s="1020" t="s">
        <v>882</v>
      </c>
      <c r="C100" s="1021"/>
      <c r="D100" s="472" t="s">
        <v>908</v>
      </c>
      <c r="E100" s="473"/>
      <c r="F100" s="583">
        <v>4800</v>
      </c>
      <c r="G100" s="583">
        <v>4470</v>
      </c>
      <c r="H100" s="583">
        <v>4300</v>
      </c>
      <c r="I100" s="585">
        <v>3800</v>
      </c>
      <c r="U100" s="28"/>
      <c r="V100" s="28"/>
      <c r="W100" s="28"/>
      <c r="X100" s="28"/>
      <c r="Y100" s="28"/>
    </row>
    <row r="101" spans="2:25" s="43" customFormat="1" ht="15" customHeight="1" outlineLevel="1">
      <c r="B101" s="1020" t="s">
        <v>883</v>
      </c>
      <c r="C101" s="1021"/>
      <c r="D101" s="28" t="s">
        <v>909</v>
      </c>
      <c r="E101" s="28"/>
      <c r="F101" s="583">
        <v>138</v>
      </c>
      <c r="G101" s="583">
        <v>124</v>
      </c>
      <c r="H101" s="583">
        <v>120</v>
      </c>
      <c r="I101" s="585">
        <v>140</v>
      </c>
      <c r="U101" s="28"/>
      <c r="V101" s="28"/>
      <c r="W101" s="28"/>
      <c r="X101" s="28"/>
      <c r="Y101" s="28"/>
    </row>
    <row r="102" spans="2:25" s="43" customFormat="1" ht="15" customHeight="1" outlineLevel="1">
      <c r="B102" s="1020" t="s">
        <v>884</v>
      </c>
      <c r="C102" s="1021"/>
      <c r="D102" s="472" t="s">
        <v>910</v>
      </c>
      <c r="E102" s="473"/>
      <c r="F102" s="583">
        <v>3350</v>
      </c>
      <c r="G102" s="583">
        <v>3220</v>
      </c>
      <c r="H102" s="583">
        <v>3500</v>
      </c>
      <c r="I102" s="585">
        <v>2900</v>
      </c>
      <c r="U102" s="28"/>
      <c r="V102" s="28"/>
      <c r="W102" s="28"/>
      <c r="X102" s="28"/>
      <c r="Y102" s="28"/>
    </row>
    <row r="103" spans="2:25" s="43" customFormat="1" ht="15" customHeight="1" outlineLevel="1">
      <c r="B103" s="1017" t="s">
        <v>885</v>
      </c>
      <c r="C103" s="1018"/>
      <c r="D103" s="28" t="s">
        <v>911</v>
      </c>
      <c r="E103" s="28"/>
      <c r="F103" s="583">
        <v>8060</v>
      </c>
      <c r="G103" s="583">
        <v>9810</v>
      </c>
      <c r="H103" s="583">
        <v>9400</v>
      </c>
      <c r="I103" s="585">
        <v>6300</v>
      </c>
      <c r="U103" s="28"/>
      <c r="V103" s="28"/>
      <c r="W103" s="28"/>
      <c r="X103" s="28"/>
      <c r="Y103" s="28"/>
    </row>
    <row r="104" spans="2:25" s="43" customFormat="1" ht="15" customHeight="1" outlineLevel="1">
      <c r="B104" s="1017" t="s">
        <v>886</v>
      </c>
      <c r="C104" s="1018"/>
      <c r="D104" s="472" t="s">
        <v>912</v>
      </c>
      <c r="E104" s="473"/>
      <c r="F104" s="583">
        <v>716</v>
      </c>
      <c r="G104" s="583">
        <v>1030</v>
      </c>
      <c r="H104" s="583">
        <v>950</v>
      </c>
      <c r="I104" s="585">
        <v>560</v>
      </c>
      <c r="U104" s="28"/>
      <c r="V104" s="28"/>
      <c r="W104" s="28"/>
      <c r="X104" s="28"/>
      <c r="Y104" s="28"/>
    </row>
    <row r="105" spans="2:25" s="43" customFormat="1" ht="15.95" customHeight="1" outlineLevel="1" thickBot="1">
      <c r="B105" s="1027" t="s">
        <v>320</v>
      </c>
      <c r="C105" s="1028"/>
      <c r="D105" s="1019" t="s">
        <v>888</v>
      </c>
      <c r="E105" s="1019"/>
      <c r="F105" s="586">
        <v>16100</v>
      </c>
      <c r="G105" s="586">
        <v>17200</v>
      </c>
      <c r="H105" s="586"/>
      <c r="I105" s="587"/>
      <c r="U105" s="28"/>
      <c r="V105" s="28"/>
      <c r="W105" s="28"/>
      <c r="X105" s="28"/>
      <c r="Y105" s="28"/>
    </row>
    <row r="106" spans="2:25" s="43" customFormat="1" ht="15" customHeight="1" outlineLevel="1">
      <c r="B106" s="44"/>
      <c r="C106" s="45"/>
      <c r="D106" s="45"/>
      <c r="E106" s="45"/>
      <c r="F106" s="45"/>
      <c r="G106" s="45"/>
      <c r="H106" s="45"/>
      <c r="I106" s="46"/>
      <c r="J106" s="46"/>
      <c r="U106" s="28"/>
      <c r="V106" s="28"/>
      <c r="W106" s="28"/>
      <c r="X106" s="28"/>
      <c r="Y106" s="28"/>
    </row>
    <row r="107" spans="2:25" s="43" customFormat="1" ht="15" customHeight="1" outlineLevel="1">
      <c r="B107" s="45" t="s">
        <v>833</v>
      </c>
      <c r="C107" s="45"/>
      <c r="D107" s="45"/>
      <c r="E107" s="45"/>
      <c r="F107" s="45"/>
      <c r="G107" s="45"/>
      <c r="H107" s="45"/>
      <c r="I107" s="46"/>
      <c r="J107" s="46"/>
      <c r="U107" s="28"/>
      <c r="V107" s="28"/>
      <c r="W107" s="28"/>
      <c r="X107" s="28"/>
      <c r="Y107" s="28"/>
    </row>
    <row r="108" spans="2:25" s="43" customFormat="1">
      <c r="B108" s="44"/>
      <c r="C108" s="45"/>
      <c r="D108" s="45"/>
      <c r="E108" s="45"/>
      <c r="F108" s="45"/>
      <c r="G108" s="45"/>
      <c r="H108" s="45"/>
      <c r="I108" s="46"/>
      <c r="J108" s="46"/>
      <c r="K108" s="46"/>
      <c r="U108" s="28"/>
      <c r="V108" s="28"/>
      <c r="W108" s="28"/>
      <c r="X108" s="28"/>
      <c r="Y108" s="28"/>
    </row>
    <row r="109" spans="2:25" s="40" customFormat="1" ht="18.75">
      <c r="B109" s="549" t="s">
        <v>1001</v>
      </c>
      <c r="C109" s="550"/>
      <c r="D109" s="550"/>
      <c r="E109" s="550"/>
      <c r="F109" s="550"/>
      <c r="G109" s="550"/>
      <c r="H109" s="550"/>
      <c r="I109" s="42"/>
      <c r="J109" s="42"/>
      <c r="K109" s="42"/>
      <c r="U109" s="557"/>
      <c r="V109" s="557"/>
      <c r="W109" s="557"/>
      <c r="X109" s="557"/>
      <c r="Y109" s="557"/>
    </row>
    <row r="110" spans="2:25" s="43" customFormat="1" ht="15" customHeight="1" outlineLevel="1">
      <c r="B110" s="44"/>
      <c r="C110" s="45"/>
      <c r="D110" s="45"/>
      <c r="E110" s="45"/>
      <c r="F110" s="45"/>
      <c r="G110" s="45"/>
      <c r="H110" s="45"/>
      <c r="I110" s="46"/>
      <c r="J110" s="46"/>
      <c r="K110" s="46"/>
      <c r="U110" s="28"/>
      <c r="V110" s="28"/>
      <c r="W110" s="28"/>
      <c r="X110" s="28"/>
      <c r="Y110" s="28"/>
    </row>
    <row r="111" spans="2:25" s="43" customFormat="1" ht="15" customHeight="1" outlineLevel="1">
      <c r="B111" s="45" t="s">
        <v>956</v>
      </c>
      <c r="C111" s="45"/>
      <c r="D111" s="45"/>
      <c r="E111" s="45"/>
      <c r="F111" s="45"/>
      <c r="G111" s="45"/>
      <c r="H111" s="45"/>
      <c r="I111" s="46"/>
      <c r="J111" s="46"/>
      <c r="K111" s="46"/>
      <c r="U111" s="28"/>
      <c r="V111" s="28"/>
      <c r="W111" s="28"/>
      <c r="X111" s="28"/>
      <c r="Y111" s="28"/>
    </row>
    <row r="112" spans="2:25" s="43" customFormat="1" ht="15" customHeight="1" outlineLevel="1" thickBot="1">
      <c r="B112" s="44"/>
      <c r="C112" s="45"/>
      <c r="D112" s="45"/>
      <c r="E112" s="45"/>
      <c r="F112" s="45"/>
      <c r="G112" s="45"/>
      <c r="H112" s="45"/>
      <c r="I112" s="46"/>
      <c r="J112" s="46"/>
      <c r="K112" s="46"/>
      <c r="U112" s="28"/>
      <c r="V112" s="28"/>
      <c r="W112" s="28"/>
      <c r="X112" s="28"/>
      <c r="Y112" s="28"/>
    </row>
    <row r="113" spans="2:25" s="43" customFormat="1" ht="15" customHeight="1" outlineLevel="1">
      <c r="B113" s="1005" t="s">
        <v>831</v>
      </c>
      <c r="C113" s="474"/>
      <c r="D113" s="1007" t="s">
        <v>832</v>
      </c>
      <c r="E113" s="1009" t="s">
        <v>949</v>
      </c>
      <c r="F113" s="1009" t="s">
        <v>950</v>
      </c>
      <c r="G113" s="1009" t="s">
        <v>182</v>
      </c>
      <c r="H113" s="1003" t="s">
        <v>951</v>
      </c>
      <c r="I113" s="498"/>
      <c r="J113" s="498"/>
      <c r="K113" s="498"/>
      <c r="U113" s="28"/>
      <c r="V113" s="28"/>
      <c r="W113" s="28"/>
      <c r="X113" s="28"/>
      <c r="Y113" s="28"/>
    </row>
    <row r="114" spans="2:25" s="43" customFormat="1" ht="15.95" customHeight="1" outlineLevel="1" thickBot="1">
      <c r="B114" s="1006"/>
      <c r="C114" s="475"/>
      <c r="D114" s="1008"/>
      <c r="E114" s="1010"/>
      <c r="F114" s="1010"/>
      <c r="G114" s="1010"/>
      <c r="H114" s="1004"/>
      <c r="I114" s="498"/>
      <c r="J114" s="498"/>
      <c r="K114" s="498"/>
      <c r="U114" s="28"/>
      <c r="V114" s="28"/>
      <c r="W114" s="28"/>
      <c r="X114" s="28"/>
      <c r="Y114" s="28"/>
    </row>
    <row r="115" spans="2:25" s="43" customFormat="1" ht="15" customHeight="1" outlineLevel="1">
      <c r="B115" s="476" t="s">
        <v>917</v>
      </c>
      <c r="C115" s="383"/>
      <c r="D115" s="383"/>
      <c r="E115" s="383"/>
      <c r="F115" s="383"/>
      <c r="G115" s="383"/>
      <c r="H115" s="397"/>
      <c r="I115" s="499"/>
      <c r="J115" s="499"/>
      <c r="K115" s="499"/>
      <c r="U115" s="28"/>
      <c r="V115" s="28"/>
      <c r="W115" s="28"/>
      <c r="X115" s="28"/>
      <c r="Y115" s="28"/>
    </row>
    <row r="116" spans="2:25" s="43" customFormat="1" ht="15.95" customHeight="1" outlineLevel="1">
      <c r="B116" s="491" t="s">
        <v>955</v>
      </c>
      <c r="C116" s="504"/>
      <c r="D116" s="505"/>
      <c r="E116" s="453">
        <v>1</v>
      </c>
      <c r="F116" s="453">
        <v>1000</v>
      </c>
      <c r="G116" s="453">
        <v>1000000</v>
      </c>
      <c r="H116" s="454">
        <v>1000000000</v>
      </c>
      <c r="I116" s="502"/>
      <c r="J116" s="502"/>
      <c r="K116" s="501"/>
      <c r="U116" s="28"/>
      <c r="V116" s="28"/>
      <c r="W116" s="28"/>
      <c r="X116" s="28"/>
      <c r="Y116" s="28"/>
    </row>
    <row r="117" spans="2:25" s="43" customFormat="1" ht="15.95" customHeight="1" outlineLevel="1">
      <c r="B117" s="491" t="s">
        <v>954</v>
      </c>
      <c r="C117" s="486"/>
      <c r="D117" s="401"/>
      <c r="E117" s="453">
        <v>1E-3</v>
      </c>
      <c r="F117" s="453">
        <v>1</v>
      </c>
      <c r="G117" s="453">
        <v>1000</v>
      </c>
      <c r="H117" s="454">
        <v>1000000</v>
      </c>
      <c r="I117" s="502"/>
      <c r="J117" s="502"/>
      <c r="K117" s="501"/>
      <c r="U117" s="28"/>
      <c r="V117" s="28"/>
      <c r="W117" s="28"/>
      <c r="X117" s="28"/>
      <c r="Y117" s="28"/>
    </row>
    <row r="118" spans="2:25" s="43" customFormat="1" ht="15.95" customHeight="1" outlineLevel="1">
      <c r="B118" s="491" t="s">
        <v>953</v>
      </c>
      <c r="C118" s="486"/>
      <c r="D118" s="401"/>
      <c r="E118" s="453">
        <v>9.9999999999999995E-7</v>
      </c>
      <c r="F118" s="453">
        <v>1E-3</v>
      </c>
      <c r="G118" s="453">
        <v>1</v>
      </c>
      <c r="H118" s="454">
        <v>1000</v>
      </c>
      <c r="I118" s="502"/>
      <c r="J118" s="502"/>
      <c r="K118" s="501"/>
      <c r="U118" s="28"/>
      <c r="V118" s="28"/>
      <c r="W118" s="28"/>
      <c r="X118" s="28"/>
      <c r="Y118" s="28"/>
    </row>
    <row r="119" spans="2:25" s="43" customFormat="1" ht="17.100000000000001" customHeight="1" outlineLevel="1" thickBot="1">
      <c r="B119" s="492" t="s">
        <v>952</v>
      </c>
      <c r="C119" s="488"/>
      <c r="D119" s="489"/>
      <c r="E119" s="483">
        <v>1.0000000000000001E-9</v>
      </c>
      <c r="F119" s="483">
        <v>9.9999999999999995E-7</v>
      </c>
      <c r="G119" s="483">
        <v>1E-3</v>
      </c>
      <c r="H119" s="484">
        <v>1</v>
      </c>
      <c r="I119" s="502"/>
      <c r="J119" s="502"/>
      <c r="K119" s="501"/>
      <c r="U119" s="28"/>
      <c r="V119" s="28"/>
      <c r="W119" s="28"/>
      <c r="X119" s="28"/>
      <c r="Y119" s="28"/>
    </row>
    <row r="120" spans="2:25" s="43" customFormat="1" ht="15" customHeight="1" outlineLevel="1">
      <c r="B120" s="500"/>
      <c r="C120" s="500"/>
      <c r="D120" s="503"/>
      <c r="E120" s="501"/>
      <c r="F120" s="501"/>
      <c r="G120" s="501"/>
      <c r="H120" s="502"/>
      <c r="I120" s="502"/>
      <c r="J120" s="502"/>
      <c r="K120" s="501"/>
      <c r="U120" s="28"/>
      <c r="V120" s="28"/>
      <c r="W120" s="28"/>
      <c r="X120" s="28"/>
      <c r="Y120" s="28"/>
    </row>
    <row r="121" spans="2:25" s="43" customFormat="1" ht="15" customHeight="1" outlineLevel="1">
      <c r="B121" s="45" t="s">
        <v>920</v>
      </c>
      <c r="C121" s="45"/>
      <c r="D121" s="45"/>
      <c r="E121" s="45"/>
      <c r="F121" s="45"/>
      <c r="G121" s="45"/>
      <c r="H121" s="45"/>
      <c r="I121" s="46"/>
      <c r="J121" s="46"/>
      <c r="K121" s="46"/>
      <c r="U121" s="28"/>
      <c r="V121" s="28"/>
      <c r="W121" s="28"/>
      <c r="X121" s="28"/>
      <c r="Y121" s="28"/>
    </row>
    <row r="122" spans="2:25" s="43" customFormat="1" ht="15" customHeight="1" outlineLevel="1" thickBot="1">
      <c r="B122" s="44"/>
      <c r="C122" s="45"/>
      <c r="D122" s="45"/>
      <c r="E122" s="45"/>
      <c r="F122" s="45"/>
      <c r="G122" s="45"/>
      <c r="H122" s="45"/>
      <c r="I122" s="46"/>
      <c r="J122" s="46"/>
      <c r="K122" s="46"/>
      <c r="U122" s="28"/>
      <c r="V122" s="28"/>
      <c r="W122" s="28"/>
      <c r="X122" s="28"/>
      <c r="Y122" s="28"/>
    </row>
    <row r="123" spans="2:25" s="43" customFormat="1" ht="15" customHeight="1" outlineLevel="1">
      <c r="B123" s="1005" t="s">
        <v>831</v>
      </c>
      <c r="C123" s="474"/>
      <c r="D123" s="1007" t="s">
        <v>832</v>
      </c>
      <c r="E123" s="1009" t="s">
        <v>913</v>
      </c>
      <c r="F123" s="1009" t="s">
        <v>914</v>
      </c>
      <c r="G123" s="1009" t="s">
        <v>915</v>
      </c>
      <c r="H123" s="1009" t="s">
        <v>918</v>
      </c>
      <c r="I123" s="1003" t="s">
        <v>916</v>
      </c>
      <c r="J123" s="46"/>
      <c r="K123" s="46"/>
      <c r="U123" s="28"/>
      <c r="V123" s="28"/>
      <c r="W123" s="28"/>
      <c r="X123" s="28"/>
      <c r="Y123" s="28"/>
    </row>
    <row r="124" spans="2:25" s="43" customFormat="1" ht="15.95" customHeight="1" outlineLevel="1" thickBot="1">
      <c r="B124" s="1006"/>
      <c r="C124" s="475"/>
      <c r="D124" s="1008"/>
      <c r="E124" s="1010"/>
      <c r="F124" s="1010"/>
      <c r="G124" s="1010"/>
      <c r="H124" s="1010"/>
      <c r="I124" s="1004"/>
      <c r="J124" s="46"/>
      <c r="K124" s="46"/>
      <c r="U124" s="28"/>
      <c r="V124" s="28"/>
      <c r="W124" s="28"/>
      <c r="X124" s="28"/>
      <c r="Y124" s="28"/>
    </row>
    <row r="125" spans="2:25" s="43" customFormat="1" ht="15" customHeight="1" outlineLevel="1">
      <c r="B125" s="476" t="s">
        <v>917</v>
      </c>
      <c r="C125" s="383"/>
      <c r="D125" s="383"/>
      <c r="E125" s="383"/>
      <c r="F125" s="383"/>
      <c r="G125" s="383"/>
      <c r="H125" s="383"/>
      <c r="I125" s="397"/>
      <c r="J125" s="46"/>
      <c r="K125" s="46"/>
      <c r="U125" s="28"/>
      <c r="V125" s="28"/>
      <c r="W125" s="28"/>
      <c r="X125" s="28"/>
      <c r="Y125" s="28"/>
    </row>
    <row r="126" spans="2:25" s="43" customFormat="1" ht="15" customHeight="1" outlineLevel="1">
      <c r="B126" s="485" t="s">
        <v>932</v>
      </c>
      <c r="C126" s="486"/>
      <c r="D126" s="401"/>
      <c r="E126" s="453">
        <v>1</v>
      </c>
      <c r="F126" s="453">
        <v>238.8</v>
      </c>
      <c r="G126" s="453">
        <v>2.3879999999999998E-5</v>
      </c>
      <c r="H126" s="487">
        <v>947.8</v>
      </c>
      <c r="I126" s="454">
        <v>0.27779999999999999</v>
      </c>
      <c r="J126" s="46"/>
      <c r="K126" s="46"/>
      <c r="U126" s="28"/>
      <c r="V126" s="28"/>
      <c r="W126" s="28"/>
      <c r="X126" s="28"/>
      <c r="Y126" s="28"/>
    </row>
    <row r="127" spans="2:25" s="43" customFormat="1" ht="15" customHeight="1" outlineLevel="1">
      <c r="B127" s="491" t="s">
        <v>933</v>
      </c>
      <c r="C127" s="486"/>
      <c r="D127" s="401"/>
      <c r="E127" s="453">
        <v>4.1868000000000001E-3</v>
      </c>
      <c r="F127" s="453">
        <v>1</v>
      </c>
      <c r="G127" s="453">
        <v>9.9999999999999995E-8</v>
      </c>
      <c r="H127" s="487">
        <v>3.968</v>
      </c>
      <c r="I127" s="454">
        <v>1.163E-3</v>
      </c>
      <c r="J127" s="46"/>
      <c r="K127" s="46"/>
      <c r="U127" s="28"/>
      <c r="V127" s="28"/>
      <c r="W127" s="28"/>
      <c r="X127" s="28"/>
      <c r="Y127" s="28"/>
    </row>
    <row r="128" spans="2:25" s="43" customFormat="1" ht="15" customHeight="1" outlineLevel="1">
      <c r="B128" s="485" t="s">
        <v>915</v>
      </c>
      <c r="C128" s="486"/>
      <c r="D128" s="401"/>
      <c r="E128" s="453">
        <v>41868</v>
      </c>
      <c r="F128" s="453">
        <v>10000000</v>
      </c>
      <c r="G128" s="453">
        <v>1</v>
      </c>
      <c r="H128" s="487">
        <v>39680000</v>
      </c>
      <c r="I128" s="454">
        <v>11630</v>
      </c>
      <c r="J128" s="46"/>
      <c r="K128" s="46"/>
      <c r="U128" s="28"/>
      <c r="V128" s="28"/>
      <c r="W128" s="28"/>
      <c r="X128" s="28"/>
      <c r="Y128" s="28"/>
    </row>
    <row r="129" spans="2:25" s="43" customFormat="1" ht="15" customHeight="1" outlineLevel="1">
      <c r="B129" s="485" t="s">
        <v>918</v>
      </c>
      <c r="C129" s="486"/>
      <c r="D129" s="401"/>
      <c r="E129" s="453">
        <v>1.0551E-3</v>
      </c>
      <c r="F129" s="453">
        <v>0.252</v>
      </c>
      <c r="G129" s="453">
        <v>2.5200000000000001E-8</v>
      </c>
      <c r="H129" s="487">
        <v>1</v>
      </c>
      <c r="I129" s="454">
        <v>2.9310000000000002E-4</v>
      </c>
      <c r="J129" s="46"/>
      <c r="K129" s="46"/>
      <c r="U129" s="28"/>
      <c r="V129" s="28"/>
      <c r="W129" s="28"/>
      <c r="X129" s="28"/>
      <c r="Y129" s="28"/>
    </row>
    <row r="130" spans="2:25" s="43" customFormat="1" ht="15.95" customHeight="1" outlineLevel="1" thickBot="1">
      <c r="B130" s="492" t="s">
        <v>931</v>
      </c>
      <c r="C130" s="488"/>
      <c r="D130" s="489"/>
      <c r="E130" s="483">
        <v>3.6</v>
      </c>
      <c r="F130" s="483">
        <v>860</v>
      </c>
      <c r="G130" s="483">
        <v>8.6000000000000003E-5</v>
      </c>
      <c r="H130" s="490">
        <v>3412</v>
      </c>
      <c r="I130" s="484">
        <v>1</v>
      </c>
      <c r="J130" s="46"/>
      <c r="K130" s="46"/>
      <c r="U130" s="28"/>
      <c r="V130" s="28"/>
      <c r="W130" s="28"/>
      <c r="X130" s="28"/>
      <c r="Y130" s="28"/>
    </row>
    <row r="131" spans="2:25" s="43" customFormat="1" ht="15" customHeight="1" outlineLevel="1">
      <c r="B131" s="44"/>
      <c r="C131" s="45"/>
      <c r="D131" s="45"/>
      <c r="E131" s="45"/>
      <c r="F131" s="45"/>
      <c r="G131" s="45"/>
      <c r="H131" s="45"/>
      <c r="I131" s="46"/>
      <c r="J131" s="46"/>
      <c r="K131" s="46"/>
      <c r="U131" s="28"/>
      <c r="V131" s="28"/>
      <c r="W131" s="28"/>
      <c r="X131" s="28"/>
      <c r="Y131" s="28"/>
    </row>
    <row r="132" spans="2:25" s="43" customFormat="1" ht="15" customHeight="1" outlineLevel="1">
      <c r="B132" s="45" t="s">
        <v>921</v>
      </c>
      <c r="C132" s="45"/>
      <c r="D132" s="45"/>
      <c r="E132" s="45"/>
      <c r="F132" s="45"/>
      <c r="G132" s="45"/>
      <c r="H132" s="45"/>
      <c r="I132" s="46"/>
      <c r="J132" s="46"/>
      <c r="K132" s="46"/>
      <c r="U132" s="28"/>
      <c r="V132" s="28"/>
      <c r="W132" s="28"/>
      <c r="X132" s="28"/>
      <c r="Y132" s="28"/>
    </row>
    <row r="133" spans="2:25" s="43" customFormat="1" ht="15" customHeight="1" outlineLevel="1" thickBot="1">
      <c r="B133" s="44"/>
      <c r="C133" s="45"/>
      <c r="D133" s="45"/>
      <c r="E133" s="45"/>
      <c r="F133" s="45"/>
      <c r="G133" s="45"/>
      <c r="H133" s="45"/>
      <c r="I133" s="46"/>
      <c r="J133" s="46"/>
      <c r="K133" s="46"/>
      <c r="U133" s="28"/>
      <c r="V133" s="28"/>
      <c r="W133" s="28"/>
      <c r="X133" s="28"/>
      <c r="Y133" s="28"/>
    </row>
    <row r="134" spans="2:25" s="43" customFormat="1" ht="15" customHeight="1" outlineLevel="1">
      <c r="B134" s="1005" t="s">
        <v>831</v>
      </c>
      <c r="C134" s="474"/>
      <c r="D134" s="1007" t="s">
        <v>832</v>
      </c>
      <c r="E134" s="1009" t="s">
        <v>801</v>
      </c>
      <c r="F134" s="1009" t="s">
        <v>927</v>
      </c>
      <c r="G134" s="1009" t="s">
        <v>928</v>
      </c>
      <c r="H134" s="1009" t="s">
        <v>929</v>
      </c>
      <c r="I134" s="1003" t="s">
        <v>930</v>
      </c>
      <c r="J134" s="46"/>
      <c r="K134" s="46"/>
      <c r="U134" s="28"/>
      <c r="V134" s="28"/>
      <c r="W134" s="28"/>
      <c r="X134" s="28"/>
      <c r="Y134" s="28"/>
    </row>
    <row r="135" spans="2:25" s="43" customFormat="1" ht="15.95" customHeight="1" outlineLevel="1" thickBot="1">
      <c r="B135" s="1006"/>
      <c r="C135" s="475"/>
      <c r="D135" s="1008"/>
      <c r="E135" s="1010"/>
      <c r="F135" s="1010"/>
      <c r="G135" s="1010"/>
      <c r="H135" s="1010"/>
      <c r="I135" s="1004"/>
      <c r="J135" s="46"/>
      <c r="K135" s="46"/>
      <c r="U135" s="28"/>
      <c r="V135" s="28"/>
      <c r="W135" s="28"/>
      <c r="X135" s="28"/>
      <c r="Y135" s="28"/>
    </row>
    <row r="136" spans="2:25" s="43" customFormat="1" ht="15" customHeight="1" outlineLevel="1">
      <c r="B136" s="476" t="s">
        <v>917</v>
      </c>
      <c r="C136" s="383"/>
      <c r="D136" s="383"/>
      <c r="E136" s="383"/>
      <c r="F136" s="383"/>
      <c r="G136" s="383"/>
      <c r="H136" s="383"/>
      <c r="I136" s="397"/>
      <c r="J136" s="46"/>
      <c r="K136" s="46"/>
      <c r="U136" s="28"/>
      <c r="V136" s="28"/>
      <c r="W136" s="28"/>
      <c r="X136" s="28"/>
      <c r="Y136" s="28"/>
    </row>
    <row r="137" spans="2:25" s="43" customFormat="1" ht="15" customHeight="1" outlineLevel="1">
      <c r="B137" s="491" t="s">
        <v>923</v>
      </c>
      <c r="C137" s="486"/>
      <c r="D137" s="517" t="s">
        <v>801</v>
      </c>
      <c r="E137" s="453">
        <v>1</v>
      </c>
      <c r="F137" s="453">
        <v>1E-3</v>
      </c>
      <c r="G137" s="453">
        <v>9.8400000000000007E-4</v>
      </c>
      <c r="H137" s="487">
        <v>1.1019999999999999E-3</v>
      </c>
      <c r="I137" s="454">
        <v>2.2046000000000001</v>
      </c>
      <c r="J137" s="46"/>
      <c r="K137" s="46"/>
      <c r="U137" s="28"/>
      <c r="V137" s="28"/>
      <c r="W137" s="28"/>
      <c r="X137" s="28"/>
      <c r="Y137" s="28"/>
    </row>
    <row r="138" spans="2:25" ht="15" customHeight="1" outlineLevel="1">
      <c r="B138" s="491" t="s">
        <v>934</v>
      </c>
      <c r="C138" s="486"/>
      <c r="D138" s="517" t="s">
        <v>927</v>
      </c>
      <c r="E138" s="453">
        <v>1000</v>
      </c>
      <c r="F138" s="453">
        <v>1</v>
      </c>
      <c r="G138" s="453">
        <v>0.98399999999999999</v>
      </c>
      <c r="H138" s="487">
        <v>1.1023000000000001</v>
      </c>
      <c r="I138" s="454">
        <v>2204.6</v>
      </c>
      <c r="J138" s="46"/>
      <c r="K138" s="46"/>
      <c r="P138" s="15"/>
    </row>
    <row r="139" spans="2:25" ht="15" customHeight="1" outlineLevel="1">
      <c r="B139" s="491" t="s">
        <v>924</v>
      </c>
      <c r="C139" s="486"/>
      <c r="D139" s="517" t="s">
        <v>928</v>
      </c>
      <c r="E139" s="453">
        <v>1016</v>
      </c>
      <c r="F139" s="453">
        <v>1.016</v>
      </c>
      <c r="G139" s="453">
        <v>1</v>
      </c>
      <c r="H139" s="487">
        <v>1.1200000000000001</v>
      </c>
      <c r="I139" s="454">
        <v>2240</v>
      </c>
      <c r="J139" s="46"/>
      <c r="K139" s="46"/>
      <c r="P139" s="15"/>
    </row>
    <row r="140" spans="2:25" ht="15" customHeight="1" outlineLevel="1">
      <c r="B140" s="491" t="s">
        <v>925</v>
      </c>
      <c r="C140" s="486"/>
      <c r="D140" s="517" t="s">
        <v>929</v>
      </c>
      <c r="E140" s="453">
        <v>907.2</v>
      </c>
      <c r="F140" s="453">
        <v>0.90720000000000001</v>
      </c>
      <c r="G140" s="453">
        <v>0.89300000000000002</v>
      </c>
      <c r="H140" s="487">
        <v>1</v>
      </c>
      <c r="I140" s="454">
        <v>2000</v>
      </c>
      <c r="J140" s="46"/>
      <c r="K140" s="46"/>
      <c r="P140" s="15"/>
    </row>
    <row r="141" spans="2:25" ht="15.95" customHeight="1" outlineLevel="1" thickBot="1">
      <c r="B141" s="492" t="s">
        <v>926</v>
      </c>
      <c r="C141" s="488"/>
      <c r="D141" s="518" t="s">
        <v>930</v>
      </c>
      <c r="E141" s="483">
        <f>1/I137</f>
        <v>0.4535970244035199</v>
      </c>
      <c r="F141" s="483">
        <f>1/I138</f>
        <v>4.5359702440351992E-4</v>
      </c>
      <c r="G141" s="483">
        <f>1/I139</f>
        <v>4.4642857142857141E-4</v>
      </c>
      <c r="H141" s="490">
        <f>1/I140</f>
        <v>5.0000000000000001E-4</v>
      </c>
      <c r="I141" s="484">
        <v>1</v>
      </c>
      <c r="J141" s="46"/>
      <c r="K141" s="46"/>
      <c r="P141" s="15"/>
    </row>
    <row r="142" spans="2:25" ht="15" customHeight="1" outlineLevel="1">
      <c r="B142" s="44"/>
      <c r="C142" s="45"/>
      <c r="D142" s="45"/>
      <c r="E142" s="45"/>
      <c r="F142" s="45"/>
      <c r="G142" s="45"/>
      <c r="H142" s="45"/>
      <c r="I142" s="46"/>
      <c r="J142" s="46"/>
      <c r="K142" s="46"/>
      <c r="P142" s="15"/>
    </row>
    <row r="143" spans="2:25" ht="15" customHeight="1" outlineLevel="1">
      <c r="B143" s="45" t="s">
        <v>922</v>
      </c>
      <c r="C143" s="45"/>
      <c r="D143" s="45"/>
      <c r="E143" s="45"/>
      <c r="F143" s="45"/>
      <c r="G143" s="45"/>
      <c r="H143" s="45"/>
      <c r="I143" s="46"/>
      <c r="J143" s="46"/>
      <c r="K143" s="46"/>
      <c r="P143" s="15"/>
    </row>
    <row r="144" spans="2:25" ht="15" customHeight="1" outlineLevel="1" thickBot="1">
      <c r="B144" s="44"/>
      <c r="C144" s="45"/>
      <c r="D144" s="45"/>
      <c r="E144" s="45"/>
      <c r="F144" s="45"/>
      <c r="G144" s="45"/>
      <c r="H144" s="45"/>
      <c r="I144" s="46"/>
      <c r="J144" s="46"/>
      <c r="K144" s="46"/>
      <c r="P144" s="15"/>
    </row>
    <row r="145" spans="2:25" ht="15" customHeight="1" outlineLevel="1">
      <c r="B145" s="1005" t="s">
        <v>831</v>
      </c>
      <c r="C145" s="474"/>
      <c r="D145" s="1007" t="s">
        <v>832</v>
      </c>
      <c r="E145" s="1009" t="s">
        <v>941</v>
      </c>
      <c r="F145" s="1009" t="s">
        <v>942</v>
      </c>
      <c r="G145" s="1009" t="s">
        <v>943</v>
      </c>
      <c r="H145" s="1009" t="s">
        <v>944</v>
      </c>
      <c r="I145" s="1009" t="s">
        <v>945</v>
      </c>
      <c r="J145" s="1003" t="s">
        <v>946</v>
      </c>
      <c r="K145" s="46"/>
      <c r="P145" s="15"/>
    </row>
    <row r="146" spans="2:25" ht="15.95" customHeight="1" outlineLevel="1" thickBot="1">
      <c r="B146" s="1006"/>
      <c r="C146" s="475"/>
      <c r="D146" s="1008"/>
      <c r="E146" s="1010"/>
      <c r="F146" s="1010"/>
      <c r="G146" s="1010"/>
      <c r="H146" s="1010"/>
      <c r="I146" s="1010"/>
      <c r="J146" s="1004"/>
      <c r="K146" s="46"/>
      <c r="P146" s="15"/>
    </row>
    <row r="147" spans="2:25" ht="15" customHeight="1" outlineLevel="1">
      <c r="B147" s="476" t="s">
        <v>917</v>
      </c>
      <c r="C147" s="383"/>
      <c r="D147" s="383"/>
      <c r="E147" s="383"/>
      <c r="F147" s="383"/>
      <c r="G147" s="383"/>
      <c r="H147" s="383"/>
      <c r="I147" s="383"/>
      <c r="J147" s="397"/>
      <c r="K147" s="46"/>
      <c r="P147" s="15"/>
    </row>
    <row r="148" spans="2:25" ht="15" customHeight="1" outlineLevel="1">
      <c r="B148" s="485" t="s">
        <v>935</v>
      </c>
      <c r="C148" s="486"/>
      <c r="D148" s="401"/>
      <c r="E148" s="453">
        <v>1</v>
      </c>
      <c r="F148" s="453">
        <v>1E-3</v>
      </c>
      <c r="G148" s="453">
        <v>3.5299999999999998E-2</v>
      </c>
      <c r="H148" s="487">
        <v>6.3E-3</v>
      </c>
      <c r="I148" s="487">
        <v>0.22</v>
      </c>
      <c r="J148" s="454">
        <v>0.26419999999999999</v>
      </c>
      <c r="K148" s="46"/>
      <c r="P148" s="15"/>
    </row>
    <row r="149" spans="2:25" ht="15" customHeight="1" outlineLevel="1">
      <c r="B149" s="491" t="s">
        <v>936</v>
      </c>
      <c r="C149" s="486"/>
      <c r="D149" s="401"/>
      <c r="E149" s="453">
        <f>E148*1000</f>
        <v>1000</v>
      </c>
      <c r="F149" s="453">
        <v>1</v>
      </c>
      <c r="G149" s="453">
        <f>G148*1000</f>
        <v>35.299999999999997</v>
      </c>
      <c r="H149" s="453">
        <f>H148*1000</f>
        <v>6.3</v>
      </c>
      <c r="I149" s="453">
        <f>I148*1000</f>
        <v>220</v>
      </c>
      <c r="J149" s="454">
        <f>J148*1000</f>
        <v>264.2</v>
      </c>
      <c r="K149" s="46"/>
      <c r="P149" s="15"/>
    </row>
    <row r="150" spans="2:25" ht="15" customHeight="1" outlineLevel="1">
      <c r="B150" s="491" t="s">
        <v>937</v>
      </c>
      <c r="C150" s="486"/>
      <c r="D150" s="401"/>
      <c r="E150" s="453" t="s">
        <v>947</v>
      </c>
      <c r="F150" s="453">
        <v>2.8299999999999999E-2</v>
      </c>
      <c r="G150" s="453">
        <v>1</v>
      </c>
      <c r="H150" s="487">
        <v>0.17810000000000001</v>
      </c>
      <c r="I150" s="487">
        <v>6.2290000000000001</v>
      </c>
      <c r="J150" s="454" t="s">
        <v>948</v>
      </c>
      <c r="K150" s="46"/>
      <c r="P150" s="15"/>
    </row>
    <row r="151" spans="2:25" ht="15" customHeight="1" outlineLevel="1">
      <c r="B151" s="491" t="s">
        <v>938</v>
      </c>
      <c r="C151" s="486"/>
      <c r="D151" s="401"/>
      <c r="E151" s="453">
        <v>159</v>
      </c>
      <c r="F151" s="453">
        <v>0.159</v>
      </c>
      <c r="G151" s="453">
        <v>5.6150000000000002</v>
      </c>
      <c r="H151" s="487">
        <v>1</v>
      </c>
      <c r="I151" s="487">
        <v>34.97</v>
      </c>
      <c r="J151" s="454">
        <v>42</v>
      </c>
      <c r="K151" s="46"/>
      <c r="P151" s="15"/>
    </row>
    <row r="152" spans="2:25" ht="15" customHeight="1" outlineLevel="1">
      <c r="B152" s="493" t="s">
        <v>939</v>
      </c>
      <c r="C152" s="477"/>
      <c r="D152" s="494"/>
      <c r="E152" s="495">
        <v>4.5460000000000003</v>
      </c>
      <c r="F152" s="495">
        <v>4.4999999999999997E-3</v>
      </c>
      <c r="G152" s="495">
        <v>0.1605</v>
      </c>
      <c r="H152" s="496">
        <v>2.8590000000000001E-2</v>
      </c>
      <c r="I152" s="496">
        <v>1</v>
      </c>
      <c r="J152" s="497">
        <v>1.2010000000000001</v>
      </c>
      <c r="K152" s="46"/>
      <c r="P152" s="15"/>
    </row>
    <row r="153" spans="2:25" ht="15.95" customHeight="1" outlineLevel="1" thickBot="1">
      <c r="B153" s="492" t="s">
        <v>940</v>
      </c>
      <c r="C153" s="488"/>
      <c r="D153" s="489"/>
      <c r="E153" s="483">
        <v>3.7850000000000001</v>
      </c>
      <c r="F153" s="483">
        <v>3.8E-3</v>
      </c>
      <c r="G153" s="483">
        <v>0.13370000000000001</v>
      </c>
      <c r="H153" s="490">
        <v>2.3810000000000001E-2</v>
      </c>
      <c r="I153" s="490">
        <v>0.8327</v>
      </c>
      <c r="J153" s="484">
        <v>1</v>
      </c>
      <c r="K153" s="46"/>
      <c r="P153" s="15"/>
    </row>
    <row r="154" spans="2:25" ht="15" customHeight="1" outlineLevel="1">
      <c r="B154" s="44"/>
      <c r="C154" s="45"/>
      <c r="D154" s="45"/>
      <c r="E154" s="45"/>
      <c r="F154" s="45"/>
      <c r="G154" s="45"/>
      <c r="H154" s="45"/>
      <c r="I154" s="46"/>
      <c r="J154" s="46"/>
      <c r="K154" s="46"/>
      <c r="P154" s="15"/>
    </row>
    <row r="155" spans="2:25" ht="15" customHeight="1" outlineLevel="1">
      <c r="B155" s="45" t="s">
        <v>919</v>
      </c>
      <c r="C155" s="45"/>
      <c r="D155" s="45"/>
      <c r="E155" s="45"/>
      <c r="F155" s="45"/>
      <c r="G155" s="45"/>
      <c r="H155" s="45"/>
      <c r="I155" s="46"/>
      <c r="J155" s="46"/>
      <c r="K155" s="46"/>
      <c r="P155" s="15"/>
    </row>
    <row r="156" spans="2:25" ht="15" customHeight="1" outlineLevel="1">
      <c r="B156" s="44"/>
      <c r="C156" s="45"/>
      <c r="D156" s="45"/>
      <c r="E156" s="45"/>
      <c r="F156" s="45"/>
      <c r="G156" s="45"/>
      <c r="H156" s="45"/>
      <c r="I156" s="46"/>
      <c r="J156" s="46"/>
      <c r="K156" s="46"/>
      <c r="P156" s="15"/>
    </row>
    <row r="157" spans="2:25" ht="15" customHeight="1" outlineLevel="1">
      <c r="B157" s="45" t="s">
        <v>830</v>
      </c>
      <c r="C157" s="45"/>
      <c r="D157" s="45"/>
      <c r="E157" s="45"/>
      <c r="F157" s="45"/>
      <c r="G157" s="45"/>
      <c r="H157" s="45"/>
      <c r="I157" s="46"/>
      <c r="J157" s="46"/>
      <c r="K157" s="46"/>
      <c r="P157" s="15"/>
    </row>
    <row r="158" spans="2:25">
      <c r="B158" s="44"/>
      <c r="C158" s="45"/>
      <c r="D158" s="45"/>
      <c r="E158" s="45"/>
      <c r="F158" s="45"/>
      <c r="G158" s="45"/>
      <c r="H158" s="45"/>
      <c r="I158" s="46"/>
      <c r="J158" s="46"/>
      <c r="K158" s="46"/>
      <c r="P158" s="15"/>
    </row>
    <row r="159" spans="2:25" s="43" customFormat="1">
      <c r="B159" s="44"/>
      <c r="C159" s="45"/>
      <c r="D159" s="45"/>
      <c r="E159" s="45"/>
      <c r="F159" s="45"/>
      <c r="G159" s="45"/>
      <c r="H159" s="45"/>
      <c r="I159" s="46"/>
      <c r="J159" s="46"/>
      <c r="K159" s="46"/>
      <c r="P159" s="15"/>
      <c r="U159" s="28"/>
      <c r="V159" s="28"/>
      <c r="W159" s="28"/>
      <c r="X159" s="28"/>
      <c r="Y159" s="28"/>
    </row>
    <row r="160" spans="2:25" s="43" customFormat="1">
      <c r="B160" s="44"/>
      <c r="C160" s="45"/>
      <c r="D160" s="45"/>
      <c r="E160" s="45"/>
      <c r="F160" s="45"/>
      <c r="G160" s="45"/>
      <c r="H160" s="45"/>
      <c r="I160" s="46"/>
      <c r="J160" s="46"/>
      <c r="K160" s="46"/>
      <c r="P160" s="15"/>
      <c r="U160" s="28"/>
      <c r="V160" s="28"/>
      <c r="W160" s="28"/>
      <c r="X160" s="28"/>
      <c r="Y160" s="28"/>
    </row>
    <row r="161" spans="2:25" s="43" customFormat="1">
      <c r="B161" s="44"/>
      <c r="C161" s="45"/>
      <c r="D161" s="45"/>
      <c r="E161" s="45"/>
      <c r="F161" s="45"/>
      <c r="G161" s="45"/>
      <c r="H161" s="45"/>
      <c r="I161" s="46"/>
      <c r="J161" s="46"/>
      <c r="K161" s="46"/>
      <c r="P161" s="15"/>
      <c r="U161" s="28"/>
      <c r="V161" s="28"/>
      <c r="W161" s="28"/>
      <c r="X161" s="28"/>
      <c r="Y161" s="28"/>
    </row>
    <row r="162" spans="2:25" s="43" customFormat="1">
      <c r="B162" s="44"/>
      <c r="C162" s="45"/>
      <c r="D162" s="45"/>
      <c r="E162" s="45"/>
      <c r="F162" s="45"/>
      <c r="G162" s="45"/>
      <c r="H162" s="45"/>
      <c r="I162" s="46"/>
      <c r="J162" s="46"/>
      <c r="K162" s="46"/>
      <c r="P162" s="15"/>
      <c r="U162" s="28"/>
      <c r="V162" s="28"/>
      <c r="W162" s="28"/>
      <c r="X162" s="28"/>
      <c r="Y162" s="28"/>
    </row>
    <row r="163" spans="2:25" s="43" customFormat="1">
      <c r="B163" s="44"/>
      <c r="C163" s="45"/>
      <c r="D163" s="45"/>
      <c r="E163" s="45"/>
      <c r="F163" s="45"/>
      <c r="G163" s="45"/>
      <c r="H163" s="45"/>
      <c r="I163" s="46"/>
      <c r="J163" s="46"/>
      <c r="K163" s="46"/>
      <c r="P163" s="15"/>
      <c r="U163" s="28"/>
      <c r="V163" s="28"/>
      <c r="W163" s="28"/>
      <c r="X163" s="28"/>
      <c r="Y163" s="28"/>
    </row>
    <row r="164" spans="2:25" s="43" customFormat="1">
      <c r="B164" s="44"/>
      <c r="C164" s="45"/>
      <c r="D164" s="45"/>
      <c r="E164" s="45"/>
      <c r="F164" s="45"/>
      <c r="G164" s="45"/>
      <c r="H164" s="45"/>
      <c r="I164" s="46"/>
      <c r="J164" s="46"/>
      <c r="K164" s="46"/>
      <c r="P164" s="15"/>
      <c r="U164" s="28"/>
      <c r="V164" s="28"/>
      <c r="W164" s="28"/>
      <c r="X164" s="28"/>
      <c r="Y164" s="28"/>
    </row>
    <row r="165" spans="2:25" s="43" customFormat="1">
      <c r="B165" s="44"/>
      <c r="C165" s="45"/>
      <c r="D165" s="45"/>
      <c r="E165" s="45"/>
      <c r="F165" s="45"/>
      <c r="G165" s="45"/>
      <c r="H165" s="45"/>
      <c r="I165" s="46"/>
      <c r="J165" s="46"/>
      <c r="K165" s="46"/>
      <c r="P165" s="15"/>
      <c r="U165" s="28"/>
      <c r="V165" s="28"/>
      <c r="W165" s="28"/>
      <c r="X165" s="28"/>
      <c r="Y165" s="28"/>
    </row>
    <row r="166" spans="2:25" s="43" customFormat="1">
      <c r="B166" s="44"/>
      <c r="C166" s="45"/>
      <c r="D166" s="45"/>
      <c r="E166" s="45"/>
      <c r="F166" s="45"/>
      <c r="G166" s="45"/>
      <c r="H166" s="45"/>
      <c r="I166" s="46"/>
      <c r="J166" s="46"/>
      <c r="K166" s="46"/>
      <c r="P166" s="15"/>
      <c r="U166" s="28"/>
      <c r="V166" s="28"/>
      <c r="W166" s="28"/>
      <c r="X166" s="28"/>
      <c r="Y166" s="28"/>
    </row>
    <row r="167" spans="2:25" s="43" customFormat="1">
      <c r="B167" s="44"/>
      <c r="C167" s="45"/>
      <c r="D167" s="45"/>
      <c r="E167" s="45"/>
      <c r="F167" s="45"/>
      <c r="G167" s="45"/>
      <c r="H167" s="45"/>
      <c r="I167" s="46"/>
      <c r="J167" s="46"/>
      <c r="K167" s="46"/>
      <c r="P167" s="15"/>
      <c r="U167" s="28"/>
      <c r="V167" s="28"/>
      <c r="W167" s="28"/>
      <c r="X167" s="28"/>
      <c r="Y167" s="28"/>
    </row>
    <row r="168" spans="2:25" s="43" customFormat="1">
      <c r="B168" s="44"/>
      <c r="C168" s="45"/>
      <c r="D168" s="45"/>
      <c r="E168" s="45"/>
      <c r="F168" s="45"/>
      <c r="G168" s="45"/>
      <c r="H168" s="45"/>
      <c r="I168" s="46"/>
      <c r="J168" s="46"/>
      <c r="K168" s="46"/>
      <c r="P168" s="15"/>
      <c r="U168" s="28"/>
      <c r="V168" s="28"/>
      <c r="W168" s="28"/>
      <c r="X168" s="28"/>
      <c r="Y168" s="28"/>
    </row>
    <row r="169" spans="2:25" s="43" customFormat="1">
      <c r="B169" s="44"/>
      <c r="C169" s="45"/>
      <c r="D169" s="45"/>
      <c r="E169" s="45"/>
      <c r="F169" s="45"/>
      <c r="G169" s="45"/>
      <c r="H169" s="45"/>
      <c r="I169" s="46"/>
      <c r="J169" s="46"/>
      <c r="K169" s="46"/>
      <c r="P169" s="15"/>
      <c r="U169" s="28"/>
      <c r="V169" s="28"/>
      <c r="W169" s="28"/>
      <c r="X169" s="28"/>
      <c r="Y169" s="28"/>
    </row>
    <row r="170" spans="2:25" s="43" customFormat="1">
      <c r="B170" s="44"/>
      <c r="C170" s="45"/>
      <c r="D170" s="45"/>
      <c r="E170" s="45"/>
      <c r="F170" s="45"/>
      <c r="G170" s="45"/>
      <c r="H170" s="45"/>
      <c r="I170" s="46"/>
      <c r="J170" s="46"/>
      <c r="K170" s="46"/>
      <c r="P170" s="15"/>
      <c r="U170" s="28"/>
      <c r="V170" s="28"/>
      <c r="W170" s="28"/>
      <c r="X170" s="28"/>
      <c r="Y170" s="28"/>
    </row>
    <row r="171" spans="2:25" s="43" customFormat="1">
      <c r="B171" s="44"/>
      <c r="C171" s="45"/>
      <c r="D171" s="45"/>
      <c r="E171" s="45"/>
      <c r="F171" s="45"/>
      <c r="G171" s="45"/>
      <c r="H171" s="45"/>
      <c r="I171" s="46"/>
      <c r="J171" s="46"/>
      <c r="K171" s="46"/>
      <c r="P171" s="15"/>
      <c r="U171" s="28"/>
      <c r="V171" s="28"/>
      <c r="W171" s="28"/>
      <c r="X171" s="28"/>
      <c r="Y171" s="28"/>
    </row>
    <row r="172" spans="2:25" s="43" customFormat="1">
      <c r="B172" s="44"/>
      <c r="C172" s="45"/>
      <c r="D172" s="45"/>
      <c r="E172" s="45"/>
      <c r="F172" s="45"/>
      <c r="G172" s="45"/>
      <c r="H172" s="45"/>
      <c r="I172" s="46"/>
      <c r="J172" s="46"/>
      <c r="K172" s="46"/>
      <c r="P172" s="15"/>
      <c r="U172" s="28"/>
      <c r="V172" s="28"/>
      <c r="W172" s="28"/>
      <c r="X172" s="28"/>
      <c r="Y172" s="28"/>
    </row>
    <row r="173" spans="2:25" s="43" customFormat="1">
      <c r="B173" s="44"/>
      <c r="C173" s="45"/>
      <c r="D173" s="45"/>
      <c r="E173" s="45"/>
      <c r="F173" s="45"/>
      <c r="G173" s="45"/>
      <c r="H173" s="45"/>
      <c r="I173" s="46"/>
      <c r="J173" s="46"/>
      <c r="K173" s="46"/>
      <c r="P173" s="15"/>
      <c r="U173" s="28"/>
      <c r="V173" s="28"/>
      <c r="W173" s="28"/>
      <c r="X173" s="28"/>
      <c r="Y173" s="28"/>
    </row>
    <row r="174" spans="2:25" s="43" customFormat="1">
      <c r="B174" s="44"/>
      <c r="C174" s="45"/>
      <c r="D174" s="45"/>
      <c r="E174" s="45"/>
      <c r="F174" s="45"/>
      <c r="G174" s="45"/>
      <c r="H174" s="45"/>
      <c r="I174" s="46"/>
      <c r="J174" s="46"/>
      <c r="K174" s="46"/>
      <c r="P174" s="15"/>
      <c r="U174" s="28"/>
      <c r="V174" s="28"/>
      <c r="W174" s="28"/>
      <c r="X174" s="28"/>
      <c r="Y174" s="28"/>
    </row>
    <row r="175" spans="2:25" s="43" customFormat="1">
      <c r="B175" s="44"/>
      <c r="C175" s="45"/>
      <c r="D175" s="45"/>
      <c r="E175" s="45"/>
      <c r="F175" s="45"/>
      <c r="G175" s="45"/>
      <c r="H175" s="45"/>
      <c r="I175" s="46"/>
      <c r="J175" s="46"/>
      <c r="K175" s="46"/>
      <c r="P175" s="15"/>
      <c r="U175" s="28"/>
      <c r="V175" s="28"/>
      <c r="W175" s="28"/>
      <c r="X175" s="28"/>
      <c r="Y175" s="28"/>
    </row>
    <row r="176" spans="2:25" s="43" customFormat="1">
      <c r="B176" s="44"/>
      <c r="C176" s="45"/>
      <c r="D176" s="45"/>
      <c r="E176" s="45"/>
      <c r="F176" s="45"/>
      <c r="G176" s="45"/>
      <c r="H176" s="45"/>
      <c r="I176" s="46"/>
      <c r="J176" s="46"/>
      <c r="K176" s="46"/>
      <c r="P176" s="15"/>
      <c r="U176" s="28"/>
      <c r="V176" s="28"/>
      <c r="W176" s="28"/>
      <c r="X176" s="28"/>
      <c r="Y176" s="28"/>
    </row>
    <row r="177" spans="2:25" s="43" customFormat="1">
      <c r="B177" s="44"/>
      <c r="C177" s="45"/>
      <c r="D177" s="45"/>
      <c r="E177" s="45"/>
      <c r="F177" s="45"/>
      <c r="G177" s="45"/>
      <c r="H177" s="45"/>
      <c r="I177" s="46"/>
      <c r="J177" s="46"/>
      <c r="K177" s="46"/>
      <c r="P177" s="15"/>
      <c r="U177" s="28"/>
      <c r="V177" s="28"/>
      <c r="W177" s="28"/>
      <c r="X177" s="28"/>
      <c r="Y177" s="28"/>
    </row>
    <row r="178" spans="2:25" s="43" customFormat="1">
      <c r="B178" s="44"/>
      <c r="C178" s="45"/>
      <c r="D178" s="45"/>
      <c r="E178" s="45"/>
      <c r="F178" s="45"/>
      <c r="G178" s="45"/>
      <c r="H178" s="45"/>
      <c r="I178" s="46"/>
      <c r="J178" s="46"/>
      <c r="K178" s="46"/>
      <c r="P178" s="15"/>
      <c r="U178" s="28"/>
      <c r="V178" s="28"/>
      <c r="W178" s="28"/>
      <c r="X178" s="28"/>
      <c r="Y178" s="28"/>
    </row>
    <row r="179" spans="2:25" s="43" customFormat="1">
      <c r="B179" s="44"/>
      <c r="C179" s="45"/>
      <c r="D179" s="45"/>
      <c r="E179" s="45"/>
      <c r="F179" s="45"/>
      <c r="G179" s="45"/>
      <c r="H179" s="45"/>
      <c r="I179" s="46"/>
      <c r="J179" s="46"/>
      <c r="K179" s="46"/>
      <c r="P179" s="15"/>
      <c r="U179" s="28"/>
      <c r="V179" s="28"/>
      <c r="W179" s="28"/>
      <c r="X179" s="28"/>
      <c r="Y179" s="28"/>
    </row>
    <row r="180" spans="2:25" s="43" customFormat="1">
      <c r="B180" s="44"/>
      <c r="C180" s="45"/>
      <c r="D180" s="45"/>
      <c r="E180" s="45"/>
      <c r="F180" s="45"/>
      <c r="G180" s="45"/>
      <c r="H180" s="45"/>
      <c r="I180" s="46"/>
      <c r="J180" s="46"/>
      <c r="K180" s="46"/>
      <c r="P180" s="15"/>
      <c r="U180" s="28"/>
      <c r="V180" s="28"/>
      <c r="W180" s="28"/>
      <c r="X180" s="28"/>
      <c r="Y180" s="28"/>
    </row>
    <row r="181" spans="2:25" s="43" customFormat="1">
      <c r="B181" s="44"/>
      <c r="C181" s="45"/>
      <c r="D181" s="45"/>
      <c r="E181" s="45"/>
      <c r="F181" s="45"/>
      <c r="G181" s="45"/>
      <c r="H181" s="45"/>
      <c r="I181" s="46"/>
      <c r="J181" s="46"/>
      <c r="K181" s="46"/>
      <c r="P181" s="15"/>
      <c r="U181" s="28"/>
      <c r="V181" s="28"/>
      <c r="W181" s="28"/>
      <c r="X181" s="28"/>
      <c r="Y181" s="28"/>
    </row>
    <row r="182" spans="2:25" s="43" customFormat="1">
      <c r="B182" s="44"/>
      <c r="C182" s="45"/>
      <c r="D182" s="45"/>
      <c r="E182" s="45"/>
      <c r="F182" s="45"/>
      <c r="G182" s="45"/>
      <c r="H182" s="45"/>
      <c r="I182" s="46"/>
      <c r="J182" s="46"/>
      <c r="K182" s="46"/>
      <c r="P182" s="15"/>
      <c r="U182" s="28"/>
      <c r="V182" s="28"/>
      <c r="W182" s="28"/>
      <c r="X182" s="28"/>
      <c r="Y182" s="28"/>
    </row>
    <row r="183" spans="2:25" s="43" customFormat="1">
      <c r="B183" s="44"/>
      <c r="C183" s="45"/>
      <c r="D183" s="45"/>
      <c r="E183" s="45"/>
      <c r="F183" s="45"/>
      <c r="G183" s="45"/>
      <c r="H183" s="45"/>
      <c r="I183" s="46"/>
      <c r="J183" s="46"/>
      <c r="K183" s="46"/>
      <c r="P183" s="15"/>
      <c r="U183" s="28"/>
      <c r="V183" s="28"/>
      <c r="W183" s="28"/>
      <c r="X183" s="28"/>
      <c r="Y183" s="28"/>
    </row>
    <row r="184" spans="2:25" s="43" customFormat="1">
      <c r="B184" s="44"/>
      <c r="C184" s="45"/>
      <c r="D184" s="45"/>
      <c r="E184" s="45"/>
      <c r="F184" s="45"/>
      <c r="G184" s="45"/>
      <c r="H184" s="45"/>
      <c r="I184" s="46"/>
      <c r="J184" s="46"/>
      <c r="K184" s="46"/>
      <c r="P184" s="15"/>
      <c r="U184" s="28"/>
      <c r="V184" s="28"/>
      <c r="W184" s="28"/>
      <c r="X184" s="28"/>
      <c r="Y184" s="28"/>
    </row>
    <row r="185" spans="2:25" s="43" customFormat="1">
      <c r="B185" s="44"/>
      <c r="C185" s="45"/>
      <c r="D185" s="45"/>
      <c r="E185" s="45"/>
      <c r="F185" s="45"/>
      <c r="G185" s="45"/>
      <c r="H185" s="45"/>
      <c r="I185" s="46"/>
      <c r="J185" s="46"/>
      <c r="K185" s="46"/>
      <c r="P185" s="15"/>
      <c r="U185" s="28"/>
      <c r="V185" s="28"/>
      <c r="W185" s="28"/>
      <c r="X185" s="28"/>
      <c r="Y185" s="28"/>
    </row>
    <row r="186" spans="2:25" s="43" customFormat="1">
      <c r="B186" s="44"/>
      <c r="C186" s="45"/>
      <c r="D186" s="45"/>
      <c r="E186" s="45"/>
      <c r="F186" s="45"/>
      <c r="G186" s="45"/>
      <c r="H186" s="45"/>
      <c r="I186" s="46"/>
      <c r="J186" s="46"/>
      <c r="K186" s="46"/>
      <c r="P186" s="15"/>
      <c r="U186" s="28"/>
      <c r="V186" s="28"/>
      <c r="W186" s="28"/>
      <c r="X186" s="28"/>
      <c r="Y186" s="28"/>
    </row>
    <row r="187" spans="2:25" s="43" customFormat="1">
      <c r="B187" s="44"/>
      <c r="C187" s="45"/>
      <c r="D187" s="45"/>
      <c r="E187" s="45"/>
      <c r="F187" s="45"/>
      <c r="G187" s="45"/>
      <c r="H187" s="45"/>
      <c r="I187" s="46"/>
      <c r="J187" s="46"/>
      <c r="K187" s="46"/>
      <c r="P187" s="15"/>
      <c r="U187" s="28"/>
      <c r="V187" s="28"/>
      <c r="W187" s="28"/>
      <c r="X187" s="28"/>
      <c r="Y187" s="28"/>
    </row>
    <row r="188" spans="2:25" s="43" customFormat="1">
      <c r="B188" s="44"/>
      <c r="C188" s="45"/>
      <c r="D188" s="45"/>
      <c r="E188" s="45"/>
      <c r="F188" s="45"/>
      <c r="G188" s="45"/>
      <c r="H188" s="45"/>
      <c r="I188" s="46"/>
      <c r="J188" s="46"/>
      <c r="K188" s="46"/>
      <c r="P188" s="15"/>
      <c r="U188" s="28"/>
      <c r="V188" s="28"/>
      <c r="W188" s="28"/>
      <c r="X188" s="28"/>
      <c r="Y188" s="28"/>
    </row>
    <row r="189" spans="2:25" s="43" customFormat="1">
      <c r="B189" s="44"/>
      <c r="C189" s="45"/>
      <c r="D189" s="45"/>
      <c r="E189" s="45"/>
      <c r="F189" s="45"/>
      <c r="G189" s="45"/>
      <c r="H189" s="45"/>
      <c r="I189" s="46"/>
      <c r="J189" s="46"/>
      <c r="K189" s="46"/>
      <c r="P189" s="15"/>
      <c r="U189" s="28"/>
      <c r="V189" s="28"/>
      <c r="W189" s="28"/>
      <c r="X189" s="28"/>
      <c r="Y189" s="28"/>
    </row>
    <row r="190" spans="2:25" s="43" customFormat="1">
      <c r="B190" s="44"/>
      <c r="C190" s="45"/>
      <c r="D190" s="45"/>
      <c r="E190" s="45"/>
      <c r="F190" s="45"/>
      <c r="G190" s="45"/>
      <c r="H190" s="45"/>
      <c r="I190" s="46"/>
      <c r="J190" s="46"/>
      <c r="K190" s="46"/>
      <c r="P190" s="15"/>
      <c r="U190" s="28"/>
      <c r="V190" s="28"/>
      <c r="W190" s="28"/>
      <c r="X190" s="28"/>
      <c r="Y190" s="28"/>
    </row>
    <row r="191" spans="2:25" s="43" customFormat="1">
      <c r="B191" s="44"/>
      <c r="C191" s="45"/>
      <c r="D191" s="45"/>
      <c r="E191" s="45"/>
      <c r="F191" s="45"/>
      <c r="G191" s="45"/>
      <c r="H191" s="45"/>
      <c r="I191" s="46"/>
      <c r="J191" s="46"/>
      <c r="K191" s="46"/>
      <c r="P191" s="15"/>
      <c r="U191" s="28"/>
      <c r="V191" s="28"/>
      <c r="W191" s="28"/>
      <c r="X191" s="28"/>
      <c r="Y191" s="28"/>
    </row>
    <row r="192" spans="2:25" s="43" customFormat="1">
      <c r="B192" s="44"/>
      <c r="C192" s="45"/>
      <c r="D192" s="45"/>
      <c r="E192" s="45"/>
      <c r="F192" s="45"/>
      <c r="G192" s="45"/>
      <c r="H192" s="45"/>
      <c r="I192" s="46"/>
      <c r="J192" s="46"/>
      <c r="K192" s="46"/>
      <c r="U192" s="28"/>
      <c r="V192" s="28"/>
      <c r="W192" s="28"/>
      <c r="X192" s="28"/>
      <c r="Y192" s="28"/>
    </row>
    <row r="193" spans="2:25" s="43" customFormat="1">
      <c r="B193" s="44"/>
      <c r="C193" s="45"/>
      <c r="D193" s="45"/>
      <c r="E193" s="45"/>
      <c r="F193" s="45"/>
      <c r="G193" s="45"/>
      <c r="H193" s="45"/>
      <c r="I193" s="46"/>
      <c r="J193" s="46"/>
      <c r="K193" s="46"/>
      <c r="U193" s="28"/>
      <c r="V193" s="28"/>
      <c r="W193" s="28"/>
      <c r="X193" s="28"/>
      <c r="Y193" s="28"/>
    </row>
    <row r="194" spans="2:25" s="43" customFormat="1">
      <c r="B194" s="44"/>
      <c r="C194" s="45"/>
      <c r="D194" s="45"/>
      <c r="E194" s="45"/>
      <c r="F194" s="45"/>
      <c r="G194" s="45"/>
      <c r="H194" s="45"/>
      <c r="I194" s="46"/>
      <c r="J194" s="46"/>
      <c r="K194" s="46"/>
      <c r="U194" s="28"/>
      <c r="V194" s="28"/>
      <c r="W194" s="28"/>
      <c r="X194" s="28"/>
      <c r="Y194" s="28"/>
    </row>
    <row r="195" spans="2:25" s="43" customFormat="1">
      <c r="B195" s="44"/>
      <c r="C195" s="45"/>
      <c r="D195" s="45"/>
      <c r="E195" s="45"/>
      <c r="F195" s="45"/>
      <c r="G195" s="45"/>
      <c r="H195" s="45"/>
      <c r="I195" s="46"/>
      <c r="J195" s="46"/>
      <c r="K195" s="46"/>
      <c r="U195" s="28"/>
      <c r="V195" s="28"/>
      <c r="W195" s="28"/>
      <c r="X195" s="28"/>
      <c r="Y195" s="28"/>
    </row>
    <row r="196" spans="2:25" s="43" customFormat="1">
      <c r="B196" s="44"/>
      <c r="C196" s="45"/>
      <c r="D196" s="45"/>
      <c r="E196" s="45"/>
      <c r="F196" s="45"/>
      <c r="G196" s="45"/>
      <c r="H196" s="45"/>
      <c r="I196" s="46"/>
      <c r="J196" s="46"/>
      <c r="K196" s="46"/>
      <c r="U196" s="28"/>
      <c r="V196" s="28"/>
      <c r="W196" s="28"/>
      <c r="X196" s="28"/>
      <c r="Y196" s="28"/>
    </row>
    <row r="197" spans="2:25" s="549" customFormat="1" ht="18.75">
      <c r="U197" s="560"/>
      <c r="V197" s="560"/>
      <c r="W197" s="560"/>
      <c r="X197" s="560"/>
      <c r="Y197" s="560"/>
    </row>
    <row r="198" spans="2:25" s="43" customFormat="1">
      <c r="U198" s="28"/>
      <c r="V198" s="28"/>
      <c r="W198" s="28"/>
      <c r="X198" s="28"/>
      <c r="Y198" s="28"/>
    </row>
    <row r="199" spans="2:25" s="43" customFormat="1" ht="15" customHeight="1">
      <c r="U199" s="28"/>
      <c r="V199" s="28"/>
      <c r="W199" s="28"/>
      <c r="X199" s="28"/>
      <c r="Y199" s="28"/>
    </row>
    <row r="200" spans="2:25" s="43" customFormat="1">
      <c r="U200" s="28"/>
      <c r="V200" s="28"/>
      <c r="W200" s="28"/>
      <c r="X200" s="28"/>
      <c r="Y200" s="28"/>
    </row>
    <row r="201" spans="2:25" s="43" customFormat="1">
      <c r="U201" s="28"/>
      <c r="V201" s="28"/>
      <c r="W201" s="28"/>
      <c r="X201" s="28"/>
      <c r="Y201" s="28"/>
    </row>
    <row r="202" spans="2:25" s="43" customFormat="1">
      <c r="U202" s="28"/>
      <c r="V202" s="28"/>
      <c r="W202" s="28"/>
      <c r="X202" s="28"/>
      <c r="Y202" s="28"/>
    </row>
    <row r="203" spans="2:25" s="43" customFormat="1">
      <c r="U203" s="28"/>
      <c r="V203" s="28"/>
      <c r="W203" s="28"/>
      <c r="X203" s="28"/>
      <c r="Y203" s="28"/>
    </row>
    <row r="204" spans="2:25" s="43" customFormat="1">
      <c r="U204" s="28"/>
      <c r="V204" s="28"/>
      <c r="W204" s="28"/>
      <c r="X204" s="28"/>
      <c r="Y204" s="28"/>
    </row>
    <row r="205" spans="2:25" s="43" customFormat="1">
      <c r="U205" s="28"/>
      <c r="V205" s="28"/>
      <c r="W205" s="28"/>
      <c r="X205" s="28"/>
      <c r="Y205" s="28"/>
    </row>
    <row r="206" spans="2:25" s="43" customFormat="1">
      <c r="U206" s="28"/>
      <c r="V206" s="28"/>
      <c r="W206" s="28"/>
      <c r="X206" s="28"/>
      <c r="Y206" s="28"/>
    </row>
    <row r="207" spans="2:25" s="43" customFormat="1">
      <c r="B207" s="44"/>
      <c r="C207" s="45"/>
      <c r="D207" s="45"/>
      <c r="E207" s="45"/>
      <c r="F207" s="45"/>
      <c r="G207" s="45"/>
      <c r="H207" s="45"/>
      <c r="I207" s="46"/>
      <c r="J207" s="46"/>
      <c r="K207" s="46"/>
      <c r="U207" s="28"/>
      <c r="V207" s="28"/>
      <c r="W207" s="28"/>
      <c r="X207" s="28"/>
      <c r="Y207" s="28"/>
    </row>
    <row r="208" spans="2:25" s="43" customFormat="1">
      <c r="U208" s="28"/>
      <c r="V208" s="28"/>
      <c r="W208" s="28"/>
      <c r="X208" s="28"/>
      <c r="Y208" s="28"/>
    </row>
    <row r="209" spans="2:25" s="43" customFormat="1">
      <c r="U209" s="28"/>
      <c r="V209" s="28"/>
      <c r="W209" s="28"/>
      <c r="X209" s="28"/>
      <c r="Y209" s="28"/>
    </row>
    <row r="210" spans="2:25" s="43" customFormat="1">
      <c r="U210" s="28"/>
      <c r="V210" s="28"/>
      <c r="W210" s="28"/>
      <c r="X210" s="28"/>
      <c r="Y210" s="28"/>
    </row>
    <row r="211" spans="2:25" s="43" customFormat="1">
      <c r="U211" s="28"/>
      <c r="V211" s="28"/>
      <c r="W211" s="28"/>
      <c r="X211" s="28"/>
      <c r="Y211" s="28"/>
    </row>
    <row r="212" spans="2:25" s="43" customFormat="1">
      <c r="U212" s="28"/>
      <c r="V212" s="28"/>
      <c r="W212" s="28"/>
      <c r="X212" s="28"/>
      <c r="Y212" s="28"/>
    </row>
    <row r="213" spans="2:25" s="43" customFormat="1">
      <c r="B213" s="44"/>
      <c r="C213" s="45"/>
      <c r="D213" s="45"/>
      <c r="E213" s="45"/>
      <c r="F213" s="45"/>
      <c r="G213" s="45"/>
      <c r="H213" s="45"/>
      <c r="I213" s="46"/>
      <c r="J213" s="46"/>
      <c r="K213" s="46"/>
      <c r="U213" s="28"/>
      <c r="V213" s="28"/>
      <c r="W213" s="28"/>
      <c r="X213" s="28"/>
      <c r="Y213" s="28"/>
    </row>
    <row r="214" spans="2:25" s="43" customFormat="1">
      <c r="B214" s="44"/>
      <c r="C214" s="45"/>
      <c r="D214" s="45"/>
      <c r="E214" s="45"/>
      <c r="F214" s="45"/>
      <c r="G214" s="45"/>
      <c r="H214" s="45"/>
      <c r="I214" s="46"/>
      <c r="J214" s="46"/>
      <c r="K214" s="46"/>
      <c r="U214" s="28"/>
      <c r="V214" s="28"/>
      <c r="W214" s="28"/>
      <c r="X214" s="28"/>
      <c r="Y214" s="28"/>
    </row>
    <row r="215" spans="2:25" s="43" customFormat="1">
      <c r="B215" s="44"/>
      <c r="C215" s="45"/>
      <c r="D215" s="45"/>
      <c r="E215" s="45"/>
      <c r="F215" s="45"/>
      <c r="G215" s="45"/>
      <c r="H215" s="45"/>
      <c r="I215" s="46"/>
      <c r="J215" s="46"/>
      <c r="K215" s="46"/>
      <c r="U215" s="28"/>
      <c r="V215" s="28"/>
      <c r="W215" s="28"/>
      <c r="X215" s="28"/>
      <c r="Y215" s="28"/>
    </row>
    <row r="216" spans="2:25" s="43" customFormat="1">
      <c r="B216" s="44"/>
      <c r="C216" s="45"/>
      <c r="D216" s="45"/>
      <c r="E216" s="45"/>
      <c r="F216" s="45"/>
      <c r="G216" s="45"/>
      <c r="H216" s="45"/>
      <c r="I216" s="46"/>
      <c r="J216" s="46"/>
      <c r="K216" s="46"/>
      <c r="U216" s="28"/>
      <c r="V216" s="28"/>
      <c r="W216" s="28"/>
      <c r="X216" s="28"/>
      <c r="Y216" s="28"/>
    </row>
    <row r="217" spans="2:25" s="43" customFormat="1">
      <c r="B217" s="44"/>
      <c r="C217" s="45"/>
      <c r="D217" s="45"/>
      <c r="E217" s="45"/>
      <c r="F217" s="45"/>
      <c r="G217" s="45"/>
      <c r="H217" s="45"/>
      <c r="I217" s="46"/>
      <c r="J217" s="46"/>
      <c r="K217" s="46"/>
      <c r="U217" s="28"/>
      <c r="V217" s="28"/>
      <c r="W217" s="28"/>
      <c r="X217" s="28"/>
      <c r="Y217" s="28"/>
    </row>
    <row r="218" spans="2:25" s="43" customFormat="1">
      <c r="B218" s="44"/>
      <c r="C218" s="45"/>
      <c r="D218" s="45"/>
      <c r="E218" s="45"/>
      <c r="F218" s="45"/>
      <c r="G218" s="45"/>
      <c r="H218" s="45"/>
      <c r="I218" s="46"/>
      <c r="J218" s="46"/>
      <c r="K218" s="46"/>
      <c r="U218" s="28"/>
      <c r="V218" s="28"/>
      <c r="W218" s="28"/>
      <c r="X218" s="28"/>
      <c r="Y218" s="28"/>
    </row>
    <row r="219" spans="2:25" s="43" customFormat="1">
      <c r="B219" s="44"/>
      <c r="C219" s="45"/>
      <c r="D219" s="45"/>
      <c r="E219" s="45"/>
      <c r="F219" s="45"/>
      <c r="G219" s="45"/>
      <c r="H219" s="45"/>
      <c r="I219" s="46"/>
      <c r="J219" s="46"/>
      <c r="K219" s="46"/>
      <c r="U219" s="28"/>
      <c r="V219" s="28"/>
      <c r="W219" s="28"/>
      <c r="X219" s="28"/>
      <c r="Y219" s="28"/>
    </row>
    <row r="220" spans="2:25" s="43" customFormat="1">
      <c r="B220" s="44"/>
      <c r="C220" s="45"/>
      <c r="D220" s="45"/>
      <c r="E220" s="45"/>
      <c r="F220" s="45"/>
      <c r="G220" s="45"/>
      <c r="H220" s="45"/>
      <c r="I220" s="46"/>
      <c r="J220" s="46"/>
      <c r="K220" s="46"/>
      <c r="U220" s="28"/>
      <c r="V220" s="28"/>
      <c r="W220" s="28"/>
      <c r="X220" s="28"/>
      <c r="Y220" s="28"/>
    </row>
    <row r="221" spans="2:25" s="43" customFormat="1">
      <c r="B221" s="44"/>
      <c r="C221" s="45"/>
      <c r="D221" s="45"/>
      <c r="E221" s="45"/>
      <c r="F221" s="45"/>
      <c r="G221" s="45"/>
      <c r="H221" s="45"/>
      <c r="I221" s="46"/>
      <c r="J221" s="46"/>
      <c r="K221" s="46"/>
      <c r="U221" s="28"/>
      <c r="V221" s="28"/>
      <c r="W221" s="28"/>
      <c r="X221" s="28"/>
      <c r="Y221" s="28"/>
    </row>
    <row r="222" spans="2:25" s="43" customFormat="1">
      <c r="B222" s="44"/>
      <c r="C222" s="45"/>
      <c r="D222" s="45"/>
      <c r="E222" s="45"/>
      <c r="F222" s="45"/>
      <c r="G222" s="45"/>
      <c r="H222" s="45"/>
      <c r="I222" s="46"/>
      <c r="J222" s="46"/>
      <c r="K222" s="46"/>
      <c r="U222" s="28"/>
      <c r="V222" s="28"/>
      <c r="W222" s="28"/>
      <c r="X222" s="28"/>
      <c r="Y222" s="28"/>
    </row>
    <row r="223" spans="2:25" s="43" customFormat="1">
      <c r="B223" s="44"/>
      <c r="C223" s="45"/>
      <c r="D223" s="45"/>
      <c r="E223" s="45"/>
      <c r="F223" s="45"/>
      <c r="G223" s="45"/>
      <c r="H223" s="45"/>
      <c r="I223" s="46"/>
      <c r="J223" s="46"/>
      <c r="K223" s="46"/>
      <c r="U223" s="28"/>
      <c r="V223" s="28"/>
      <c r="W223" s="28"/>
      <c r="X223" s="28"/>
      <c r="Y223" s="28"/>
    </row>
    <row r="224" spans="2:25" s="43" customFormat="1">
      <c r="B224" s="44"/>
      <c r="C224" s="45"/>
      <c r="D224" s="45"/>
      <c r="E224" s="45"/>
      <c r="F224" s="45"/>
      <c r="G224" s="45"/>
      <c r="H224" s="45"/>
      <c r="I224" s="46"/>
      <c r="J224" s="46"/>
      <c r="K224" s="46"/>
      <c r="U224" s="28"/>
      <c r="V224" s="28"/>
      <c r="W224" s="28"/>
      <c r="X224" s="28"/>
      <c r="Y224" s="28"/>
    </row>
    <row r="225" spans="2:25" s="43" customFormat="1">
      <c r="B225" s="44"/>
      <c r="C225" s="45"/>
      <c r="D225" s="45"/>
      <c r="E225" s="45"/>
      <c r="F225" s="45"/>
      <c r="G225" s="45"/>
      <c r="H225" s="45"/>
      <c r="I225" s="46"/>
      <c r="J225" s="46"/>
      <c r="K225" s="46"/>
      <c r="U225" s="28"/>
      <c r="V225" s="28"/>
      <c r="W225" s="28"/>
      <c r="X225" s="28"/>
      <c r="Y225" s="28"/>
    </row>
    <row r="226" spans="2:25" s="43" customFormat="1">
      <c r="B226" s="44"/>
      <c r="C226" s="45"/>
      <c r="D226" s="45"/>
      <c r="E226" s="45"/>
      <c r="F226" s="45"/>
      <c r="G226" s="45"/>
      <c r="H226" s="45"/>
      <c r="I226" s="46"/>
      <c r="J226" s="46"/>
      <c r="K226" s="46"/>
      <c r="U226" s="28"/>
      <c r="V226" s="28"/>
      <c r="W226" s="28"/>
      <c r="X226" s="28"/>
      <c r="Y226" s="28"/>
    </row>
    <row r="227" spans="2:25" s="43" customFormat="1">
      <c r="B227" s="44"/>
      <c r="C227" s="45"/>
      <c r="D227" s="45"/>
      <c r="E227" s="45"/>
      <c r="F227" s="45"/>
      <c r="G227" s="45"/>
      <c r="H227" s="45"/>
      <c r="I227" s="46"/>
      <c r="J227" s="46"/>
      <c r="K227" s="46"/>
      <c r="U227" s="28"/>
      <c r="V227" s="28"/>
      <c r="W227" s="28"/>
      <c r="X227" s="28"/>
      <c r="Y227" s="28"/>
    </row>
    <row r="228" spans="2:25" s="43" customFormat="1">
      <c r="B228" s="44"/>
      <c r="C228" s="45"/>
      <c r="D228" s="45"/>
      <c r="E228" s="45"/>
      <c r="F228" s="45"/>
      <c r="G228" s="45"/>
      <c r="H228" s="45"/>
      <c r="I228" s="46"/>
      <c r="J228" s="46"/>
      <c r="K228" s="46"/>
      <c r="U228" s="28"/>
      <c r="V228" s="28"/>
      <c r="W228" s="28"/>
      <c r="X228" s="28"/>
      <c r="Y228" s="28"/>
    </row>
    <row r="229" spans="2:25" s="43" customFormat="1">
      <c r="B229" s="44"/>
      <c r="C229" s="45"/>
      <c r="D229" s="45"/>
      <c r="E229" s="45"/>
      <c r="F229" s="45"/>
      <c r="G229" s="45"/>
      <c r="H229" s="45"/>
      <c r="I229" s="46"/>
      <c r="J229" s="46"/>
      <c r="K229" s="46"/>
      <c r="U229" s="28"/>
      <c r="V229" s="28"/>
      <c r="W229" s="28"/>
      <c r="X229" s="28"/>
      <c r="Y229" s="28"/>
    </row>
    <row r="230" spans="2:25" s="43" customFormat="1">
      <c r="B230" s="44"/>
      <c r="C230" s="45"/>
      <c r="D230" s="45"/>
      <c r="E230" s="45"/>
      <c r="F230" s="45"/>
      <c r="G230" s="45"/>
      <c r="H230" s="45"/>
      <c r="I230" s="46"/>
      <c r="J230" s="46"/>
      <c r="K230" s="46"/>
      <c r="U230" s="28"/>
      <c r="V230" s="28"/>
      <c r="W230" s="28"/>
      <c r="X230" s="28"/>
      <c r="Y230" s="28"/>
    </row>
    <row r="231" spans="2:25" s="43" customFormat="1">
      <c r="B231" s="44"/>
      <c r="C231" s="45"/>
      <c r="D231" s="45"/>
      <c r="E231" s="45"/>
      <c r="F231" s="45"/>
      <c r="G231" s="45"/>
      <c r="H231" s="45"/>
      <c r="I231" s="46"/>
      <c r="J231" s="46"/>
      <c r="K231" s="46"/>
      <c r="U231" s="28"/>
      <c r="V231" s="28"/>
      <c r="W231" s="28"/>
      <c r="X231" s="28"/>
      <c r="Y231" s="28"/>
    </row>
    <row r="232" spans="2:25" s="43" customFormat="1">
      <c r="B232" s="44"/>
      <c r="C232" s="45"/>
      <c r="D232" s="45"/>
      <c r="E232" s="45"/>
      <c r="F232" s="45"/>
      <c r="G232" s="45"/>
      <c r="H232" s="45"/>
      <c r="I232" s="46"/>
      <c r="J232" s="46"/>
      <c r="K232" s="46"/>
      <c r="U232" s="28"/>
      <c r="V232" s="28"/>
      <c r="W232" s="28"/>
      <c r="X232" s="28"/>
      <c r="Y232" s="28"/>
    </row>
    <row r="233" spans="2:25" s="43" customFormat="1">
      <c r="B233" s="44"/>
      <c r="C233" s="45"/>
      <c r="D233" s="45"/>
      <c r="E233" s="45"/>
      <c r="F233" s="45"/>
      <c r="G233" s="45"/>
      <c r="H233" s="45"/>
      <c r="I233" s="46"/>
      <c r="J233" s="46"/>
      <c r="K233" s="46"/>
      <c r="U233" s="28"/>
      <c r="V233" s="28"/>
      <c r="W233" s="28"/>
      <c r="X233" s="28"/>
      <c r="Y233" s="28"/>
    </row>
    <row r="234" spans="2:25" s="43" customFormat="1">
      <c r="B234" s="44"/>
      <c r="C234" s="45"/>
      <c r="D234" s="45"/>
      <c r="E234" s="45"/>
      <c r="F234" s="45"/>
      <c r="G234" s="45"/>
      <c r="H234" s="45"/>
      <c r="I234" s="46"/>
      <c r="J234" s="46"/>
      <c r="K234" s="46"/>
      <c r="U234" s="28"/>
      <c r="V234" s="28"/>
      <c r="W234" s="28"/>
      <c r="X234" s="28"/>
      <c r="Y234" s="28"/>
    </row>
    <row r="235" spans="2:25" s="43" customFormat="1">
      <c r="B235" s="44"/>
      <c r="C235" s="45"/>
      <c r="D235" s="45"/>
      <c r="E235" s="45"/>
      <c r="F235" s="45"/>
      <c r="G235" s="45"/>
      <c r="H235" s="45"/>
      <c r="I235" s="46"/>
      <c r="J235" s="46"/>
      <c r="K235" s="46"/>
      <c r="U235" s="28"/>
      <c r="V235" s="28"/>
      <c r="W235" s="28"/>
      <c r="X235" s="28"/>
      <c r="Y235" s="28"/>
    </row>
    <row r="236" spans="2:25" s="43" customFormat="1">
      <c r="B236" s="44"/>
      <c r="C236" s="45"/>
      <c r="D236" s="45"/>
      <c r="E236" s="45"/>
      <c r="F236" s="45"/>
      <c r="G236" s="45"/>
      <c r="H236" s="45"/>
      <c r="I236" s="46"/>
      <c r="J236" s="46"/>
      <c r="K236" s="46"/>
      <c r="U236" s="28"/>
      <c r="V236" s="28"/>
      <c r="W236" s="28"/>
      <c r="X236" s="28"/>
      <c r="Y236" s="28"/>
    </row>
    <row r="237" spans="2:25" s="43" customFormat="1">
      <c r="B237" s="44"/>
      <c r="C237" s="45"/>
      <c r="D237" s="45"/>
      <c r="E237" s="45"/>
      <c r="F237" s="45"/>
      <c r="G237" s="45"/>
      <c r="H237" s="45"/>
      <c r="I237" s="46"/>
      <c r="J237" s="46"/>
      <c r="K237" s="46"/>
      <c r="U237" s="28"/>
      <c r="V237" s="28"/>
      <c r="W237" s="28"/>
      <c r="X237" s="28"/>
      <c r="Y237" s="28"/>
    </row>
    <row r="238" spans="2:25" s="43" customFormat="1">
      <c r="B238" s="44"/>
      <c r="C238" s="45"/>
      <c r="D238" s="45"/>
      <c r="E238" s="45"/>
      <c r="F238" s="45"/>
      <c r="G238" s="45"/>
      <c r="H238" s="45"/>
      <c r="I238" s="46"/>
      <c r="J238" s="46"/>
      <c r="K238" s="46"/>
      <c r="U238" s="28"/>
      <c r="V238" s="28"/>
      <c r="W238" s="28"/>
      <c r="X238" s="28"/>
      <c r="Y238" s="28"/>
    </row>
    <row r="239" spans="2:25" s="43" customFormat="1">
      <c r="B239" s="44"/>
      <c r="C239" s="45"/>
      <c r="D239" s="45"/>
      <c r="E239" s="45"/>
      <c r="F239" s="45"/>
      <c r="G239" s="45"/>
      <c r="H239" s="45"/>
      <c r="I239" s="46"/>
      <c r="J239" s="46"/>
      <c r="K239" s="46"/>
      <c r="U239" s="28"/>
      <c r="V239" s="28"/>
      <c r="W239" s="28"/>
      <c r="X239" s="28"/>
      <c r="Y239" s="28"/>
    </row>
    <row r="240" spans="2:25" s="43" customFormat="1">
      <c r="B240" s="44"/>
      <c r="C240" s="45"/>
      <c r="D240" s="45"/>
      <c r="E240" s="45"/>
      <c r="F240" s="45"/>
      <c r="G240" s="45"/>
      <c r="H240" s="45"/>
      <c r="I240" s="46"/>
      <c r="J240" s="46"/>
      <c r="K240" s="46"/>
      <c r="U240" s="28"/>
      <c r="V240" s="28"/>
      <c r="W240" s="28"/>
      <c r="X240" s="28"/>
      <c r="Y240" s="28"/>
    </row>
    <row r="241" spans="2:25" s="43" customFormat="1">
      <c r="B241" s="44"/>
      <c r="C241" s="45"/>
      <c r="D241" s="45"/>
      <c r="E241" s="45"/>
      <c r="F241" s="45"/>
      <c r="G241" s="45"/>
      <c r="H241" s="45"/>
      <c r="I241" s="46"/>
      <c r="J241" s="46"/>
      <c r="K241" s="46"/>
      <c r="U241" s="28"/>
      <c r="V241" s="28"/>
      <c r="W241" s="28"/>
      <c r="X241" s="28"/>
      <c r="Y241" s="28"/>
    </row>
    <row r="242" spans="2:25" s="43" customFormat="1">
      <c r="B242" s="44"/>
      <c r="C242" s="45"/>
      <c r="D242" s="45"/>
      <c r="E242" s="45"/>
      <c r="F242" s="45"/>
      <c r="G242" s="45"/>
      <c r="H242" s="45"/>
      <c r="I242" s="46"/>
      <c r="J242" s="46"/>
      <c r="K242" s="46"/>
      <c r="U242" s="28"/>
      <c r="V242" s="28"/>
      <c r="W242" s="28"/>
      <c r="X242" s="28"/>
      <c r="Y242" s="28"/>
    </row>
    <row r="243" spans="2:25" s="43" customFormat="1">
      <c r="B243" s="44"/>
      <c r="C243" s="45"/>
      <c r="D243" s="45"/>
      <c r="E243" s="45"/>
      <c r="F243" s="45"/>
      <c r="G243" s="45"/>
      <c r="H243" s="45"/>
      <c r="I243" s="46"/>
      <c r="J243" s="46"/>
      <c r="K243" s="46"/>
      <c r="U243" s="28"/>
      <c r="V243" s="28"/>
      <c r="W243" s="28"/>
      <c r="X243" s="28"/>
      <c r="Y243" s="28"/>
    </row>
    <row r="244" spans="2:25" s="43" customFormat="1">
      <c r="B244" s="44"/>
      <c r="C244" s="45"/>
      <c r="D244" s="45"/>
      <c r="E244" s="45"/>
      <c r="F244" s="45"/>
      <c r="G244" s="45"/>
      <c r="H244" s="45"/>
      <c r="I244" s="46"/>
      <c r="J244" s="46"/>
      <c r="K244" s="46"/>
      <c r="U244" s="28"/>
      <c r="V244" s="28"/>
      <c r="W244" s="28"/>
      <c r="X244" s="28"/>
      <c r="Y244" s="28"/>
    </row>
    <row r="245" spans="2:25" s="43" customFormat="1">
      <c r="B245" s="44"/>
      <c r="C245" s="45"/>
      <c r="D245" s="45"/>
      <c r="E245" s="45"/>
      <c r="F245" s="45"/>
      <c r="G245" s="45"/>
      <c r="H245" s="45"/>
      <c r="I245" s="46"/>
      <c r="J245" s="46"/>
      <c r="K245" s="46"/>
      <c r="U245" s="28"/>
      <c r="V245" s="28"/>
      <c r="W245" s="28"/>
      <c r="X245" s="28"/>
      <c r="Y245" s="28"/>
    </row>
    <row r="246" spans="2:25" s="43" customFormat="1">
      <c r="B246" s="44"/>
      <c r="C246" s="45"/>
      <c r="D246" s="45"/>
      <c r="E246" s="45"/>
      <c r="F246" s="45"/>
      <c r="G246" s="45"/>
      <c r="H246" s="45"/>
      <c r="I246" s="46"/>
      <c r="J246" s="46"/>
      <c r="K246" s="46"/>
      <c r="U246" s="28"/>
      <c r="V246" s="28"/>
      <c r="W246" s="28"/>
      <c r="X246" s="28"/>
      <c r="Y246" s="28"/>
    </row>
    <row r="247" spans="2:25" s="43" customFormat="1">
      <c r="B247" s="44"/>
      <c r="C247" s="45"/>
      <c r="D247" s="45"/>
      <c r="E247" s="45"/>
      <c r="F247" s="45"/>
      <c r="G247" s="45"/>
      <c r="H247" s="45"/>
      <c r="I247" s="46"/>
      <c r="J247" s="46"/>
      <c r="K247" s="46"/>
      <c r="U247" s="28"/>
      <c r="V247" s="28"/>
      <c r="W247" s="28"/>
      <c r="X247" s="28"/>
      <c r="Y247" s="28"/>
    </row>
    <row r="248" spans="2:25" s="43" customFormat="1">
      <c r="B248" s="44"/>
      <c r="C248" s="45"/>
      <c r="D248" s="45"/>
      <c r="E248" s="45"/>
      <c r="F248" s="45"/>
      <c r="G248" s="45"/>
      <c r="H248" s="45"/>
      <c r="I248" s="46"/>
      <c r="J248" s="46"/>
      <c r="K248" s="46"/>
      <c r="U248" s="28"/>
      <c r="V248" s="28"/>
      <c r="W248" s="28"/>
      <c r="X248" s="28"/>
      <c r="Y248" s="28"/>
    </row>
    <row r="249" spans="2:25" s="43" customFormat="1">
      <c r="B249" s="44"/>
      <c r="C249" s="45"/>
      <c r="D249" s="45"/>
      <c r="E249" s="45"/>
      <c r="F249" s="45"/>
      <c r="G249" s="45"/>
      <c r="H249" s="45"/>
      <c r="I249" s="46"/>
      <c r="J249" s="46"/>
      <c r="K249" s="46"/>
      <c r="U249" s="28"/>
      <c r="V249" s="28"/>
      <c r="W249" s="28"/>
      <c r="X249" s="28"/>
      <c r="Y249" s="28"/>
    </row>
    <row r="250" spans="2:25" s="43" customFormat="1">
      <c r="B250" s="44"/>
      <c r="C250" s="45"/>
      <c r="D250" s="45"/>
      <c r="E250" s="45"/>
      <c r="F250" s="45"/>
      <c r="G250" s="45"/>
      <c r="H250" s="45"/>
      <c r="I250" s="46"/>
      <c r="J250" s="46"/>
      <c r="K250" s="46"/>
      <c r="U250" s="28"/>
      <c r="V250" s="28"/>
      <c r="W250" s="28"/>
      <c r="X250" s="28"/>
      <c r="Y250" s="28"/>
    </row>
    <row r="251" spans="2:25" s="43" customFormat="1">
      <c r="B251" s="44"/>
      <c r="C251" s="45"/>
      <c r="D251" s="45"/>
      <c r="E251" s="45"/>
      <c r="F251" s="45"/>
      <c r="G251" s="45"/>
      <c r="H251" s="45"/>
      <c r="I251" s="46"/>
      <c r="J251" s="46"/>
      <c r="K251" s="46"/>
      <c r="U251" s="28"/>
      <c r="V251" s="28"/>
      <c r="W251" s="28"/>
      <c r="X251" s="28"/>
      <c r="Y251" s="28"/>
    </row>
    <row r="252" spans="2:25" s="43" customFormat="1">
      <c r="B252" s="44"/>
      <c r="C252" s="45"/>
      <c r="D252" s="45"/>
      <c r="E252" s="45"/>
      <c r="F252" s="45"/>
      <c r="G252" s="45"/>
      <c r="H252" s="45"/>
      <c r="I252" s="46"/>
      <c r="J252" s="46"/>
      <c r="K252" s="46"/>
      <c r="U252" s="28"/>
      <c r="V252" s="28"/>
      <c r="W252" s="28"/>
      <c r="X252" s="28"/>
      <c r="Y252" s="28"/>
    </row>
    <row r="253" spans="2:25" s="43" customFormat="1">
      <c r="B253" s="44"/>
      <c r="C253" s="45"/>
      <c r="D253" s="45"/>
      <c r="E253" s="45"/>
      <c r="F253" s="45"/>
      <c r="G253" s="45"/>
      <c r="H253" s="45"/>
      <c r="I253" s="46"/>
      <c r="J253" s="46"/>
      <c r="K253" s="46"/>
      <c r="U253" s="28"/>
      <c r="V253" s="28"/>
      <c r="W253" s="28"/>
      <c r="X253" s="28"/>
      <c r="Y253" s="28"/>
    </row>
    <row r="254" spans="2:25" s="43" customFormat="1">
      <c r="B254" s="44"/>
      <c r="C254" s="45"/>
      <c r="D254" s="45"/>
      <c r="E254" s="45"/>
      <c r="F254" s="45"/>
      <c r="G254" s="45"/>
      <c r="H254" s="45"/>
      <c r="I254" s="46"/>
      <c r="J254" s="46"/>
      <c r="K254" s="46"/>
      <c r="U254" s="28"/>
      <c r="V254" s="28"/>
      <c r="W254" s="28"/>
      <c r="X254" s="28"/>
      <c r="Y254" s="28"/>
    </row>
    <row r="255" spans="2:25" s="43" customFormat="1">
      <c r="B255" s="44"/>
      <c r="C255" s="45"/>
      <c r="D255" s="45"/>
      <c r="E255" s="45"/>
      <c r="F255" s="45"/>
      <c r="G255" s="45"/>
      <c r="H255" s="45"/>
      <c r="I255" s="46"/>
      <c r="J255" s="46"/>
      <c r="K255" s="46"/>
      <c r="U255" s="28"/>
      <c r="V255" s="28"/>
      <c r="W255" s="28"/>
      <c r="X255" s="28"/>
      <c r="Y255" s="28"/>
    </row>
    <row r="256" spans="2:25" s="43" customFormat="1">
      <c r="B256" s="44"/>
      <c r="C256" s="45"/>
      <c r="D256" s="45"/>
      <c r="E256" s="45"/>
      <c r="F256" s="45"/>
      <c r="G256" s="45"/>
      <c r="H256" s="45"/>
      <c r="I256" s="46"/>
      <c r="J256" s="46"/>
      <c r="K256" s="46"/>
      <c r="U256" s="28"/>
      <c r="V256" s="28"/>
      <c r="W256" s="28"/>
      <c r="X256" s="28"/>
      <c r="Y256" s="28"/>
    </row>
    <row r="257" spans="2:25" s="43" customFormat="1">
      <c r="B257" s="44"/>
      <c r="C257" s="45"/>
      <c r="D257" s="45"/>
      <c r="E257" s="45"/>
      <c r="F257" s="45"/>
      <c r="G257" s="45"/>
      <c r="H257" s="45"/>
      <c r="I257" s="46"/>
      <c r="J257" s="46"/>
      <c r="K257" s="46"/>
      <c r="U257" s="28"/>
      <c r="V257" s="28"/>
      <c r="W257" s="28"/>
      <c r="X257" s="28"/>
      <c r="Y257" s="28"/>
    </row>
    <row r="258" spans="2:25" s="43" customFormat="1">
      <c r="B258" s="44"/>
      <c r="C258" s="45"/>
      <c r="D258" s="45"/>
      <c r="E258" s="45"/>
      <c r="F258" s="45"/>
      <c r="G258" s="45"/>
      <c r="H258" s="45"/>
      <c r="I258" s="46"/>
      <c r="J258" s="46"/>
      <c r="K258" s="46"/>
      <c r="U258" s="28"/>
      <c r="V258" s="28"/>
      <c r="W258" s="28"/>
      <c r="X258" s="28"/>
      <c r="Y258" s="28"/>
    </row>
    <row r="259" spans="2:25" s="43" customFormat="1">
      <c r="B259" s="44"/>
      <c r="C259" s="45"/>
      <c r="D259" s="45"/>
      <c r="E259" s="45"/>
      <c r="F259" s="45"/>
      <c r="G259" s="45"/>
      <c r="H259" s="45"/>
      <c r="I259" s="46"/>
      <c r="J259" s="46"/>
      <c r="K259" s="46"/>
      <c r="U259" s="28"/>
      <c r="V259" s="28"/>
      <c r="W259" s="28"/>
      <c r="X259" s="28"/>
      <c r="Y259" s="28"/>
    </row>
    <row r="260" spans="2:25" s="43" customFormat="1">
      <c r="B260" s="44"/>
      <c r="C260" s="45"/>
      <c r="D260" s="45"/>
      <c r="E260" s="45"/>
      <c r="F260" s="45"/>
      <c r="G260" s="45"/>
      <c r="H260" s="45"/>
      <c r="I260" s="46"/>
      <c r="J260" s="46"/>
      <c r="K260" s="46"/>
      <c r="U260" s="28"/>
      <c r="V260" s="28"/>
      <c r="W260" s="28"/>
      <c r="X260" s="28"/>
      <c r="Y260" s="28"/>
    </row>
    <row r="261" spans="2:25" s="43" customFormat="1">
      <c r="B261" s="44"/>
      <c r="C261" s="45"/>
      <c r="D261" s="45"/>
      <c r="E261" s="45"/>
      <c r="F261" s="45"/>
      <c r="G261" s="45"/>
      <c r="H261" s="45"/>
      <c r="I261" s="46"/>
      <c r="J261" s="46"/>
      <c r="K261" s="46"/>
      <c r="U261" s="28"/>
      <c r="V261" s="28"/>
      <c r="W261" s="28"/>
      <c r="X261" s="28"/>
      <c r="Y261" s="28"/>
    </row>
    <row r="262" spans="2:25" s="43" customFormat="1">
      <c r="B262" s="44"/>
      <c r="C262" s="45"/>
      <c r="D262" s="45"/>
      <c r="E262" s="45"/>
      <c r="F262" s="45"/>
      <c r="G262" s="45"/>
      <c r="H262" s="45"/>
      <c r="I262" s="46"/>
      <c r="J262" s="46"/>
      <c r="K262" s="46"/>
      <c r="U262" s="28"/>
      <c r="V262" s="28"/>
      <c r="W262" s="28"/>
      <c r="X262" s="28"/>
      <c r="Y262" s="28"/>
    </row>
    <row r="263" spans="2:25" s="43" customFormat="1">
      <c r="B263" s="44"/>
      <c r="C263" s="45"/>
      <c r="D263" s="45"/>
      <c r="E263" s="45"/>
      <c r="F263" s="45"/>
      <c r="G263" s="45"/>
      <c r="H263" s="45"/>
      <c r="I263" s="46"/>
      <c r="J263" s="46"/>
      <c r="K263" s="46"/>
      <c r="U263" s="28"/>
      <c r="V263" s="28"/>
      <c r="W263" s="28"/>
      <c r="X263" s="28"/>
      <c r="Y263" s="28"/>
    </row>
    <row r="264" spans="2:25" s="43" customFormat="1">
      <c r="B264" s="44"/>
      <c r="C264" s="45"/>
      <c r="D264" s="45"/>
      <c r="E264" s="45"/>
      <c r="F264" s="45"/>
      <c r="G264" s="45"/>
      <c r="H264" s="45"/>
      <c r="I264" s="46"/>
      <c r="J264" s="46"/>
      <c r="K264" s="46"/>
      <c r="U264" s="28"/>
      <c r="V264" s="28"/>
      <c r="W264" s="28"/>
      <c r="X264" s="28"/>
      <c r="Y264" s="28"/>
    </row>
    <row r="265" spans="2:25" s="43" customFormat="1">
      <c r="B265" s="44"/>
      <c r="C265" s="45"/>
      <c r="D265" s="45"/>
      <c r="E265" s="45"/>
      <c r="F265" s="45"/>
      <c r="G265" s="45"/>
      <c r="H265" s="45"/>
      <c r="I265" s="46"/>
      <c r="J265" s="46"/>
      <c r="K265" s="46"/>
      <c r="U265" s="28"/>
      <c r="V265" s="28"/>
      <c r="W265" s="28"/>
      <c r="X265" s="28"/>
      <c r="Y265" s="28"/>
    </row>
    <row r="266" spans="2:25" s="43" customFormat="1">
      <c r="B266" s="44"/>
      <c r="C266" s="45"/>
      <c r="D266" s="45"/>
      <c r="E266" s="45"/>
      <c r="F266" s="45"/>
      <c r="G266" s="45"/>
      <c r="H266" s="45"/>
      <c r="I266" s="46"/>
      <c r="J266" s="46"/>
      <c r="K266" s="46"/>
      <c r="U266" s="28"/>
      <c r="V266" s="28"/>
      <c r="W266" s="28"/>
      <c r="X266" s="28"/>
      <c r="Y266" s="28"/>
    </row>
    <row r="267" spans="2:25" s="43" customFormat="1">
      <c r="B267" s="44"/>
      <c r="C267" s="45"/>
      <c r="D267" s="45"/>
      <c r="E267" s="45"/>
      <c r="F267" s="45"/>
      <c r="G267" s="45"/>
      <c r="H267" s="45"/>
      <c r="I267" s="46"/>
      <c r="J267" s="46"/>
      <c r="K267" s="46"/>
      <c r="U267" s="28"/>
      <c r="V267" s="28"/>
      <c r="W267" s="28"/>
      <c r="X267" s="28"/>
      <c r="Y267" s="28"/>
    </row>
    <row r="268" spans="2:25" s="43" customFormat="1">
      <c r="B268" s="44"/>
      <c r="C268" s="45"/>
      <c r="D268" s="45"/>
      <c r="E268" s="45"/>
      <c r="F268" s="45"/>
      <c r="G268" s="45"/>
      <c r="H268" s="45"/>
      <c r="I268" s="46"/>
      <c r="J268" s="46"/>
      <c r="K268" s="46"/>
      <c r="U268" s="28"/>
      <c r="V268" s="28"/>
      <c r="W268" s="28"/>
      <c r="X268" s="28"/>
      <c r="Y268" s="28"/>
    </row>
    <row r="269" spans="2:25" s="43" customFormat="1">
      <c r="B269" s="44"/>
      <c r="C269" s="45"/>
      <c r="D269" s="45"/>
      <c r="E269" s="45"/>
      <c r="F269" s="45"/>
      <c r="G269" s="45"/>
      <c r="H269" s="45"/>
      <c r="I269" s="46"/>
      <c r="J269" s="46"/>
      <c r="K269" s="46"/>
      <c r="U269" s="28"/>
      <c r="V269" s="28"/>
      <c r="W269" s="28"/>
      <c r="X269" s="28"/>
      <c r="Y269" s="28"/>
    </row>
    <row r="270" spans="2:25" s="43" customFormat="1">
      <c r="B270" s="44"/>
      <c r="C270" s="45"/>
      <c r="D270" s="45"/>
      <c r="E270" s="45"/>
      <c r="F270" s="45"/>
      <c r="G270" s="45"/>
      <c r="H270" s="45"/>
      <c r="I270" s="46"/>
      <c r="J270" s="46"/>
      <c r="K270" s="46"/>
      <c r="U270" s="28"/>
      <c r="V270" s="28"/>
      <c r="W270" s="28"/>
      <c r="X270" s="28"/>
      <c r="Y270" s="28"/>
    </row>
    <row r="271" spans="2:25" s="43" customFormat="1">
      <c r="B271" s="44"/>
      <c r="C271" s="45"/>
      <c r="D271" s="45"/>
      <c r="E271" s="45"/>
      <c r="F271" s="45"/>
      <c r="G271" s="45"/>
      <c r="H271" s="45"/>
      <c r="I271" s="46"/>
      <c r="J271" s="46"/>
      <c r="K271" s="46"/>
      <c r="U271" s="28"/>
      <c r="V271" s="28"/>
      <c r="W271" s="28"/>
      <c r="X271" s="28"/>
      <c r="Y271" s="28"/>
    </row>
    <row r="272" spans="2:25" s="43" customFormat="1">
      <c r="B272" s="44"/>
      <c r="C272" s="45"/>
      <c r="D272" s="45"/>
      <c r="E272" s="45"/>
      <c r="F272" s="45"/>
      <c r="G272" s="45"/>
      <c r="H272" s="45"/>
      <c r="I272" s="46"/>
      <c r="J272" s="46"/>
      <c r="K272" s="46"/>
      <c r="U272" s="28"/>
      <c r="V272" s="28"/>
      <c r="W272" s="28"/>
      <c r="X272" s="28"/>
      <c r="Y272" s="28"/>
    </row>
    <row r="273" spans="2:25" s="43" customFormat="1">
      <c r="B273" s="44"/>
      <c r="C273" s="45"/>
      <c r="D273" s="45"/>
      <c r="E273" s="45"/>
      <c r="F273" s="45"/>
      <c r="G273" s="45"/>
      <c r="H273" s="45"/>
      <c r="I273" s="46"/>
      <c r="J273" s="46"/>
      <c r="K273" s="46"/>
      <c r="U273" s="28"/>
      <c r="V273" s="28"/>
      <c r="W273" s="28"/>
      <c r="X273" s="28"/>
      <c r="Y273" s="28"/>
    </row>
    <row r="274" spans="2:25" s="43" customFormat="1">
      <c r="B274" s="44"/>
      <c r="C274" s="45"/>
      <c r="D274" s="45"/>
      <c r="E274" s="45"/>
      <c r="F274" s="45"/>
      <c r="G274" s="45"/>
      <c r="H274" s="45"/>
      <c r="I274" s="46"/>
      <c r="J274" s="46"/>
      <c r="K274" s="46"/>
      <c r="U274" s="28"/>
      <c r="V274" s="28"/>
      <c r="W274" s="28"/>
      <c r="X274" s="28"/>
      <c r="Y274" s="28"/>
    </row>
    <row r="275" spans="2:25" s="43" customFormat="1">
      <c r="B275" s="44"/>
      <c r="C275" s="45"/>
      <c r="D275" s="45"/>
      <c r="E275" s="45"/>
      <c r="F275" s="45"/>
      <c r="G275" s="45"/>
      <c r="H275" s="45"/>
      <c r="I275" s="46"/>
      <c r="J275" s="46"/>
      <c r="K275" s="46"/>
      <c r="U275" s="28"/>
      <c r="V275" s="28"/>
      <c r="W275" s="28"/>
      <c r="X275" s="28"/>
      <c r="Y275" s="28"/>
    </row>
    <row r="276" spans="2:25" s="43" customFormat="1">
      <c r="B276" s="44"/>
      <c r="C276" s="45"/>
      <c r="D276" s="45"/>
      <c r="E276" s="45"/>
      <c r="F276" s="45"/>
      <c r="G276" s="45"/>
      <c r="H276" s="45"/>
      <c r="I276" s="46"/>
      <c r="J276" s="46"/>
      <c r="K276" s="46"/>
      <c r="U276" s="28"/>
      <c r="V276" s="28"/>
      <c r="W276" s="28"/>
      <c r="X276" s="28"/>
      <c r="Y276" s="28"/>
    </row>
    <row r="277" spans="2:25" s="43" customFormat="1">
      <c r="B277" s="44"/>
      <c r="C277" s="45"/>
      <c r="D277" s="45"/>
      <c r="E277" s="45"/>
      <c r="F277" s="45"/>
      <c r="G277" s="45"/>
      <c r="H277" s="45"/>
      <c r="I277" s="46"/>
      <c r="J277" s="46"/>
      <c r="K277" s="46"/>
      <c r="U277" s="28"/>
      <c r="V277" s="28"/>
      <c r="W277" s="28"/>
      <c r="X277" s="28"/>
      <c r="Y277" s="28"/>
    </row>
    <row r="278" spans="2:25" s="43" customFormat="1">
      <c r="B278" s="44"/>
      <c r="C278" s="45"/>
      <c r="D278" s="45"/>
      <c r="E278" s="45"/>
      <c r="F278" s="45"/>
      <c r="G278" s="45"/>
      <c r="H278" s="45"/>
      <c r="I278" s="46"/>
      <c r="J278" s="46"/>
      <c r="K278" s="46"/>
      <c r="U278" s="28"/>
      <c r="V278" s="28"/>
      <c r="W278" s="28"/>
      <c r="X278" s="28"/>
      <c r="Y278" s="28"/>
    </row>
    <row r="279" spans="2:25" s="43" customFormat="1">
      <c r="B279" s="44"/>
      <c r="C279" s="45"/>
      <c r="D279" s="45"/>
      <c r="E279" s="45"/>
      <c r="F279" s="45"/>
      <c r="G279" s="45"/>
      <c r="H279" s="45"/>
      <c r="I279" s="46"/>
      <c r="J279" s="46"/>
      <c r="K279" s="46"/>
      <c r="U279" s="28"/>
      <c r="V279" s="28"/>
      <c r="W279" s="28"/>
      <c r="X279" s="28"/>
      <c r="Y279" s="28"/>
    </row>
    <row r="280" spans="2:25" s="43" customFormat="1">
      <c r="B280" s="44"/>
      <c r="C280" s="45"/>
      <c r="D280" s="45"/>
      <c r="E280" s="45"/>
      <c r="F280" s="45"/>
      <c r="G280" s="45"/>
      <c r="H280" s="45"/>
      <c r="I280" s="46"/>
      <c r="J280" s="46"/>
      <c r="K280" s="46"/>
      <c r="U280" s="28"/>
      <c r="V280" s="28"/>
      <c r="W280" s="28"/>
      <c r="X280" s="28"/>
      <c r="Y280" s="28"/>
    </row>
    <row r="281" spans="2:25" s="43" customFormat="1">
      <c r="B281" s="44"/>
      <c r="C281" s="45"/>
      <c r="D281" s="45"/>
      <c r="E281" s="45"/>
      <c r="F281" s="45"/>
      <c r="G281" s="45"/>
      <c r="H281" s="45"/>
      <c r="I281" s="46"/>
      <c r="J281" s="46"/>
      <c r="K281" s="46"/>
      <c r="U281" s="28"/>
      <c r="V281" s="28"/>
      <c r="W281" s="28"/>
      <c r="X281" s="28"/>
      <c r="Y281" s="28"/>
    </row>
    <row r="282" spans="2:25" s="43" customFormat="1">
      <c r="B282" s="44"/>
      <c r="C282" s="45"/>
      <c r="D282" s="45"/>
      <c r="E282" s="45"/>
      <c r="F282" s="45"/>
      <c r="G282" s="45"/>
      <c r="H282" s="45"/>
      <c r="I282" s="46"/>
      <c r="J282" s="46"/>
      <c r="K282" s="46"/>
      <c r="U282" s="28"/>
      <c r="V282" s="28"/>
      <c r="W282" s="28"/>
      <c r="X282" s="28"/>
      <c r="Y282" s="28"/>
    </row>
    <row r="283" spans="2:25" s="43" customFormat="1">
      <c r="B283" s="44"/>
      <c r="C283" s="45"/>
      <c r="D283" s="45"/>
      <c r="E283" s="45"/>
      <c r="F283" s="45"/>
      <c r="G283" s="45"/>
      <c r="H283" s="45"/>
      <c r="I283" s="46"/>
      <c r="J283" s="46"/>
      <c r="K283" s="46"/>
      <c r="U283" s="28"/>
      <c r="V283" s="28"/>
      <c r="W283" s="28"/>
      <c r="X283" s="28"/>
      <c r="Y283" s="28"/>
    </row>
    <row r="284" spans="2:25" s="43" customFormat="1">
      <c r="B284" s="44"/>
      <c r="C284" s="45"/>
      <c r="D284" s="45"/>
      <c r="E284" s="45"/>
      <c r="F284" s="45"/>
      <c r="G284" s="45"/>
      <c r="H284" s="45"/>
      <c r="I284" s="46"/>
      <c r="J284" s="46"/>
      <c r="K284" s="46"/>
      <c r="U284" s="28"/>
      <c r="V284" s="28"/>
      <c r="W284" s="28"/>
      <c r="X284" s="28"/>
      <c r="Y284" s="28"/>
    </row>
    <row r="285" spans="2:25" s="43" customFormat="1">
      <c r="B285" s="44"/>
      <c r="C285" s="45"/>
      <c r="D285" s="45"/>
      <c r="E285" s="45"/>
      <c r="F285" s="45"/>
      <c r="G285" s="45"/>
      <c r="H285" s="45"/>
      <c r="I285" s="46"/>
      <c r="J285" s="46"/>
      <c r="K285" s="46"/>
      <c r="U285" s="28"/>
      <c r="V285" s="28"/>
      <c r="W285" s="28"/>
      <c r="X285" s="28"/>
      <c r="Y285" s="28"/>
    </row>
    <row r="286" spans="2:25" s="43" customFormat="1">
      <c r="B286" s="44"/>
      <c r="C286" s="45"/>
      <c r="D286" s="45"/>
      <c r="E286" s="45"/>
      <c r="F286" s="45"/>
      <c r="G286" s="45"/>
      <c r="H286" s="45"/>
      <c r="I286" s="46"/>
      <c r="J286" s="46"/>
      <c r="K286" s="46"/>
      <c r="U286" s="28"/>
      <c r="V286" s="28"/>
      <c r="W286" s="28"/>
      <c r="X286" s="28"/>
      <c r="Y286" s="28"/>
    </row>
    <row r="287" spans="2:25" s="43" customFormat="1">
      <c r="B287" s="44"/>
      <c r="C287" s="45"/>
      <c r="D287" s="45"/>
      <c r="E287" s="45"/>
      <c r="F287" s="45"/>
      <c r="G287" s="45"/>
      <c r="H287" s="45"/>
      <c r="I287" s="46"/>
      <c r="J287" s="46"/>
      <c r="K287" s="46"/>
      <c r="U287" s="28"/>
      <c r="V287" s="28"/>
      <c r="W287" s="28"/>
      <c r="X287" s="28"/>
      <c r="Y287" s="28"/>
    </row>
    <row r="288" spans="2:25" s="43" customFormat="1">
      <c r="B288" s="44"/>
      <c r="C288" s="45"/>
      <c r="D288" s="45"/>
      <c r="E288" s="45"/>
      <c r="F288" s="45"/>
      <c r="G288" s="45"/>
      <c r="H288" s="45"/>
      <c r="I288" s="46"/>
      <c r="J288" s="46"/>
      <c r="K288" s="46"/>
      <c r="U288" s="28"/>
      <c r="V288" s="28"/>
      <c r="W288" s="28"/>
      <c r="X288" s="28"/>
      <c r="Y288" s="28"/>
    </row>
    <row r="289" spans="2:25" s="43" customFormat="1">
      <c r="B289" s="44"/>
      <c r="C289" s="45"/>
      <c r="D289" s="45"/>
      <c r="E289" s="45"/>
      <c r="F289" s="45"/>
      <c r="G289" s="45"/>
      <c r="H289" s="45"/>
      <c r="I289" s="46"/>
      <c r="J289" s="46"/>
      <c r="K289" s="46"/>
      <c r="U289" s="28"/>
      <c r="V289" s="28"/>
      <c r="W289" s="28"/>
      <c r="X289" s="28"/>
      <c r="Y289" s="28"/>
    </row>
    <row r="290" spans="2:25" s="43" customFormat="1">
      <c r="B290" s="44"/>
      <c r="C290" s="45"/>
      <c r="D290" s="45"/>
      <c r="E290" s="45"/>
      <c r="F290" s="45"/>
      <c r="G290" s="45"/>
      <c r="H290" s="45"/>
      <c r="I290" s="46"/>
      <c r="J290" s="46"/>
      <c r="K290" s="46"/>
      <c r="U290" s="28"/>
      <c r="V290" s="28"/>
      <c r="W290" s="28"/>
      <c r="X290" s="28"/>
      <c r="Y290" s="28"/>
    </row>
    <row r="291" spans="2:25">
      <c r="P291" s="1"/>
    </row>
    <row r="292" spans="2:25">
      <c r="P292" s="1"/>
    </row>
    <row r="293" spans="2:25">
      <c r="P293" s="1"/>
    </row>
    <row r="294" spans="2:25">
      <c r="P294" s="1"/>
    </row>
    <row r="295" spans="2:25">
      <c r="P295" s="1"/>
    </row>
    <row r="296" spans="2:25">
      <c r="P296" s="1"/>
    </row>
    <row r="297" spans="2:25">
      <c r="P297" s="1"/>
    </row>
    <row r="298" spans="2:25">
      <c r="P298" s="1"/>
    </row>
    <row r="299" spans="2:25">
      <c r="P299" s="1"/>
    </row>
    <row r="300" spans="2:25">
      <c r="P300" s="1"/>
    </row>
    <row r="301" spans="2:25">
      <c r="P301" s="1"/>
    </row>
    <row r="302" spans="2:25">
      <c r="P302" s="1"/>
    </row>
    <row r="303" spans="2:25">
      <c r="P303" s="1"/>
    </row>
    <row r="304" spans="2:25">
      <c r="P304" s="1"/>
    </row>
    <row r="305" spans="16:16">
      <c r="P305" s="1"/>
    </row>
    <row r="306" spans="16:16">
      <c r="P306" s="1"/>
    </row>
  </sheetData>
  <mergeCells count="105">
    <mergeCell ref="B19:E19"/>
    <mergeCell ref="B20:E20"/>
    <mergeCell ref="B21:E21"/>
    <mergeCell ref="B102:C102"/>
    <mergeCell ref="B91:C91"/>
    <mergeCell ref="B93:C93"/>
    <mergeCell ref="B94:C94"/>
    <mergeCell ref="B96:C96"/>
    <mergeCell ref="B97:C97"/>
    <mergeCell ref="B98:C98"/>
    <mergeCell ref="B22:E22"/>
    <mergeCell ref="B23:E23"/>
    <mergeCell ref="B34:E34"/>
    <mergeCell ref="B35:E35"/>
    <mergeCell ref="B38:E38"/>
    <mergeCell ref="B37:E37"/>
    <mergeCell ref="B25:E25"/>
    <mergeCell ref="B26:E26"/>
    <mergeCell ref="B27:E27"/>
    <mergeCell ref="B28:E28"/>
    <mergeCell ref="B39:E39"/>
    <mergeCell ref="B6:E6"/>
    <mergeCell ref="B8:E8"/>
    <mergeCell ref="B9:E9"/>
    <mergeCell ref="B10:E10"/>
    <mergeCell ref="B11:E11"/>
    <mergeCell ref="B12:E12"/>
    <mergeCell ref="B13:E13"/>
    <mergeCell ref="B14:E14"/>
    <mergeCell ref="B15:E15"/>
    <mergeCell ref="F134:F135"/>
    <mergeCell ref="B90:C90"/>
    <mergeCell ref="D90:E90"/>
    <mergeCell ref="B89:C89"/>
    <mergeCell ref="D87:E87"/>
    <mergeCell ref="D88:E88"/>
    <mergeCell ref="D89:E89"/>
    <mergeCell ref="B88:C88"/>
    <mergeCell ref="E123:E124"/>
    <mergeCell ref="F84:I84"/>
    <mergeCell ref="B104:C104"/>
    <mergeCell ref="B105:C105"/>
    <mergeCell ref="J145:J146"/>
    <mergeCell ref="B113:B114"/>
    <mergeCell ref="D113:D114"/>
    <mergeCell ref="E113:E114"/>
    <mergeCell ref="F113:F114"/>
    <mergeCell ref="G113:G114"/>
    <mergeCell ref="H113:H114"/>
    <mergeCell ref="D123:D124"/>
    <mergeCell ref="B123:B124"/>
    <mergeCell ref="F123:F124"/>
    <mergeCell ref="G123:G124"/>
    <mergeCell ref="H123:H124"/>
    <mergeCell ref="H134:H135"/>
    <mergeCell ref="I134:I135"/>
    <mergeCell ref="B145:B146"/>
    <mergeCell ref="D145:D146"/>
    <mergeCell ref="E145:E146"/>
    <mergeCell ref="F145:F146"/>
    <mergeCell ref="G145:G146"/>
    <mergeCell ref="H145:H146"/>
    <mergeCell ref="I145:I146"/>
    <mergeCell ref="L53:N54"/>
    <mergeCell ref="O53:T54"/>
    <mergeCell ref="I123:I124"/>
    <mergeCell ref="B134:B135"/>
    <mergeCell ref="D134:D135"/>
    <mergeCell ref="E134:E135"/>
    <mergeCell ref="B84:E84"/>
    <mergeCell ref="B85:C85"/>
    <mergeCell ref="D85:E85"/>
    <mergeCell ref="B87:C87"/>
    <mergeCell ref="D105:E105"/>
    <mergeCell ref="B92:C92"/>
    <mergeCell ref="B95:C95"/>
    <mergeCell ref="B103:C103"/>
    <mergeCell ref="B99:C99"/>
    <mergeCell ref="B100:C100"/>
    <mergeCell ref="B101:C101"/>
    <mergeCell ref="G134:G135"/>
    <mergeCell ref="O74:T75"/>
    <mergeCell ref="O76:T77"/>
    <mergeCell ref="O78:T79"/>
    <mergeCell ref="O68:T69"/>
    <mergeCell ref="O70:T71"/>
    <mergeCell ref="O72:T73"/>
    <mergeCell ref="O64:T65"/>
    <mergeCell ref="O56:T57"/>
    <mergeCell ref="N56:N57"/>
    <mergeCell ref="O58:T59"/>
    <mergeCell ref="O60:T61"/>
    <mergeCell ref="O62:T63"/>
    <mergeCell ref="O66:T67"/>
    <mergeCell ref="N62:N63"/>
    <mergeCell ref="N68:N69"/>
    <mergeCell ref="N76:N79"/>
    <mergeCell ref="N74:N75"/>
    <mergeCell ref="L56:M57"/>
    <mergeCell ref="L62:M63"/>
    <mergeCell ref="L68:M69"/>
    <mergeCell ref="L74:M75"/>
    <mergeCell ref="N58:N61"/>
    <mergeCell ref="N64:N67"/>
    <mergeCell ref="N70:N73"/>
  </mergeCells>
  <phoneticPr fontId="10" type="noConversion"/>
  <pageMargins left="0.25" right="0.25" top="0.75" bottom="0.75" header="0.3" footer="0.3"/>
  <pageSetup paperSize="9" scale="10" orientation="portrait" horizontalDpi="4294967292" verticalDpi="4294967292"/>
  <headerFooter>
    <oddHeader>&amp;CTable 4.1</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5" tint="0.39997558519241921"/>
    <outlinePr summaryBelow="0"/>
    <pageSetUpPr autoPageBreaks="0" fitToPage="1"/>
  </sheetPr>
  <dimension ref="A1:AG117"/>
  <sheetViews>
    <sheetView showGridLines="0" topLeftCell="A46" workbookViewId="0">
      <selection activeCell="B30" sqref="B30"/>
    </sheetView>
  </sheetViews>
  <sheetFormatPr defaultColWidth="11" defaultRowHeight="15.75" outlineLevelRow="1"/>
  <cols>
    <col min="1" max="1" width="1.875" customWidth="1"/>
    <col min="2" max="3" width="54.5" customWidth="1"/>
    <col min="4" max="4" width="54.375" customWidth="1"/>
    <col min="5" max="5" width="54.5" style="15" customWidth="1"/>
    <col min="6" max="33" width="10.875" style="15"/>
  </cols>
  <sheetData>
    <row r="1" spans="1:33" s="15" customFormat="1"/>
    <row r="2" spans="1:33" s="14" customFormat="1" ht="23.25">
      <c r="A2" s="389"/>
      <c r="B2" s="432" t="s">
        <v>291</v>
      </c>
      <c r="C2" s="389"/>
      <c r="D2" s="389"/>
      <c r="E2" s="389"/>
      <c r="F2" s="389"/>
      <c r="G2" s="389"/>
      <c r="H2" s="389"/>
      <c r="I2" s="389"/>
      <c r="J2" s="389"/>
      <c r="K2" s="389"/>
      <c r="L2" s="389"/>
      <c r="M2" s="389"/>
      <c r="N2" s="389"/>
      <c r="O2" s="389"/>
      <c r="P2" s="389"/>
      <c r="Q2" s="389"/>
      <c r="R2" s="389"/>
      <c r="S2" s="389"/>
      <c r="T2" s="389"/>
      <c r="U2" s="389"/>
      <c r="V2" s="389"/>
      <c r="W2" s="389"/>
      <c r="X2" s="389"/>
      <c r="Y2" s="389"/>
      <c r="Z2" s="389"/>
      <c r="AA2" s="389"/>
      <c r="AB2" s="389"/>
      <c r="AC2" s="389"/>
      <c r="AD2" s="389"/>
      <c r="AE2" s="389"/>
      <c r="AF2" s="389"/>
      <c r="AG2" s="389"/>
    </row>
    <row r="3" spans="1:33" s="15" customFormat="1"/>
    <row r="4" spans="1:33" s="15" customFormat="1" ht="18.95" customHeight="1">
      <c r="B4" s="38" t="s">
        <v>898</v>
      </c>
    </row>
    <row r="5" spans="1:33" s="15" customFormat="1" ht="16.5" outlineLevel="1" thickBot="1"/>
    <row r="6" spans="1:33" s="5" customFormat="1" ht="15.95" customHeight="1" outlineLevel="1">
      <c r="A6" s="14"/>
      <c r="B6" s="1052" t="s">
        <v>691</v>
      </c>
      <c r="C6" s="1054" t="s">
        <v>813</v>
      </c>
      <c r="D6" s="1047" t="s">
        <v>821</v>
      </c>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row>
    <row r="7" spans="1:33" s="5" customFormat="1" ht="16.5" outlineLevel="1" thickBot="1">
      <c r="A7" s="14"/>
      <c r="B7" s="1053"/>
      <c r="C7" s="1055"/>
      <c r="D7" s="1048"/>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row>
    <row r="8" spans="1:33" outlineLevel="1">
      <c r="B8" s="1049"/>
      <c r="C8" s="1050"/>
      <c r="D8" s="1051"/>
    </row>
    <row r="9" spans="1:33" s="15" customFormat="1" ht="30" customHeight="1" outlineLevel="1">
      <c r="B9" s="198" t="s">
        <v>623</v>
      </c>
      <c r="C9" s="434" t="s">
        <v>1058</v>
      </c>
      <c r="D9" s="435" t="s">
        <v>1249</v>
      </c>
    </row>
    <row r="10" spans="1:33" s="15" customFormat="1" ht="30" customHeight="1" outlineLevel="1">
      <c r="B10" s="199" t="s">
        <v>624</v>
      </c>
      <c r="C10" s="436" t="s">
        <v>1059</v>
      </c>
      <c r="D10" s="437" t="s">
        <v>1250</v>
      </c>
    </row>
    <row r="11" spans="1:33" s="15" customFormat="1" ht="30" customHeight="1" outlineLevel="1">
      <c r="B11" s="460" t="s">
        <v>1053</v>
      </c>
      <c r="C11" s="438">
        <v>2013</v>
      </c>
      <c r="D11" s="437" t="s">
        <v>1078</v>
      </c>
    </row>
    <row r="12" spans="1:33" s="15" customFormat="1" ht="30" customHeight="1" outlineLevel="1">
      <c r="B12" s="199" t="s">
        <v>718</v>
      </c>
      <c r="C12" s="436" t="s">
        <v>693</v>
      </c>
      <c r="D12" s="749" t="s">
        <v>1251</v>
      </c>
    </row>
    <row r="13" spans="1:33" s="15" customFormat="1" ht="30" customHeight="1" outlineLevel="1">
      <c r="B13" s="199" t="s">
        <v>895</v>
      </c>
      <c r="C13" s="436" t="s">
        <v>1081</v>
      </c>
      <c r="D13" s="437" t="s">
        <v>1080</v>
      </c>
    </row>
    <row r="14" spans="1:33" s="15" customFormat="1" ht="30" customHeight="1" outlineLevel="1">
      <c r="B14" s="199" t="s">
        <v>896</v>
      </c>
      <c r="C14" s="777">
        <v>3079071</v>
      </c>
      <c r="D14" s="437" t="s">
        <v>1079</v>
      </c>
    </row>
    <row r="15" spans="1:33" s="15" customFormat="1" ht="30" customHeight="1" outlineLevel="1">
      <c r="B15" s="199" t="s">
        <v>897</v>
      </c>
      <c r="C15" s="777">
        <v>79384000000</v>
      </c>
      <c r="D15" s="437" t="s">
        <v>1082</v>
      </c>
    </row>
    <row r="16" spans="1:33" s="15" customFormat="1" ht="30" customHeight="1" outlineLevel="1">
      <c r="B16" s="199" t="s">
        <v>720</v>
      </c>
      <c r="C16" s="436" t="s">
        <v>698</v>
      </c>
      <c r="D16" s="437" t="s">
        <v>1084</v>
      </c>
    </row>
    <row r="17" spans="1:33" s="15" customFormat="1" ht="30" customHeight="1" outlineLevel="1">
      <c r="B17" s="199" t="s">
        <v>719</v>
      </c>
      <c r="C17" s="436" t="s">
        <v>713</v>
      </c>
      <c r="D17" s="437" t="s">
        <v>1083</v>
      </c>
    </row>
    <row r="18" spans="1:33" s="15" customFormat="1" ht="30" customHeight="1" outlineLevel="1" thickBot="1">
      <c r="A18" s="16"/>
      <c r="B18" s="439" t="s">
        <v>626</v>
      </c>
      <c r="C18" s="439" t="s">
        <v>1309</v>
      </c>
      <c r="D18" s="440" t="s">
        <v>1279</v>
      </c>
    </row>
    <row r="19" spans="1:33" s="15" customFormat="1"/>
    <row r="20" spans="1:33" s="15" customFormat="1" ht="18.95" customHeight="1">
      <c r="B20" s="441" t="s">
        <v>846</v>
      </c>
    </row>
    <row r="21" spans="1:33" s="15" customFormat="1" ht="16.5" outlineLevel="1" thickBot="1"/>
    <row r="22" spans="1:33" s="5" customFormat="1" ht="15.95" customHeight="1" outlineLevel="1">
      <c r="A22" s="14"/>
      <c r="B22" s="1052" t="s">
        <v>812</v>
      </c>
      <c r="C22" s="1056" t="s">
        <v>813</v>
      </c>
      <c r="D22" s="1057"/>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row>
    <row r="23" spans="1:33" s="5" customFormat="1" ht="16.5" outlineLevel="1" thickBot="1">
      <c r="A23" s="14"/>
      <c r="B23" s="1053"/>
      <c r="C23" s="1058"/>
      <c r="D23" s="1059"/>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row>
    <row r="24" spans="1:33" outlineLevel="1">
      <c r="B24" s="1049"/>
      <c r="C24" s="1050"/>
      <c r="D24" s="1051"/>
    </row>
    <row r="25" spans="1:33" s="413" customFormat="1" ht="30" customHeight="1" outlineLevel="1">
      <c r="B25" s="427" t="s">
        <v>807</v>
      </c>
      <c r="C25" s="1065" t="s">
        <v>174</v>
      </c>
      <c r="D25" s="1066"/>
    </row>
    <row r="26" spans="1:33" s="413" customFormat="1" ht="30" customHeight="1" outlineLevel="1">
      <c r="B26" s="427" t="s">
        <v>808</v>
      </c>
      <c r="C26" s="1067" t="s">
        <v>312</v>
      </c>
      <c r="D26" s="1068"/>
    </row>
    <row r="27" spans="1:33" s="413" customFormat="1" ht="30" customHeight="1" outlineLevel="1">
      <c r="B27" s="458" t="s">
        <v>809</v>
      </c>
      <c r="C27" s="1065" t="s">
        <v>820</v>
      </c>
      <c r="D27" s="1066"/>
    </row>
    <row r="28" spans="1:33" s="413" customFormat="1" ht="30" customHeight="1" outlineLevel="1">
      <c r="B28" s="458" t="s">
        <v>894</v>
      </c>
      <c r="C28" s="1069" t="s">
        <v>1143</v>
      </c>
      <c r="D28" s="1070"/>
    </row>
    <row r="29" spans="1:33" s="413" customFormat="1" ht="30" customHeight="1" outlineLevel="1">
      <c r="B29" s="427" t="s">
        <v>810</v>
      </c>
      <c r="C29" s="1069" t="s">
        <v>1141</v>
      </c>
      <c r="D29" s="1070"/>
    </row>
    <row r="30" spans="1:33" s="413" customFormat="1" ht="30" customHeight="1" outlineLevel="1">
      <c r="B30" s="427" t="s">
        <v>805</v>
      </c>
      <c r="C30" s="1069" t="s">
        <v>1299</v>
      </c>
      <c r="D30" s="1070"/>
    </row>
    <row r="31" spans="1:33" s="413" customFormat="1" ht="30" customHeight="1" outlineLevel="1">
      <c r="B31" s="427" t="s">
        <v>811</v>
      </c>
      <c r="C31" s="1065" t="s">
        <v>1142</v>
      </c>
      <c r="D31" s="1066"/>
    </row>
    <row r="32" spans="1:33" s="413" customFormat="1" ht="30" customHeight="1" outlineLevel="1">
      <c r="B32" s="461" t="str">
        <f>IF(C31="Yes - audited","Name of auditor",IF(C31="Yes - verified","Name of verifier",""))</f>
        <v/>
      </c>
      <c r="C32" s="1065"/>
      <c r="D32" s="1066"/>
    </row>
    <row r="33" spans="1:33" s="413" customFormat="1" ht="30" customHeight="1" outlineLevel="1">
      <c r="B33" s="462" t="str">
        <f>IF(C31="Yes - audited","Year of audit",IF(C31="Yes - verified","Year of verification",""))</f>
        <v/>
      </c>
      <c r="C33" s="1065"/>
      <c r="D33" s="1066"/>
    </row>
    <row r="34" spans="1:33" s="413" customFormat="1" ht="30" customHeight="1" outlineLevel="1" thickBot="1">
      <c r="B34" s="427" t="s">
        <v>889</v>
      </c>
      <c r="C34" s="1071" t="s">
        <v>1085</v>
      </c>
      <c r="D34" s="1072"/>
    </row>
    <row r="35" spans="1:33" s="15" customFormat="1"/>
    <row r="36" spans="1:33" s="15" customFormat="1" ht="18.95" customHeight="1">
      <c r="B36" s="433" t="s">
        <v>893</v>
      </c>
    </row>
    <row r="37" spans="1:33" s="15" customFormat="1" ht="16.5" outlineLevel="1" thickBot="1"/>
    <row r="38" spans="1:33" s="5" customFormat="1" ht="15.95" customHeight="1" outlineLevel="1">
      <c r="A38" s="14"/>
      <c r="B38" s="1052"/>
      <c r="C38" s="1060" t="s">
        <v>813</v>
      </c>
      <c r="D38" s="15"/>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row>
    <row r="39" spans="1:33" s="5" customFormat="1" ht="16.5" outlineLevel="1" thickBot="1">
      <c r="A39" s="14"/>
      <c r="B39" s="1053"/>
      <c r="C39" s="1061"/>
      <c r="D39" s="15"/>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row>
    <row r="40" spans="1:33" outlineLevel="1">
      <c r="B40" s="379"/>
      <c r="C40" s="380"/>
      <c r="D40" s="15"/>
    </row>
    <row r="41" spans="1:33" s="413" customFormat="1" ht="30" customHeight="1" outlineLevel="1">
      <c r="B41" s="427" t="s">
        <v>861</v>
      </c>
      <c r="C41" s="778" t="s">
        <v>1308</v>
      </c>
    </row>
    <row r="42" spans="1:33" s="413" customFormat="1" ht="30" customHeight="1" outlineLevel="1">
      <c r="B42" s="427" t="s">
        <v>862</v>
      </c>
      <c r="C42" s="463" t="s">
        <v>1086</v>
      </c>
    </row>
    <row r="43" spans="1:33" s="413" customFormat="1" ht="30" customHeight="1" outlineLevel="1">
      <c r="B43" s="427" t="s">
        <v>859</v>
      </c>
      <c r="C43" s="463" t="s">
        <v>1298</v>
      </c>
    </row>
    <row r="44" spans="1:33" s="413" customFormat="1" ht="30" customHeight="1" outlineLevel="1">
      <c r="B44" s="462" t="s">
        <v>860</v>
      </c>
      <c r="C44" s="770">
        <v>1</v>
      </c>
    </row>
    <row r="45" spans="1:33" s="413" customFormat="1" ht="30" customHeight="1" outlineLevel="1">
      <c r="B45" s="427" t="s">
        <v>863</v>
      </c>
      <c r="C45" s="771" t="s">
        <v>1297</v>
      </c>
    </row>
    <row r="46" spans="1:33" s="413" customFormat="1" ht="30" customHeight="1" outlineLevel="1" thickBot="1">
      <c r="B46" s="427" t="s">
        <v>864</v>
      </c>
      <c r="C46" s="464" t="s">
        <v>1087</v>
      </c>
    </row>
    <row r="47" spans="1:33" s="15" customFormat="1">
      <c r="B47" s="43"/>
      <c r="C47" s="43"/>
    </row>
    <row r="48" spans="1:33" s="15" customFormat="1" ht="18.95" customHeight="1">
      <c r="B48" s="859" t="s">
        <v>1310</v>
      </c>
    </row>
    <row r="49" spans="1:33" s="413" customFormat="1" outlineLevel="1">
      <c r="B49" s="860"/>
    </row>
    <row r="50" spans="1:33" s="414" customFormat="1" ht="18.75" outlineLevel="1">
      <c r="B50" s="861" t="s">
        <v>890</v>
      </c>
    </row>
    <row r="51" spans="1:33" s="413" customFormat="1" ht="16.5" outlineLevel="1" thickBot="1">
      <c r="B51" s="415"/>
    </row>
    <row r="52" spans="1:33" s="417" customFormat="1" ht="15.95" customHeight="1" outlineLevel="1">
      <c r="A52" s="416"/>
      <c r="B52" s="1062" t="s">
        <v>845</v>
      </c>
      <c r="C52" s="1063" t="s">
        <v>835</v>
      </c>
      <c r="D52" s="1063" t="s">
        <v>836</v>
      </c>
      <c r="E52" s="1073" t="s">
        <v>837</v>
      </c>
      <c r="F52" s="416"/>
      <c r="G52" s="416"/>
      <c r="H52" s="416"/>
      <c r="I52" s="416"/>
      <c r="J52" s="416"/>
      <c r="K52" s="416"/>
      <c r="L52" s="416"/>
      <c r="M52" s="416"/>
      <c r="N52" s="416"/>
      <c r="O52" s="416"/>
      <c r="P52" s="416"/>
      <c r="Q52" s="416"/>
      <c r="R52" s="416"/>
      <c r="S52" s="416"/>
      <c r="T52" s="416"/>
      <c r="U52" s="416"/>
      <c r="V52" s="416"/>
      <c r="W52" s="416"/>
      <c r="X52" s="416"/>
      <c r="Y52" s="416"/>
      <c r="Z52" s="416"/>
      <c r="AA52" s="416"/>
      <c r="AB52" s="416"/>
      <c r="AC52" s="416"/>
      <c r="AD52" s="416"/>
      <c r="AE52" s="416"/>
      <c r="AF52" s="416"/>
      <c r="AG52" s="416"/>
    </row>
    <row r="53" spans="1:33" s="417" customFormat="1" ht="16.5" outlineLevel="1" thickBot="1">
      <c r="A53" s="416"/>
      <c r="B53" s="1053"/>
      <c r="C53" s="1055"/>
      <c r="D53" s="1064"/>
      <c r="E53" s="1074"/>
      <c r="F53" s="416"/>
      <c r="G53" s="416"/>
      <c r="H53" s="416"/>
      <c r="I53" s="416"/>
      <c r="J53" s="416"/>
      <c r="K53" s="416"/>
      <c r="L53" s="416"/>
      <c r="M53" s="416"/>
      <c r="N53" s="416"/>
      <c r="O53" s="416"/>
      <c r="P53" s="416"/>
      <c r="Q53" s="416"/>
      <c r="R53" s="416"/>
      <c r="S53" s="416"/>
      <c r="T53" s="416"/>
      <c r="U53" s="416"/>
      <c r="V53" s="416"/>
      <c r="W53" s="416"/>
      <c r="X53" s="416"/>
      <c r="Y53" s="416"/>
      <c r="Z53" s="416"/>
      <c r="AA53" s="416"/>
      <c r="AB53" s="416"/>
      <c r="AC53" s="416"/>
      <c r="AD53" s="416"/>
      <c r="AE53" s="416"/>
      <c r="AF53" s="416"/>
      <c r="AG53" s="416"/>
    </row>
    <row r="54" spans="1:33" s="418" customFormat="1" outlineLevel="1">
      <c r="B54" s="379"/>
      <c r="C54" s="459"/>
      <c r="D54" s="459"/>
      <c r="E54" s="380"/>
      <c r="F54" s="413"/>
      <c r="G54" s="413"/>
      <c r="H54" s="413"/>
      <c r="I54" s="413"/>
      <c r="J54" s="413"/>
      <c r="K54" s="413"/>
      <c r="L54" s="413"/>
      <c r="M54" s="413"/>
      <c r="N54" s="413"/>
      <c r="O54" s="413"/>
      <c r="P54" s="413"/>
      <c r="Q54" s="413"/>
      <c r="R54" s="413"/>
      <c r="S54" s="413"/>
      <c r="T54" s="413"/>
      <c r="U54" s="413"/>
      <c r="V54" s="413"/>
      <c r="W54" s="413"/>
      <c r="X54" s="413"/>
      <c r="Y54" s="413"/>
      <c r="Z54" s="413"/>
      <c r="AA54" s="413"/>
      <c r="AB54" s="413"/>
      <c r="AC54" s="413"/>
      <c r="AD54" s="413"/>
      <c r="AE54" s="413"/>
      <c r="AF54" s="413"/>
      <c r="AG54" s="413"/>
    </row>
    <row r="55" spans="1:33" s="413" customFormat="1" outlineLevel="1">
      <c r="B55" s="419" t="s">
        <v>177</v>
      </c>
      <c r="C55" s="420"/>
      <c r="D55" s="420"/>
      <c r="E55" s="412"/>
    </row>
    <row r="56" spans="1:33" s="413" customFormat="1" outlineLevel="1">
      <c r="B56" s="419"/>
      <c r="C56" s="420"/>
      <c r="D56" s="420"/>
      <c r="E56" s="412"/>
    </row>
    <row r="57" spans="1:33" s="413" customFormat="1" outlineLevel="1">
      <c r="B57" s="419"/>
      <c r="C57" s="420"/>
      <c r="D57" s="420"/>
      <c r="E57" s="412"/>
    </row>
    <row r="58" spans="1:33" s="413" customFormat="1" ht="16.5" outlineLevel="1" thickBot="1">
      <c r="B58" s="421" t="s">
        <v>838</v>
      </c>
      <c r="C58" s="422"/>
      <c r="D58" s="423"/>
      <c r="E58" s="424" t="str">
        <f>IF(SUM(E55:E57)=0,"",SUM(E55:E57))</f>
        <v/>
      </c>
    </row>
    <row r="59" spans="1:33" s="413" customFormat="1" outlineLevel="1"/>
    <row r="60" spans="1:33" s="414" customFormat="1" ht="18.75" outlineLevel="1">
      <c r="B60" s="862" t="s">
        <v>891</v>
      </c>
    </row>
    <row r="61" spans="1:33" s="413" customFormat="1" ht="16.5" outlineLevel="1" thickBot="1"/>
    <row r="62" spans="1:33" s="413" customFormat="1" ht="15" customHeight="1" outlineLevel="1">
      <c r="B62" s="1075" t="s">
        <v>839</v>
      </c>
      <c r="C62" s="1047" t="s">
        <v>837</v>
      </c>
    </row>
    <row r="63" spans="1:33" s="413" customFormat="1" ht="16.5" outlineLevel="1" thickBot="1">
      <c r="B63" s="1076"/>
      <c r="C63" s="1048"/>
    </row>
    <row r="64" spans="1:33" s="413" customFormat="1" outlineLevel="1">
      <c r="B64" s="425"/>
      <c r="C64" s="426"/>
    </row>
    <row r="65" spans="1:33" s="413" customFormat="1" outlineLevel="1">
      <c r="B65" s="773" t="s">
        <v>177</v>
      </c>
      <c r="C65" s="411"/>
    </row>
    <row r="66" spans="1:33" s="418" customFormat="1" outlineLevel="1">
      <c r="B66" s="428"/>
      <c r="C66" s="429"/>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13"/>
      <c r="AE66" s="413"/>
      <c r="AF66" s="413"/>
      <c r="AG66" s="413"/>
    </row>
    <row r="67" spans="1:33" s="413" customFormat="1" outlineLevel="1">
      <c r="B67" s="427"/>
      <c r="C67" s="411"/>
    </row>
    <row r="68" spans="1:33" s="418" customFormat="1" ht="16.5" outlineLevel="1" thickBot="1">
      <c r="B68" s="421" t="s">
        <v>838</v>
      </c>
      <c r="C68" s="424" t="str">
        <f>IF(SUM(C65:C67)=0,"",SUM(C65:C67))</f>
        <v/>
      </c>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13"/>
      <c r="AE68" s="413"/>
      <c r="AF68" s="413"/>
      <c r="AG68" s="413"/>
    </row>
    <row r="69" spans="1:33" s="413" customFormat="1" ht="16.5" outlineLevel="1" thickBot="1"/>
    <row r="70" spans="1:33" s="418" customFormat="1" outlineLevel="1">
      <c r="B70" s="1062" t="s">
        <v>840</v>
      </c>
      <c r="C70" s="1047" t="s">
        <v>837</v>
      </c>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13"/>
      <c r="AE70" s="413"/>
      <c r="AF70" s="413"/>
      <c r="AG70" s="413"/>
    </row>
    <row r="71" spans="1:33" s="418" customFormat="1" ht="16.5" outlineLevel="1" thickBot="1">
      <c r="B71" s="1053"/>
      <c r="C71" s="1048"/>
      <c r="E71" s="413"/>
      <c r="F71" s="413"/>
      <c r="G71" s="413"/>
      <c r="H71" s="413"/>
      <c r="I71" s="413"/>
      <c r="J71" s="413"/>
      <c r="K71" s="413"/>
      <c r="L71" s="413"/>
      <c r="M71" s="413"/>
      <c r="N71" s="413"/>
      <c r="O71" s="413"/>
      <c r="P71" s="413"/>
      <c r="Q71" s="413"/>
      <c r="R71" s="413"/>
      <c r="S71" s="413"/>
      <c r="T71" s="413"/>
      <c r="U71" s="413"/>
      <c r="V71" s="413"/>
      <c r="W71" s="413"/>
      <c r="X71" s="413"/>
      <c r="Y71" s="413"/>
      <c r="Z71" s="413"/>
      <c r="AA71" s="413"/>
      <c r="AB71" s="413"/>
      <c r="AC71" s="413"/>
      <c r="AD71" s="413"/>
      <c r="AE71" s="413"/>
      <c r="AF71" s="413"/>
      <c r="AG71" s="413"/>
    </row>
    <row r="72" spans="1:33" s="418" customFormat="1" outlineLevel="1">
      <c r="B72" s="425" t="s">
        <v>177</v>
      </c>
      <c r="C72" s="426"/>
      <c r="E72" s="413"/>
      <c r="F72" s="413"/>
      <c r="G72" s="413"/>
      <c r="H72" s="413"/>
      <c r="I72" s="413"/>
      <c r="J72" s="413"/>
      <c r="K72" s="413"/>
      <c r="L72" s="413"/>
      <c r="M72" s="413"/>
      <c r="N72" s="413"/>
      <c r="O72" s="413"/>
      <c r="P72" s="413"/>
      <c r="Q72" s="413"/>
      <c r="R72" s="413"/>
      <c r="S72" s="413"/>
      <c r="T72" s="413"/>
      <c r="U72" s="413"/>
      <c r="V72" s="413"/>
      <c r="W72" s="413"/>
      <c r="X72" s="413"/>
      <c r="Y72" s="413"/>
      <c r="Z72" s="413"/>
      <c r="AA72" s="413"/>
      <c r="AB72" s="413"/>
      <c r="AC72" s="413"/>
      <c r="AD72" s="413"/>
      <c r="AE72" s="413"/>
      <c r="AF72" s="413"/>
      <c r="AG72" s="413"/>
    </row>
    <row r="73" spans="1:33" s="418" customFormat="1" outlineLevel="1">
      <c r="B73" s="427"/>
      <c r="C73" s="411"/>
      <c r="E73" s="413"/>
      <c r="F73" s="413"/>
      <c r="G73" s="413"/>
      <c r="H73" s="413"/>
      <c r="I73" s="413"/>
      <c r="J73" s="413"/>
      <c r="K73" s="413"/>
      <c r="L73" s="413"/>
      <c r="M73" s="413"/>
      <c r="N73" s="413"/>
      <c r="O73" s="413"/>
      <c r="P73" s="413"/>
      <c r="Q73" s="413"/>
      <c r="R73" s="413"/>
      <c r="S73" s="413"/>
      <c r="T73" s="413"/>
      <c r="U73" s="413"/>
      <c r="V73" s="413"/>
      <c r="W73" s="413"/>
      <c r="X73" s="413"/>
      <c r="Y73" s="413"/>
      <c r="Z73" s="413"/>
      <c r="AA73" s="413"/>
      <c r="AB73" s="413"/>
      <c r="AC73" s="413"/>
      <c r="AD73" s="413"/>
      <c r="AE73" s="413"/>
      <c r="AF73" s="413"/>
      <c r="AG73" s="413"/>
    </row>
    <row r="74" spans="1:33" s="418" customFormat="1" outlineLevel="1">
      <c r="B74" s="428"/>
      <c r="C74" s="429"/>
      <c r="E74" s="413"/>
      <c r="F74" s="413"/>
      <c r="G74" s="413"/>
      <c r="H74" s="413"/>
      <c r="I74" s="413"/>
      <c r="J74" s="413"/>
      <c r="K74" s="413"/>
      <c r="L74" s="413"/>
      <c r="M74" s="413"/>
      <c r="N74" s="413"/>
      <c r="O74" s="413"/>
      <c r="P74" s="413"/>
      <c r="Q74" s="413"/>
      <c r="R74" s="413"/>
      <c r="S74" s="413"/>
      <c r="T74" s="413"/>
      <c r="U74" s="413"/>
      <c r="V74" s="413"/>
      <c r="W74" s="413"/>
      <c r="X74" s="413"/>
      <c r="Y74" s="413"/>
      <c r="Z74" s="413"/>
      <c r="AA74" s="413"/>
      <c r="AB74" s="413"/>
      <c r="AC74" s="413"/>
      <c r="AD74" s="413"/>
      <c r="AE74" s="413"/>
      <c r="AF74" s="413"/>
      <c r="AG74" s="413"/>
    </row>
    <row r="75" spans="1:33" s="418" customFormat="1" outlineLevel="1">
      <c r="B75" s="427"/>
      <c r="C75" s="411"/>
      <c r="E75" s="413"/>
      <c r="F75" s="413"/>
      <c r="G75" s="413"/>
      <c r="H75" s="413"/>
      <c r="I75" s="413"/>
      <c r="J75" s="413"/>
      <c r="K75" s="413"/>
      <c r="L75" s="413"/>
      <c r="M75" s="413"/>
      <c r="N75" s="413"/>
      <c r="O75" s="413"/>
      <c r="P75" s="413"/>
      <c r="Q75" s="413"/>
      <c r="R75" s="413"/>
      <c r="S75" s="413"/>
      <c r="T75" s="413"/>
      <c r="U75" s="413"/>
      <c r="V75" s="413"/>
      <c r="W75" s="413"/>
      <c r="X75" s="413"/>
      <c r="Y75" s="413"/>
      <c r="Z75" s="413"/>
      <c r="AA75" s="413"/>
      <c r="AB75" s="413"/>
      <c r="AC75" s="413"/>
      <c r="AD75" s="413"/>
      <c r="AE75" s="413"/>
      <c r="AF75" s="413"/>
      <c r="AG75" s="413"/>
    </row>
    <row r="76" spans="1:33" s="418" customFormat="1" ht="16.5" outlineLevel="1" thickBot="1">
      <c r="B76" s="421" t="s">
        <v>838</v>
      </c>
      <c r="C76" s="424" t="str">
        <f>IF(SUM(C73:C75)=0,"",SUM(C73:C75))</f>
        <v/>
      </c>
      <c r="E76" s="413"/>
      <c r="F76" s="413"/>
      <c r="G76" s="413"/>
      <c r="H76" s="413"/>
      <c r="I76" s="413"/>
      <c r="J76" s="413"/>
      <c r="K76" s="413"/>
      <c r="L76" s="413"/>
      <c r="M76" s="413"/>
      <c r="N76" s="413"/>
      <c r="O76" s="413"/>
      <c r="P76" s="413"/>
      <c r="Q76" s="413"/>
      <c r="R76" s="413"/>
      <c r="S76" s="413"/>
      <c r="T76" s="413"/>
      <c r="U76" s="413"/>
      <c r="V76" s="413"/>
      <c r="W76" s="413"/>
      <c r="X76" s="413"/>
      <c r="Y76" s="413"/>
      <c r="Z76" s="413"/>
      <c r="AA76" s="413"/>
      <c r="AB76" s="413"/>
      <c r="AC76" s="413"/>
      <c r="AD76" s="413"/>
      <c r="AE76" s="413"/>
      <c r="AF76" s="413"/>
      <c r="AG76" s="413"/>
    </row>
    <row r="77" spans="1:33" s="418" customFormat="1" outlineLevel="1">
      <c r="E77" s="413"/>
      <c r="F77" s="413"/>
      <c r="G77" s="413"/>
      <c r="H77" s="413"/>
      <c r="I77" s="413"/>
      <c r="J77" s="413"/>
      <c r="K77" s="413"/>
      <c r="L77" s="413"/>
      <c r="M77" s="413"/>
      <c r="N77" s="413"/>
      <c r="O77" s="413"/>
      <c r="P77" s="413"/>
      <c r="Q77" s="413"/>
      <c r="R77" s="413"/>
      <c r="S77" s="413"/>
      <c r="T77" s="413"/>
      <c r="U77" s="413"/>
      <c r="V77" s="413"/>
      <c r="W77" s="413"/>
      <c r="X77" s="413"/>
      <c r="Y77" s="413"/>
      <c r="Z77" s="413"/>
      <c r="AA77" s="413"/>
      <c r="AB77" s="413"/>
      <c r="AC77" s="413"/>
      <c r="AD77" s="413"/>
      <c r="AE77" s="413"/>
      <c r="AF77" s="413"/>
      <c r="AG77" s="413"/>
    </row>
    <row r="78" spans="1:33" s="414" customFormat="1" ht="18.75" outlineLevel="1">
      <c r="B78" s="862" t="s">
        <v>892</v>
      </c>
    </row>
    <row r="79" spans="1:33" s="418" customFormat="1" ht="16.5" outlineLevel="1" thickBot="1">
      <c r="E79" s="413"/>
      <c r="F79" s="413"/>
      <c r="G79" s="413"/>
      <c r="H79" s="413"/>
      <c r="I79" s="413"/>
      <c r="J79" s="413"/>
      <c r="K79" s="413"/>
      <c r="L79" s="413"/>
      <c r="M79" s="413"/>
      <c r="N79" s="413"/>
      <c r="O79" s="413"/>
      <c r="P79" s="413"/>
      <c r="Q79" s="413"/>
      <c r="R79" s="413"/>
      <c r="S79" s="413"/>
      <c r="T79" s="413"/>
      <c r="U79" s="413"/>
      <c r="V79" s="413"/>
      <c r="W79" s="413"/>
      <c r="X79" s="413"/>
      <c r="Y79" s="413"/>
      <c r="Z79" s="413"/>
      <c r="AA79" s="413"/>
      <c r="AB79" s="413"/>
      <c r="AC79" s="413"/>
      <c r="AD79" s="413"/>
      <c r="AE79" s="413"/>
      <c r="AF79" s="413"/>
      <c r="AG79" s="413"/>
    </row>
    <row r="80" spans="1:33" s="417" customFormat="1" ht="15.95" customHeight="1" outlineLevel="1">
      <c r="A80" s="416"/>
      <c r="B80" s="1062" t="s">
        <v>844</v>
      </c>
      <c r="C80" s="1063" t="s">
        <v>843</v>
      </c>
      <c r="D80" s="1063" t="s">
        <v>842</v>
      </c>
      <c r="E80" s="1073" t="s">
        <v>841</v>
      </c>
      <c r="F80" s="416"/>
      <c r="G80" s="416"/>
      <c r="H80" s="416"/>
      <c r="I80" s="416"/>
      <c r="J80" s="416"/>
      <c r="K80" s="416"/>
      <c r="L80" s="416"/>
      <c r="M80" s="416"/>
      <c r="N80" s="416"/>
      <c r="O80" s="416"/>
      <c r="P80" s="416"/>
      <c r="Q80" s="416"/>
      <c r="R80" s="416"/>
      <c r="S80" s="416"/>
      <c r="T80" s="416"/>
      <c r="U80" s="416"/>
      <c r="V80" s="416"/>
      <c r="W80" s="416"/>
      <c r="X80" s="416"/>
      <c r="Y80" s="416"/>
      <c r="Z80" s="416"/>
      <c r="AA80" s="416"/>
      <c r="AB80" s="416"/>
      <c r="AC80" s="416"/>
      <c r="AD80" s="416"/>
      <c r="AE80" s="416"/>
      <c r="AF80" s="416"/>
      <c r="AG80" s="416"/>
    </row>
    <row r="81" spans="1:33" s="417" customFormat="1" ht="16.5" outlineLevel="1" thickBot="1">
      <c r="A81" s="416"/>
      <c r="B81" s="1053"/>
      <c r="C81" s="1055"/>
      <c r="D81" s="1064"/>
      <c r="E81" s="1074"/>
      <c r="F81" s="416"/>
      <c r="G81" s="416"/>
      <c r="H81" s="416"/>
      <c r="I81" s="416"/>
      <c r="J81" s="416"/>
      <c r="K81" s="416"/>
      <c r="L81" s="416"/>
      <c r="M81" s="416"/>
      <c r="N81" s="416"/>
      <c r="O81" s="416"/>
      <c r="P81" s="416"/>
      <c r="Q81" s="416"/>
      <c r="R81" s="416"/>
      <c r="S81" s="416"/>
      <c r="T81" s="416"/>
      <c r="U81" s="416"/>
      <c r="V81" s="416"/>
      <c r="W81" s="416"/>
      <c r="X81" s="416"/>
      <c r="Y81" s="416"/>
      <c r="Z81" s="416"/>
      <c r="AA81" s="416"/>
      <c r="AB81" s="416"/>
      <c r="AC81" s="416"/>
      <c r="AD81" s="416"/>
      <c r="AE81" s="416"/>
      <c r="AF81" s="416"/>
      <c r="AG81" s="416"/>
    </row>
    <row r="82" spans="1:33" s="418" customFormat="1" outlineLevel="1">
      <c r="B82" s="379"/>
      <c r="C82" s="459"/>
      <c r="D82" s="459"/>
      <c r="E82" s="380"/>
      <c r="F82" s="413"/>
      <c r="G82" s="413"/>
      <c r="H82" s="413"/>
      <c r="I82" s="413"/>
      <c r="J82" s="413"/>
      <c r="K82" s="413"/>
      <c r="L82" s="413"/>
      <c r="M82" s="413"/>
      <c r="N82" s="413"/>
      <c r="O82" s="413"/>
      <c r="P82" s="413"/>
      <c r="Q82" s="413"/>
      <c r="R82" s="413"/>
      <c r="S82" s="413"/>
      <c r="T82" s="413"/>
      <c r="U82" s="413"/>
      <c r="V82" s="413"/>
      <c r="W82" s="413"/>
      <c r="X82" s="413"/>
      <c r="Y82" s="413"/>
      <c r="Z82" s="413"/>
      <c r="AA82" s="413"/>
      <c r="AB82" s="413"/>
      <c r="AC82" s="413"/>
      <c r="AD82" s="413"/>
      <c r="AE82" s="413"/>
      <c r="AF82" s="413"/>
      <c r="AG82" s="413"/>
    </row>
    <row r="83" spans="1:33" s="413" customFormat="1" outlineLevel="1">
      <c r="B83" s="427" t="s">
        <v>177</v>
      </c>
      <c r="C83" s="431"/>
      <c r="D83" s="597"/>
      <c r="E83" s="410"/>
    </row>
    <row r="84" spans="1:33" s="413" customFormat="1" outlineLevel="1">
      <c r="B84" s="427"/>
      <c r="C84" s="431"/>
      <c r="D84" s="597"/>
      <c r="E84" s="410"/>
    </row>
    <row r="85" spans="1:33" s="413" customFormat="1" outlineLevel="1">
      <c r="B85" s="427"/>
      <c r="C85" s="431"/>
      <c r="D85" s="597"/>
      <c r="E85" s="410"/>
    </row>
    <row r="86" spans="1:33" s="413" customFormat="1" ht="16.5" outlineLevel="1" thickBot="1">
      <c r="B86" s="421" t="s">
        <v>838</v>
      </c>
      <c r="C86" s="422"/>
      <c r="D86" s="423"/>
      <c r="E86" s="430"/>
    </row>
    <row r="87" spans="1:33" s="418" customFormat="1">
      <c r="E87" s="413"/>
      <c r="F87" s="413"/>
      <c r="G87" s="413"/>
      <c r="H87" s="413"/>
      <c r="I87" s="413"/>
      <c r="J87" s="413"/>
      <c r="K87" s="413"/>
      <c r="L87" s="413"/>
      <c r="M87" s="413"/>
      <c r="N87" s="413"/>
      <c r="O87" s="413"/>
      <c r="P87" s="413"/>
      <c r="Q87" s="413"/>
      <c r="R87" s="413"/>
      <c r="S87" s="413"/>
      <c r="T87" s="413"/>
      <c r="U87" s="413"/>
      <c r="V87" s="413"/>
      <c r="W87" s="413"/>
      <c r="X87" s="413"/>
      <c r="Y87" s="413"/>
      <c r="Z87" s="413"/>
      <c r="AA87" s="413"/>
      <c r="AB87" s="413"/>
      <c r="AC87" s="413"/>
      <c r="AD87" s="413"/>
      <c r="AE87" s="413"/>
      <c r="AF87" s="413"/>
      <c r="AG87" s="413"/>
    </row>
    <row r="88" spans="1:33" s="418" customFormat="1">
      <c r="C88" s="15"/>
      <c r="D88" s="15"/>
      <c r="E88" s="413"/>
      <c r="F88" s="413"/>
      <c r="G88" s="413"/>
      <c r="H88" s="413"/>
      <c r="I88" s="413"/>
      <c r="J88" s="413"/>
      <c r="K88" s="413"/>
      <c r="L88" s="413"/>
      <c r="M88" s="413"/>
      <c r="N88" s="413"/>
      <c r="O88" s="413"/>
      <c r="P88" s="413"/>
      <c r="Q88" s="413"/>
      <c r="R88" s="413"/>
      <c r="S88" s="413"/>
      <c r="T88" s="413"/>
      <c r="U88" s="413"/>
      <c r="V88" s="413"/>
      <c r="W88" s="413"/>
      <c r="X88" s="413"/>
      <c r="Y88" s="413"/>
      <c r="Z88" s="413"/>
      <c r="AA88" s="413"/>
      <c r="AB88" s="413"/>
      <c r="AC88" s="413"/>
      <c r="AD88" s="413"/>
      <c r="AE88" s="413"/>
      <c r="AF88" s="413"/>
      <c r="AG88" s="413"/>
    </row>
    <row r="89" spans="1:33" s="418" customFormat="1">
      <c r="E89" s="413"/>
      <c r="F89" s="413"/>
      <c r="G89" s="413"/>
      <c r="H89" s="413"/>
      <c r="I89" s="413"/>
      <c r="J89" s="413"/>
      <c r="K89" s="413"/>
      <c r="L89" s="413"/>
      <c r="M89" s="413"/>
      <c r="N89" s="413"/>
      <c r="O89" s="413"/>
      <c r="P89" s="413"/>
      <c r="Q89" s="413"/>
      <c r="R89" s="413"/>
      <c r="S89" s="413"/>
      <c r="T89" s="413"/>
      <c r="U89" s="413"/>
      <c r="V89" s="413"/>
      <c r="W89" s="413"/>
      <c r="X89" s="413"/>
      <c r="Y89" s="413"/>
      <c r="Z89" s="413"/>
      <c r="AA89" s="413"/>
      <c r="AB89" s="413"/>
      <c r="AC89" s="413"/>
      <c r="AD89" s="413"/>
      <c r="AE89" s="413"/>
      <c r="AF89" s="413"/>
      <c r="AG89" s="413"/>
    </row>
    <row r="90" spans="1:33" s="418" customFormat="1">
      <c r="E90" s="413"/>
      <c r="F90" s="413"/>
      <c r="G90" s="413"/>
      <c r="H90" s="413"/>
      <c r="I90" s="413"/>
      <c r="J90" s="413"/>
      <c r="K90" s="413"/>
      <c r="L90" s="413"/>
      <c r="M90" s="413"/>
      <c r="N90" s="413"/>
      <c r="O90" s="413"/>
      <c r="P90" s="413"/>
      <c r="Q90" s="413"/>
      <c r="R90" s="413"/>
      <c r="S90" s="413"/>
      <c r="T90" s="413"/>
      <c r="U90" s="413"/>
      <c r="V90" s="413"/>
      <c r="W90" s="413"/>
      <c r="X90" s="413"/>
      <c r="Y90" s="413"/>
      <c r="Z90" s="413"/>
      <c r="AA90" s="413"/>
      <c r="AB90" s="413"/>
      <c r="AC90" s="413"/>
      <c r="AD90" s="413"/>
      <c r="AE90" s="413"/>
      <c r="AF90" s="413"/>
      <c r="AG90" s="413"/>
    </row>
    <row r="91" spans="1:33" s="418" customFormat="1">
      <c r="E91" s="413"/>
      <c r="F91" s="413"/>
      <c r="G91" s="413"/>
      <c r="H91" s="413"/>
      <c r="I91" s="413"/>
      <c r="J91" s="413"/>
      <c r="K91" s="413"/>
      <c r="L91" s="413"/>
      <c r="M91" s="413"/>
      <c r="N91" s="413"/>
      <c r="O91" s="413"/>
      <c r="P91" s="413"/>
      <c r="Q91" s="413"/>
      <c r="R91" s="413"/>
      <c r="S91" s="413"/>
      <c r="T91" s="413"/>
      <c r="U91" s="413"/>
      <c r="V91" s="413"/>
      <c r="W91" s="413"/>
      <c r="X91" s="413"/>
      <c r="Y91" s="413"/>
      <c r="Z91" s="413"/>
      <c r="AA91" s="413"/>
      <c r="AB91" s="413"/>
      <c r="AC91" s="413"/>
      <c r="AD91" s="413"/>
      <c r="AE91" s="413"/>
      <c r="AF91" s="413"/>
      <c r="AG91" s="413"/>
    </row>
    <row r="92" spans="1:33" s="418" customFormat="1">
      <c r="E92" s="413"/>
      <c r="F92" s="413"/>
      <c r="G92" s="413"/>
      <c r="H92" s="413"/>
      <c r="I92" s="413"/>
      <c r="J92" s="413"/>
      <c r="K92" s="413"/>
      <c r="L92" s="413"/>
      <c r="M92" s="413"/>
      <c r="N92" s="413"/>
      <c r="O92" s="413"/>
      <c r="P92" s="413"/>
      <c r="Q92" s="413"/>
      <c r="R92" s="413"/>
      <c r="S92" s="413"/>
      <c r="T92" s="413"/>
      <c r="U92" s="413"/>
      <c r="V92" s="413"/>
      <c r="W92" s="413"/>
      <c r="X92" s="413"/>
      <c r="Y92" s="413"/>
      <c r="Z92" s="413"/>
      <c r="AA92" s="413"/>
      <c r="AB92" s="413"/>
      <c r="AC92" s="413"/>
      <c r="AD92" s="413"/>
      <c r="AE92" s="413"/>
      <c r="AF92" s="413"/>
      <c r="AG92" s="413"/>
    </row>
    <row r="93" spans="1:33" s="418" customFormat="1">
      <c r="E93" s="413"/>
      <c r="F93" s="413"/>
      <c r="G93" s="413"/>
      <c r="H93" s="413"/>
      <c r="I93" s="413"/>
      <c r="J93" s="413"/>
      <c r="K93" s="413"/>
      <c r="L93" s="413"/>
      <c r="M93" s="413"/>
      <c r="N93" s="413"/>
      <c r="O93" s="413"/>
      <c r="P93" s="413"/>
      <c r="Q93" s="413"/>
      <c r="R93" s="413"/>
      <c r="S93" s="413"/>
      <c r="T93" s="413"/>
      <c r="U93" s="413"/>
      <c r="V93" s="413"/>
      <c r="W93" s="413"/>
      <c r="X93" s="413"/>
      <c r="Y93" s="413"/>
      <c r="Z93" s="413"/>
      <c r="AA93" s="413"/>
      <c r="AB93" s="413"/>
      <c r="AC93" s="413"/>
      <c r="AD93" s="413"/>
      <c r="AE93" s="413"/>
      <c r="AF93" s="413"/>
      <c r="AG93" s="413"/>
    </row>
    <row r="94" spans="1:33" s="418" customFormat="1">
      <c r="E94" s="413"/>
      <c r="F94" s="413"/>
      <c r="G94" s="413"/>
      <c r="H94" s="413"/>
      <c r="I94" s="413"/>
      <c r="J94" s="413"/>
      <c r="K94" s="413"/>
      <c r="L94" s="413"/>
      <c r="M94" s="413"/>
      <c r="N94" s="413"/>
      <c r="O94" s="413"/>
      <c r="P94" s="413"/>
      <c r="Q94" s="413"/>
      <c r="R94" s="413"/>
      <c r="S94" s="413"/>
      <c r="T94" s="413"/>
      <c r="U94" s="413"/>
      <c r="V94" s="413"/>
      <c r="W94" s="413"/>
      <c r="X94" s="413"/>
      <c r="Y94" s="413"/>
      <c r="Z94" s="413"/>
      <c r="AA94" s="413"/>
      <c r="AB94" s="413"/>
      <c r="AC94" s="413"/>
      <c r="AD94" s="413"/>
      <c r="AE94" s="413"/>
      <c r="AF94" s="413"/>
      <c r="AG94" s="413"/>
    </row>
    <row r="95" spans="1:33" s="418" customFormat="1">
      <c r="E95" s="413"/>
      <c r="F95" s="413"/>
      <c r="G95" s="413"/>
      <c r="H95" s="413"/>
      <c r="I95" s="413"/>
      <c r="J95" s="413"/>
      <c r="K95" s="413"/>
      <c r="L95" s="413"/>
      <c r="M95" s="413"/>
      <c r="N95" s="413"/>
      <c r="O95" s="413"/>
      <c r="P95" s="413"/>
      <c r="Q95" s="413"/>
      <c r="R95" s="413"/>
      <c r="S95" s="413"/>
      <c r="T95" s="413"/>
      <c r="U95" s="413"/>
      <c r="V95" s="413"/>
      <c r="W95" s="413"/>
      <c r="X95" s="413"/>
      <c r="Y95" s="413"/>
      <c r="Z95" s="413"/>
      <c r="AA95" s="413"/>
      <c r="AB95" s="413"/>
      <c r="AC95" s="413"/>
      <c r="AD95" s="413"/>
      <c r="AE95" s="413"/>
      <c r="AF95" s="413"/>
      <c r="AG95" s="413"/>
    </row>
    <row r="96" spans="1:33" s="418" customFormat="1">
      <c r="E96" s="413"/>
      <c r="F96" s="413"/>
      <c r="G96" s="413"/>
      <c r="H96" s="413"/>
      <c r="I96" s="413"/>
      <c r="J96" s="413"/>
      <c r="K96" s="413"/>
      <c r="L96" s="413"/>
      <c r="M96" s="413"/>
      <c r="N96" s="413"/>
      <c r="O96" s="413"/>
      <c r="P96" s="413"/>
      <c r="Q96" s="413"/>
      <c r="R96" s="413"/>
      <c r="S96" s="413"/>
      <c r="T96" s="413"/>
      <c r="U96" s="413"/>
      <c r="V96" s="413"/>
      <c r="W96" s="413"/>
      <c r="X96" s="413"/>
      <c r="Y96" s="413"/>
      <c r="Z96" s="413"/>
      <c r="AA96" s="413"/>
      <c r="AB96" s="413"/>
      <c r="AC96" s="413"/>
      <c r="AD96" s="413"/>
      <c r="AE96" s="413"/>
      <c r="AF96" s="413"/>
      <c r="AG96" s="413"/>
    </row>
    <row r="97" spans="5:33" s="418" customFormat="1">
      <c r="E97" s="413"/>
      <c r="F97" s="413"/>
      <c r="G97" s="413"/>
      <c r="H97" s="413"/>
      <c r="I97" s="413"/>
      <c r="J97" s="413"/>
      <c r="K97" s="413"/>
      <c r="L97" s="413"/>
      <c r="M97" s="413"/>
      <c r="N97" s="413"/>
      <c r="O97" s="413"/>
      <c r="P97" s="413"/>
      <c r="Q97" s="413"/>
      <c r="R97" s="413"/>
      <c r="S97" s="413"/>
      <c r="T97" s="413"/>
      <c r="U97" s="413"/>
      <c r="V97" s="413"/>
      <c r="W97" s="413"/>
      <c r="X97" s="413"/>
      <c r="Y97" s="413"/>
      <c r="Z97" s="413"/>
      <c r="AA97" s="413"/>
      <c r="AB97" s="413"/>
      <c r="AC97" s="413"/>
      <c r="AD97" s="413"/>
      <c r="AE97" s="413"/>
      <c r="AF97" s="413"/>
      <c r="AG97" s="413"/>
    </row>
    <row r="98" spans="5:33" s="418" customFormat="1">
      <c r="E98" s="413"/>
      <c r="F98" s="413"/>
      <c r="G98" s="413"/>
      <c r="H98" s="413"/>
      <c r="I98" s="413"/>
      <c r="J98" s="413"/>
      <c r="K98" s="413"/>
      <c r="L98" s="413"/>
      <c r="M98" s="413"/>
      <c r="N98" s="413"/>
      <c r="O98" s="413"/>
      <c r="P98" s="413"/>
      <c r="Q98" s="413"/>
      <c r="R98" s="413"/>
      <c r="S98" s="413"/>
      <c r="T98" s="413"/>
      <c r="U98" s="413"/>
      <c r="V98" s="413"/>
      <c r="W98" s="413"/>
      <c r="X98" s="413"/>
      <c r="Y98" s="413"/>
      <c r="Z98" s="413"/>
      <c r="AA98" s="413"/>
      <c r="AB98" s="413"/>
      <c r="AC98" s="413"/>
      <c r="AD98" s="413"/>
      <c r="AE98" s="413"/>
      <c r="AF98" s="413"/>
      <c r="AG98" s="413"/>
    </row>
    <row r="99" spans="5:33" s="418" customFormat="1">
      <c r="E99" s="413"/>
      <c r="F99" s="413"/>
      <c r="G99" s="413"/>
      <c r="H99" s="413"/>
      <c r="I99" s="413"/>
      <c r="J99" s="413"/>
      <c r="K99" s="413"/>
      <c r="L99" s="413"/>
      <c r="M99" s="413"/>
      <c r="N99" s="413"/>
      <c r="O99" s="413"/>
      <c r="P99" s="413"/>
      <c r="Q99" s="413"/>
      <c r="R99" s="413"/>
      <c r="S99" s="413"/>
      <c r="T99" s="413"/>
      <c r="U99" s="413"/>
      <c r="V99" s="413"/>
      <c r="W99" s="413"/>
      <c r="X99" s="413"/>
      <c r="Y99" s="413"/>
      <c r="Z99" s="413"/>
      <c r="AA99" s="413"/>
      <c r="AB99" s="413"/>
      <c r="AC99" s="413"/>
      <c r="AD99" s="413"/>
      <c r="AE99" s="413"/>
      <c r="AF99" s="413"/>
      <c r="AG99" s="413"/>
    </row>
    <row r="100" spans="5:33" s="418" customFormat="1">
      <c r="E100" s="413"/>
      <c r="F100" s="413"/>
      <c r="G100" s="413"/>
      <c r="H100" s="413"/>
      <c r="I100" s="413"/>
      <c r="J100" s="413"/>
      <c r="K100" s="413"/>
      <c r="L100" s="413"/>
      <c r="M100" s="413"/>
      <c r="N100" s="413"/>
      <c r="O100" s="413"/>
      <c r="P100" s="413"/>
      <c r="Q100" s="413"/>
      <c r="R100" s="413"/>
      <c r="S100" s="413"/>
      <c r="T100" s="413"/>
      <c r="U100" s="413"/>
      <c r="V100" s="413"/>
      <c r="W100" s="413"/>
      <c r="X100" s="413"/>
      <c r="Y100" s="413"/>
      <c r="Z100" s="413"/>
      <c r="AA100" s="413"/>
      <c r="AB100" s="413"/>
      <c r="AC100" s="413"/>
      <c r="AD100" s="413"/>
      <c r="AE100" s="413"/>
      <c r="AF100" s="413"/>
      <c r="AG100" s="413"/>
    </row>
    <row r="101" spans="5:33" s="418" customFormat="1">
      <c r="E101" s="413"/>
      <c r="F101" s="413"/>
      <c r="G101" s="413"/>
      <c r="H101" s="413"/>
      <c r="I101" s="413"/>
      <c r="J101" s="413"/>
      <c r="K101" s="413"/>
      <c r="L101" s="413"/>
      <c r="M101" s="413"/>
      <c r="N101" s="413"/>
      <c r="O101" s="413"/>
      <c r="P101" s="413"/>
      <c r="Q101" s="413"/>
      <c r="R101" s="413"/>
      <c r="S101" s="413"/>
      <c r="T101" s="413"/>
      <c r="U101" s="413"/>
      <c r="V101" s="413"/>
      <c r="W101" s="413"/>
      <c r="X101" s="413"/>
      <c r="Y101" s="413"/>
      <c r="Z101" s="413"/>
      <c r="AA101" s="413"/>
      <c r="AB101" s="413"/>
      <c r="AC101" s="413"/>
      <c r="AD101" s="413"/>
      <c r="AE101" s="413"/>
      <c r="AF101" s="413"/>
      <c r="AG101" s="413"/>
    </row>
    <row r="102" spans="5:33" s="418" customFormat="1">
      <c r="E102" s="413"/>
      <c r="F102" s="413"/>
      <c r="G102" s="413"/>
      <c r="H102" s="413"/>
      <c r="I102" s="413"/>
      <c r="J102" s="413"/>
      <c r="K102" s="413"/>
      <c r="L102" s="413"/>
      <c r="M102" s="413"/>
      <c r="N102" s="413"/>
      <c r="O102" s="413"/>
      <c r="P102" s="413"/>
      <c r="Q102" s="413"/>
      <c r="R102" s="413"/>
      <c r="S102" s="413"/>
      <c r="T102" s="413"/>
      <c r="U102" s="413"/>
      <c r="V102" s="413"/>
      <c r="W102" s="413"/>
      <c r="X102" s="413"/>
      <c r="Y102" s="413"/>
      <c r="Z102" s="413"/>
      <c r="AA102" s="413"/>
      <c r="AB102" s="413"/>
      <c r="AC102" s="413"/>
      <c r="AD102" s="413"/>
      <c r="AE102" s="413"/>
      <c r="AF102" s="413"/>
      <c r="AG102" s="413"/>
    </row>
    <row r="103" spans="5:33" s="418" customFormat="1">
      <c r="E103" s="413"/>
      <c r="F103" s="413"/>
      <c r="G103" s="413"/>
      <c r="H103" s="413"/>
      <c r="I103" s="413"/>
      <c r="J103" s="413"/>
      <c r="K103" s="413"/>
      <c r="L103" s="413"/>
      <c r="M103" s="413"/>
      <c r="N103" s="413"/>
      <c r="O103" s="413"/>
      <c r="P103" s="413"/>
      <c r="Q103" s="413"/>
      <c r="R103" s="413"/>
      <c r="S103" s="413"/>
      <c r="T103" s="413"/>
      <c r="U103" s="413"/>
      <c r="V103" s="413"/>
      <c r="W103" s="413"/>
      <c r="X103" s="413"/>
      <c r="Y103" s="413"/>
      <c r="Z103" s="413"/>
      <c r="AA103" s="413"/>
      <c r="AB103" s="413"/>
      <c r="AC103" s="413"/>
      <c r="AD103" s="413"/>
      <c r="AE103" s="413"/>
      <c r="AF103" s="413"/>
      <c r="AG103" s="413"/>
    </row>
    <row r="104" spans="5:33" s="418" customFormat="1">
      <c r="E104" s="413"/>
      <c r="F104" s="413"/>
      <c r="G104" s="413"/>
      <c r="H104" s="413"/>
      <c r="I104" s="413"/>
      <c r="J104" s="413"/>
      <c r="K104" s="413"/>
      <c r="L104" s="413"/>
      <c r="M104" s="413"/>
      <c r="N104" s="413"/>
      <c r="O104" s="413"/>
      <c r="P104" s="413"/>
      <c r="Q104" s="413"/>
      <c r="R104" s="413"/>
      <c r="S104" s="413"/>
      <c r="T104" s="413"/>
      <c r="U104" s="413"/>
      <c r="V104" s="413"/>
      <c r="W104" s="413"/>
      <c r="X104" s="413"/>
      <c r="Y104" s="413"/>
      <c r="Z104" s="413"/>
      <c r="AA104" s="413"/>
      <c r="AB104" s="413"/>
      <c r="AC104" s="413"/>
      <c r="AD104" s="413"/>
      <c r="AE104" s="413"/>
      <c r="AF104" s="413"/>
      <c r="AG104" s="413"/>
    </row>
    <row r="105" spans="5:33" s="418" customFormat="1">
      <c r="E105" s="413"/>
      <c r="F105" s="413"/>
      <c r="G105" s="413"/>
      <c r="H105" s="413"/>
      <c r="I105" s="413"/>
      <c r="J105" s="413"/>
      <c r="K105" s="413"/>
      <c r="L105" s="413"/>
      <c r="M105" s="413"/>
      <c r="N105" s="413"/>
      <c r="O105" s="413"/>
      <c r="P105" s="413"/>
      <c r="Q105" s="413"/>
      <c r="R105" s="413"/>
      <c r="S105" s="413"/>
      <c r="T105" s="413"/>
      <c r="U105" s="413"/>
      <c r="V105" s="413"/>
      <c r="W105" s="413"/>
      <c r="X105" s="413"/>
      <c r="Y105" s="413"/>
      <c r="Z105" s="413"/>
      <c r="AA105" s="413"/>
      <c r="AB105" s="413"/>
      <c r="AC105" s="413"/>
      <c r="AD105" s="413"/>
      <c r="AE105" s="413"/>
      <c r="AF105" s="413"/>
      <c r="AG105" s="413"/>
    </row>
    <row r="106" spans="5:33" s="418" customFormat="1">
      <c r="E106" s="413"/>
      <c r="F106" s="413"/>
      <c r="G106" s="413"/>
      <c r="H106" s="413"/>
      <c r="I106" s="413"/>
      <c r="J106" s="413"/>
      <c r="K106" s="413"/>
      <c r="L106" s="413"/>
      <c r="M106" s="413"/>
      <c r="N106" s="413"/>
      <c r="O106" s="413"/>
      <c r="P106" s="413"/>
      <c r="Q106" s="413"/>
      <c r="R106" s="413"/>
      <c r="S106" s="413"/>
      <c r="T106" s="413"/>
      <c r="U106" s="413"/>
      <c r="V106" s="413"/>
      <c r="W106" s="413"/>
      <c r="X106" s="413"/>
      <c r="Y106" s="413"/>
      <c r="Z106" s="413"/>
      <c r="AA106" s="413"/>
      <c r="AB106" s="413"/>
      <c r="AC106" s="413"/>
      <c r="AD106" s="413"/>
      <c r="AE106" s="413"/>
      <c r="AF106" s="413"/>
      <c r="AG106" s="413"/>
    </row>
    <row r="107" spans="5:33" s="418" customFormat="1">
      <c r="E107" s="413"/>
      <c r="F107" s="413"/>
      <c r="G107" s="413"/>
      <c r="H107" s="413"/>
      <c r="I107" s="413"/>
      <c r="J107" s="413"/>
      <c r="K107" s="413"/>
      <c r="L107" s="413"/>
      <c r="M107" s="413"/>
      <c r="N107" s="413"/>
      <c r="O107" s="413"/>
      <c r="P107" s="413"/>
      <c r="Q107" s="413"/>
      <c r="R107" s="413"/>
      <c r="S107" s="413"/>
      <c r="T107" s="413"/>
      <c r="U107" s="413"/>
      <c r="V107" s="413"/>
      <c r="W107" s="413"/>
      <c r="X107" s="413"/>
      <c r="Y107" s="413"/>
      <c r="Z107" s="413"/>
      <c r="AA107" s="413"/>
      <c r="AB107" s="413"/>
      <c r="AC107" s="413"/>
      <c r="AD107" s="413"/>
      <c r="AE107" s="413"/>
      <c r="AF107" s="413"/>
      <c r="AG107" s="413"/>
    </row>
    <row r="108" spans="5:33" s="418" customFormat="1">
      <c r="E108" s="413"/>
      <c r="F108" s="413"/>
      <c r="G108" s="413"/>
      <c r="H108" s="413"/>
      <c r="I108" s="413"/>
      <c r="J108" s="413"/>
      <c r="K108" s="413"/>
      <c r="L108" s="413"/>
      <c r="M108" s="413"/>
      <c r="N108" s="413"/>
      <c r="O108" s="413"/>
      <c r="P108" s="413"/>
      <c r="Q108" s="413"/>
      <c r="R108" s="413"/>
      <c r="S108" s="413"/>
      <c r="T108" s="413"/>
      <c r="U108" s="413"/>
      <c r="V108" s="413"/>
      <c r="W108" s="413"/>
      <c r="X108" s="413"/>
      <c r="Y108" s="413"/>
      <c r="Z108" s="413"/>
      <c r="AA108" s="413"/>
      <c r="AB108" s="413"/>
      <c r="AC108" s="413"/>
      <c r="AD108" s="413"/>
      <c r="AE108" s="413"/>
      <c r="AF108" s="413"/>
      <c r="AG108" s="413"/>
    </row>
    <row r="109" spans="5:33" s="418" customFormat="1">
      <c r="E109" s="413"/>
      <c r="F109" s="413"/>
      <c r="G109" s="413"/>
      <c r="H109" s="413"/>
      <c r="I109" s="413"/>
      <c r="J109" s="413"/>
      <c r="K109" s="413"/>
      <c r="L109" s="413"/>
      <c r="M109" s="413"/>
      <c r="N109" s="413"/>
      <c r="O109" s="413"/>
      <c r="P109" s="413"/>
      <c r="Q109" s="413"/>
      <c r="R109" s="413"/>
      <c r="S109" s="413"/>
      <c r="T109" s="413"/>
      <c r="U109" s="413"/>
      <c r="V109" s="413"/>
      <c r="W109" s="413"/>
      <c r="X109" s="413"/>
      <c r="Y109" s="413"/>
      <c r="Z109" s="413"/>
      <c r="AA109" s="413"/>
      <c r="AB109" s="413"/>
      <c r="AC109" s="413"/>
      <c r="AD109" s="413"/>
      <c r="AE109" s="413"/>
      <c r="AF109" s="413"/>
      <c r="AG109" s="413"/>
    </row>
    <row r="110" spans="5:33" s="418" customFormat="1">
      <c r="E110" s="413"/>
      <c r="F110" s="413"/>
      <c r="G110" s="413"/>
      <c r="H110" s="413"/>
      <c r="I110" s="413"/>
      <c r="J110" s="413"/>
      <c r="K110" s="413"/>
      <c r="L110" s="413"/>
      <c r="M110" s="413"/>
      <c r="N110" s="413"/>
      <c r="O110" s="413"/>
      <c r="P110" s="413"/>
      <c r="Q110" s="413"/>
      <c r="R110" s="413"/>
      <c r="S110" s="413"/>
      <c r="T110" s="413"/>
      <c r="U110" s="413"/>
      <c r="V110" s="413"/>
      <c r="W110" s="413"/>
      <c r="X110" s="413"/>
      <c r="Y110" s="413"/>
      <c r="Z110" s="413"/>
      <c r="AA110" s="413"/>
      <c r="AB110" s="413"/>
      <c r="AC110" s="413"/>
      <c r="AD110" s="413"/>
      <c r="AE110" s="413"/>
      <c r="AF110" s="413"/>
      <c r="AG110" s="413"/>
    </row>
    <row r="111" spans="5:33" s="418" customFormat="1">
      <c r="E111" s="413"/>
      <c r="F111" s="413"/>
      <c r="G111" s="413"/>
      <c r="H111" s="413"/>
      <c r="I111" s="413"/>
      <c r="J111" s="413"/>
      <c r="K111" s="413"/>
      <c r="L111" s="413"/>
      <c r="M111" s="413"/>
      <c r="N111" s="413"/>
      <c r="O111" s="413"/>
      <c r="P111" s="413"/>
      <c r="Q111" s="413"/>
      <c r="R111" s="413"/>
      <c r="S111" s="413"/>
      <c r="T111" s="413"/>
      <c r="U111" s="413"/>
      <c r="V111" s="413"/>
      <c r="W111" s="413"/>
      <c r="X111" s="413"/>
      <c r="Y111" s="413"/>
      <c r="Z111" s="413"/>
      <c r="AA111" s="413"/>
      <c r="AB111" s="413"/>
      <c r="AC111" s="413"/>
      <c r="AD111" s="413"/>
      <c r="AE111" s="413"/>
      <c r="AF111" s="413"/>
      <c r="AG111" s="413"/>
    </row>
    <row r="112" spans="5:33" s="418" customFormat="1">
      <c r="E112" s="413"/>
      <c r="F112" s="413"/>
      <c r="G112" s="413"/>
      <c r="H112" s="413"/>
      <c r="I112" s="413"/>
      <c r="J112" s="413"/>
      <c r="K112" s="413"/>
      <c r="L112" s="413"/>
      <c r="M112" s="413"/>
      <c r="N112" s="413"/>
      <c r="O112" s="413"/>
      <c r="P112" s="413"/>
      <c r="Q112" s="413"/>
      <c r="R112" s="413"/>
      <c r="S112" s="413"/>
      <c r="T112" s="413"/>
      <c r="U112" s="413"/>
      <c r="V112" s="413"/>
      <c r="W112" s="413"/>
      <c r="X112" s="413"/>
      <c r="Y112" s="413"/>
      <c r="Z112" s="413"/>
      <c r="AA112" s="413"/>
      <c r="AB112" s="413"/>
      <c r="AC112" s="413"/>
      <c r="AD112" s="413"/>
      <c r="AE112" s="413"/>
      <c r="AF112" s="413"/>
      <c r="AG112" s="413"/>
    </row>
    <row r="113" spans="5:33" s="418" customFormat="1">
      <c r="E113" s="413"/>
      <c r="F113" s="413"/>
      <c r="G113" s="413"/>
      <c r="H113" s="413"/>
      <c r="I113" s="413"/>
      <c r="J113" s="413"/>
      <c r="K113" s="413"/>
      <c r="L113" s="413"/>
      <c r="M113" s="413"/>
      <c r="N113" s="413"/>
      <c r="O113" s="413"/>
      <c r="P113" s="413"/>
      <c r="Q113" s="413"/>
      <c r="R113" s="413"/>
      <c r="S113" s="413"/>
      <c r="T113" s="413"/>
      <c r="U113" s="413"/>
      <c r="V113" s="413"/>
      <c r="W113" s="413"/>
      <c r="X113" s="413"/>
      <c r="Y113" s="413"/>
      <c r="Z113" s="413"/>
      <c r="AA113" s="413"/>
      <c r="AB113" s="413"/>
      <c r="AC113" s="413"/>
      <c r="AD113" s="413"/>
      <c r="AE113" s="413"/>
      <c r="AF113" s="413"/>
      <c r="AG113" s="413"/>
    </row>
    <row r="114" spans="5:33" s="418" customFormat="1">
      <c r="E114" s="413"/>
      <c r="F114" s="413"/>
      <c r="G114" s="413"/>
      <c r="H114" s="413"/>
      <c r="I114" s="413"/>
      <c r="J114" s="413"/>
      <c r="K114" s="413"/>
      <c r="L114" s="413"/>
      <c r="M114" s="413"/>
      <c r="N114" s="413"/>
      <c r="O114" s="413"/>
      <c r="P114" s="413"/>
      <c r="Q114" s="413"/>
      <c r="R114" s="413"/>
      <c r="S114" s="413"/>
      <c r="T114" s="413"/>
      <c r="U114" s="413"/>
      <c r="V114" s="413"/>
      <c r="W114" s="413"/>
      <c r="X114" s="413"/>
      <c r="Y114" s="413"/>
      <c r="Z114" s="413"/>
      <c r="AA114" s="413"/>
      <c r="AB114" s="413"/>
      <c r="AC114" s="413"/>
      <c r="AD114" s="413"/>
      <c r="AE114" s="413"/>
      <c r="AF114" s="413"/>
      <c r="AG114" s="413"/>
    </row>
    <row r="115" spans="5:33" s="418" customFormat="1">
      <c r="E115" s="413"/>
      <c r="F115" s="413"/>
      <c r="G115" s="413"/>
      <c r="H115" s="413"/>
      <c r="I115" s="413"/>
      <c r="J115" s="413"/>
      <c r="K115" s="413"/>
      <c r="L115" s="413"/>
      <c r="M115" s="413"/>
      <c r="N115" s="413"/>
      <c r="O115" s="413"/>
      <c r="P115" s="413"/>
      <c r="Q115" s="413"/>
      <c r="R115" s="413"/>
      <c r="S115" s="413"/>
      <c r="T115" s="413"/>
      <c r="U115" s="413"/>
      <c r="V115" s="413"/>
      <c r="W115" s="413"/>
      <c r="X115" s="413"/>
      <c r="Y115" s="413"/>
      <c r="Z115" s="413"/>
      <c r="AA115" s="413"/>
      <c r="AB115" s="413"/>
      <c r="AC115" s="413"/>
      <c r="AD115" s="413"/>
      <c r="AE115" s="413"/>
      <c r="AF115" s="413"/>
      <c r="AG115" s="413"/>
    </row>
    <row r="116" spans="5:33" s="418" customFormat="1">
      <c r="E116" s="413"/>
      <c r="F116" s="413"/>
      <c r="G116" s="413"/>
      <c r="H116" s="413"/>
      <c r="I116" s="413"/>
      <c r="J116" s="413"/>
      <c r="K116" s="413"/>
      <c r="L116" s="413"/>
      <c r="M116" s="413"/>
      <c r="N116" s="413"/>
      <c r="O116" s="413"/>
      <c r="P116" s="413"/>
      <c r="Q116" s="413"/>
      <c r="R116" s="413"/>
      <c r="S116" s="413"/>
      <c r="T116" s="413"/>
      <c r="U116" s="413"/>
      <c r="V116" s="413"/>
      <c r="W116" s="413"/>
      <c r="X116" s="413"/>
      <c r="Y116" s="413"/>
      <c r="Z116" s="413"/>
      <c r="AA116" s="413"/>
      <c r="AB116" s="413"/>
      <c r="AC116" s="413"/>
      <c r="AD116" s="413"/>
      <c r="AE116" s="413"/>
      <c r="AF116" s="413"/>
      <c r="AG116" s="413"/>
    </row>
    <row r="117" spans="5:33" s="418" customFormat="1">
      <c r="E117" s="413"/>
      <c r="F117" s="413"/>
      <c r="G117" s="413"/>
      <c r="H117" s="413"/>
      <c r="I117" s="413"/>
      <c r="J117" s="413"/>
      <c r="K117" s="413"/>
      <c r="L117" s="413"/>
      <c r="M117" s="413"/>
      <c r="N117" s="413"/>
      <c r="O117" s="413"/>
      <c r="P117" s="413"/>
      <c r="Q117" s="413"/>
      <c r="R117" s="413"/>
      <c r="S117" s="413"/>
      <c r="T117" s="413"/>
      <c r="U117" s="413"/>
      <c r="V117" s="413"/>
      <c r="W117" s="413"/>
      <c r="X117" s="413"/>
      <c r="Y117" s="413"/>
      <c r="Z117" s="413"/>
      <c r="AA117" s="413"/>
      <c r="AB117" s="413"/>
      <c r="AC117" s="413"/>
      <c r="AD117" s="413"/>
      <c r="AE117" s="413"/>
      <c r="AF117" s="413"/>
      <c r="AG117" s="413"/>
    </row>
  </sheetData>
  <mergeCells count="31">
    <mergeCell ref="E52:E53"/>
    <mergeCell ref="E80:E81"/>
    <mergeCell ref="D80:D81"/>
    <mergeCell ref="B80:B81"/>
    <mergeCell ref="C80:C81"/>
    <mergeCell ref="B62:B63"/>
    <mergeCell ref="C62:C63"/>
    <mergeCell ref="B70:B71"/>
    <mergeCell ref="C70:C71"/>
    <mergeCell ref="B24:D24"/>
    <mergeCell ref="B38:B39"/>
    <mergeCell ref="C38:C39"/>
    <mergeCell ref="B52:B53"/>
    <mergeCell ref="C52:C53"/>
    <mergeCell ref="D52:D53"/>
    <mergeCell ref="C25:D25"/>
    <mergeCell ref="C26:D26"/>
    <mergeCell ref="C27:D27"/>
    <mergeCell ref="C28:D28"/>
    <mergeCell ref="C29:D29"/>
    <mergeCell ref="C30:D30"/>
    <mergeCell ref="C31:D31"/>
    <mergeCell ref="C32:D32"/>
    <mergeCell ref="C33:D33"/>
    <mergeCell ref="C34:D34"/>
    <mergeCell ref="D6:D7"/>
    <mergeCell ref="B8:D8"/>
    <mergeCell ref="B6:B7"/>
    <mergeCell ref="C6:C7"/>
    <mergeCell ref="B22:B23"/>
    <mergeCell ref="C22:D23"/>
  </mergeCells>
  <phoneticPr fontId="10" type="noConversion"/>
  <conditionalFormatting sqref="B32:B33">
    <cfRule type="notContainsText" dxfId="7" priority="1" operator="notContains" text="o">
      <formula>ISERROR(SEARCH("o",B32))</formula>
    </cfRule>
  </conditionalFormatting>
  <dataValidations count="7">
    <dataValidation type="list" allowBlank="1" showInputMessage="1" showErrorMessage="1" sqref="C12">
      <formula1>Boundary</formula1>
    </dataValidation>
    <dataValidation type="list" allowBlank="1" showInputMessage="1" showErrorMessage="1" sqref="C17">
      <formula1>Climate</formula1>
    </dataValidation>
    <dataValidation type="list" allowBlank="1" showInputMessage="1" showErrorMessage="1" sqref="C16">
      <formula1>Economy</formula1>
    </dataValidation>
    <dataValidation type="list" allowBlank="1" showInputMessage="1" showErrorMessage="1" sqref="C31">
      <formula1>Audit</formula1>
    </dataValidation>
    <dataValidation type="list" allowBlank="1" showInputMessage="1" showErrorMessage="1" sqref="C25">
      <formula1>Inventory</formula1>
    </dataValidation>
    <dataValidation type="list" allowBlank="1" showInputMessage="1" showErrorMessage="1" sqref="C26">
      <formula1>Gases_2</formula1>
    </dataValidation>
    <dataValidation type="list" allowBlank="1" showInputMessage="1" showErrorMessage="1" sqref="C27">
      <formula1>GWP</formula1>
    </dataValidation>
  </dataValidations>
  <hyperlinks>
    <hyperlink ref="D12" r:id="rId1"/>
  </hyperlinks>
  <printOptions verticalCentered="1"/>
  <pageMargins left="0.15748031496062992" right="0.15748031496062992" top="0.15748031496062992" bottom="0.15748031496062992" header="0.15748031496062992" footer="0.15748031496062992"/>
  <pageSetup paperSize="9" scale="79" orientation="landscape"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tint="0.249977111117893"/>
  </sheetPr>
  <dimension ref="A1:AM89"/>
  <sheetViews>
    <sheetView topLeftCell="A9" workbookViewId="0">
      <selection activeCell="A21" sqref="A21:XFD21"/>
    </sheetView>
  </sheetViews>
  <sheetFormatPr defaultColWidth="11" defaultRowHeight="15.75"/>
  <cols>
    <col min="1" max="1" width="8.375" customWidth="1"/>
    <col min="2" max="4" width="47.125" style="788" customWidth="1"/>
    <col min="5" max="8" width="12.875" style="799" customWidth="1"/>
    <col min="9" max="10" width="12.875" style="6" customWidth="1"/>
    <col min="11" max="11" width="54.5" customWidth="1"/>
    <col min="12" max="39" width="10.875" style="15"/>
  </cols>
  <sheetData>
    <row r="1" spans="1:39" s="15" customFormat="1">
      <c r="B1" s="779"/>
      <c r="C1" s="779"/>
      <c r="D1" s="779"/>
      <c r="E1" s="789"/>
      <c r="F1" s="789"/>
      <c r="G1" s="789"/>
      <c r="H1" s="789"/>
      <c r="I1" s="16"/>
      <c r="J1" s="16"/>
    </row>
    <row r="2" spans="1:39" s="15" customFormat="1" ht="23.25">
      <c r="B2" s="780" t="s">
        <v>732</v>
      </c>
      <c r="C2" s="779"/>
      <c r="D2" s="779"/>
      <c r="E2" s="789"/>
      <c r="F2" s="789"/>
      <c r="G2" s="789"/>
      <c r="H2" s="789"/>
      <c r="I2" s="16"/>
      <c r="J2" s="16"/>
    </row>
    <row r="3" spans="1:39" s="15" customFormat="1">
      <c r="B3" s="779"/>
      <c r="C3" s="779"/>
      <c r="D3" s="779"/>
      <c r="E3" s="789"/>
      <c r="F3" s="789"/>
      <c r="G3" s="789"/>
      <c r="H3" s="789"/>
      <c r="I3" s="16"/>
      <c r="J3" s="16"/>
    </row>
    <row r="4" spans="1:39" s="790" customFormat="1">
      <c r="B4" s="790" t="s">
        <v>858</v>
      </c>
      <c r="E4" s="789"/>
      <c r="F4" s="789"/>
      <c r="G4" s="789"/>
      <c r="H4" s="789"/>
      <c r="I4" s="16"/>
      <c r="J4" s="16"/>
    </row>
    <row r="5" spans="1:39" s="15" customFormat="1" ht="16.5" thickBot="1">
      <c r="B5" s="779"/>
      <c r="C5" s="779"/>
      <c r="D5" s="779"/>
      <c r="E5" s="789"/>
      <c r="F5" s="789"/>
      <c r="G5" s="789"/>
      <c r="H5" s="789"/>
      <c r="I5" s="16"/>
      <c r="J5" s="16"/>
    </row>
    <row r="6" spans="1:39" s="68" customFormat="1" ht="15.95" customHeight="1">
      <c r="A6" s="67"/>
      <c r="B6" s="1062" t="s">
        <v>733</v>
      </c>
      <c r="C6" s="1063" t="s">
        <v>847</v>
      </c>
      <c r="D6" s="1063" t="s">
        <v>848</v>
      </c>
      <c r="E6" s="1063" t="s">
        <v>735</v>
      </c>
      <c r="F6" s="1063" t="s">
        <v>736</v>
      </c>
      <c r="G6" s="1063" t="s">
        <v>737</v>
      </c>
      <c r="H6" s="1063" t="s">
        <v>742</v>
      </c>
      <c r="I6" s="1063" t="s">
        <v>738</v>
      </c>
      <c r="J6" s="1063" t="s">
        <v>739</v>
      </c>
      <c r="K6" s="1060" t="s">
        <v>740</v>
      </c>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row>
    <row r="7" spans="1:39" s="68" customFormat="1" ht="16.5" thickBot="1">
      <c r="A7" s="67"/>
      <c r="B7" s="1077"/>
      <c r="C7" s="1064"/>
      <c r="D7" s="1064"/>
      <c r="E7" s="1064"/>
      <c r="F7" s="1064"/>
      <c r="G7" s="1064"/>
      <c r="H7" s="1064"/>
      <c r="I7" s="1064"/>
      <c r="J7" s="1064"/>
      <c r="K7" s="1061"/>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row>
    <row r="8" spans="1:39">
      <c r="B8" s="781" t="s">
        <v>761</v>
      </c>
      <c r="C8" s="782" t="s">
        <v>857</v>
      </c>
      <c r="D8" s="782" t="s">
        <v>855</v>
      </c>
      <c r="E8" s="791" t="s">
        <v>760</v>
      </c>
      <c r="F8" s="791" t="s">
        <v>745</v>
      </c>
      <c r="G8" s="791" t="s">
        <v>856</v>
      </c>
      <c r="H8" s="791" t="s">
        <v>755</v>
      </c>
      <c r="I8" s="448">
        <v>2000</v>
      </c>
      <c r="J8" s="448">
        <v>2014</v>
      </c>
      <c r="K8" s="449" t="s">
        <v>849</v>
      </c>
    </row>
    <row r="9" spans="1:39" s="15" customFormat="1" ht="31.5">
      <c r="B9" s="571" t="s">
        <v>1088</v>
      </c>
      <c r="C9" s="783" t="s">
        <v>1198</v>
      </c>
      <c r="D9" s="784" t="s">
        <v>1089</v>
      </c>
      <c r="E9" s="792" t="s">
        <v>760</v>
      </c>
      <c r="F9" s="792" t="s">
        <v>1091</v>
      </c>
      <c r="G9" s="792" t="s">
        <v>1092</v>
      </c>
      <c r="H9" s="375" t="s">
        <v>752</v>
      </c>
      <c r="I9" s="169">
        <v>1993</v>
      </c>
      <c r="J9" s="375">
        <v>2015</v>
      </c>
      <c r="K9" s="800" t="s">
        <v>1090</v>
      </c>
    </row>
    <row r="10" spans="1:39" s="15" customFormat="1" ht="31.5">
      <c r="B10" s="460" t="s">
        <v>1108</v>
      </c>
      <c r="C10" s="710" t="s">
        <v>1199</v>
      </c>
      <c r="D10" s="785" t="s">
        <v>1200</v>
      </c>
      <c r="E10" s="793" t="s">
        <v>760</v>
      </c>
      <c r="F10" s="793" t="s">
        <v>750</v>
      </c>
      <c r="G10" s="794" t="s">
        <v>1093</v>
      </c>
      <c r="H10" s="375" t="s">
        <v>752</v>
      </c>
      <c r="I10" s="376">
        <v>2000</v>
      </c>
      <c r="J10" s="377">
        <v>2015</v>
      </c>
      <c r="K10" s="657" t="s">
        <v>1109</v>
      </c>
    </row>
    <row r="11" spans="1:39" s="15" customFormat="1" ht="31.5">
      <c r="B11" s="708" t="s">
        <v>1094</v>
      </c>
      <c r="C11" s="713" t="s">
        <v>1201</v>
      </c>
      <c r="D11" s="735" t="s">
        <v>1202</v>
      </c>
      <c r="E11" s="793" t="s">
        <v>760</v>
      </c>
      <c r="F11" s="792" t="s">
        <v>1091</v>
      </c>
      <c r="G11" s="795" t="s">
        <v>1092</v>
      </c>
      <c r="H11" s="375" t="s">
        <v>752</v>
      </c>
      <c r="I11" s="378">
        <v>2000</v>
      </c>
      <c r="J11" s="378">
        <v>2015</v>
      </c>
      <c r="K11" s="801" t="s">
        <v>1095</v>
      </c>
    </row>
    <row r="12" spans="1:39" s="15" customFormat="1" ht="31.5">
      <c r="B12" s="460" t="s">
        <v>1212</v>
      </c>
      <c r="C12" s="713" t="s">
        <v>1203</v>
      </c>
      <c r="D12" s="784" t="s">
        <v>1096</v>
      </c>
      <c r="E12" s="792" t="s">
        <v>760</v>
      </c>
      <c r="F12" s="792" t="s">
        <v>1091</v>
      </c>
      <c r="G12" s="794" t="s">
        <v>1092</v>
      </c>
      <c r="H12" s="711" t="s">
        <v>1097</v>
      </c>
      <c r="I12" s="376">
        <v>1995</v>
      </c>
      <c r="J12" s="377">
        <v>2015</v>
      </c>
      <c r="K12" s="801" t="s">
        <v>1098</v>
      </c>
    </row>
    <row r="13" spans="1:39" s="15" customFormat="1">
      <c r="B13" s="708" t="s">
        <v>1099</v>
      </c>
      <c r="C13" s="784" t="s">
        <v>1204</v>
      </c>
      <c r="D13" s="736" t="s">
        <v>1100</v>
      </c>
      <c r="E13" s="793" t="s">
        <v>760</v>
      </c>
      <c r="F13" s="793" t="s">
        <v>750</v>
      </c>
      <c r="G13" s="794" t="s">
        <v>1101</v>
      </c>
      <c r="H13" s="375" t="s">
        <v>752</v>
      </c>
      <c r="I13" s="376">
        <v>2000</v>
      </c>
      <c r="J13" s="377">
        <v>2014</v>
      </c>
      <c r="K13" s="801" t="s">
        <v>1109</v>
      </c>
    </row>
    <row r="14" spans="1:39" s="15" customFormat="1" ht="31.5">
      <c r="B14" s="708" t="s">
        <v>1102</v>
      </c>
      <c r="C14" s="784" t="s">
        <v>1205</v>
      </c>
      <c r="D14" s="736" t="s">
        <v>1206</v>
      </c>
      <c r="E14" s="793" t="s">
        <v>760</v>
      </c>
      <c r="F14" s="793" t="s">
        <v>750</v>
      </c>
      <c r="G14" s="794" t="s">
        <v>1101</v>
      </c>
      <c r="H14" s="375" t="s">
        <v>754</v>
      </c>
      <c r="I14" s="376">
        <v>2000</v>
      </c>
      <c r="J14" s="377">
        <v>2015</v>
      </c>
      <c r="K14" s="802" t="s">
        <v>1103</v>
      </c>
    </row>
    <row r="15" spans="1:39" s="15" customFormat="1" ht="31.5">
      <c r="B15" s="460" t="s">
        <v>1144</v>
      </c>
      <c r="C15" s="784" t="s">
        <v>1207</v>
      </c>
      <c r="D15" s="736" t="s">
        <v>1104</v>
      </c>
      <c r="E15" s="793" t="s">
        <v>760</v>
      </c>
      <c r="F15" s="792" t="s">
        <v>1105</v>
      </c>
      <c r="G15" s="794" t="s">
        <v>1101</v>
      </c>
      <c r="H15" s="375" t="s">
        <v>752</v>
      </c>
      <c r="I15" s="376">
        <v>2009</v>
      </c>
      <c r="J15" s="377">
        <v>2015</v>
      </c>
      <c r="K15" s="801" t="s">
        <v>1106</v>
      </c>
    </row>
    <row r="16" spans="1:39" s="15" customFormat="1">
      <c r="B16" s="460" t="s">
        <v>1295</v>
      </c>
      <c r="C16" s="784" t="s">
        <v>1107</v>
      </c>
      <c r="D16" s="736" t="s">
        <v>1252</v>
      </c>
      <c r="E16" s="793" t="s">
        <v>760</v>
      </c>
      <c r="F16" s="793" t="s">
        <v>745</v>
      </c>
      <c r="G16" s="796" t="s">
        <v>1253</v>
      </c>
      <c r="H16" s="375" t="s">
        <v>754</v>
      </c>
      <c r="I16" s="763">
        <v>2006</v>
      </c>
      <c r="J16" s="764">
        <v>2013</v>
      </c>
      <c r="K16" s="803" t="s">
        <v>1254</v>
      </c>
    </row>
    <row r="17" spans="1:11" s="15" customFormat="1">
      <c r="B17" s="460" t="s">
        <v>1110</v>
      </c>
      <c r="C17" s="784" t="s">
        <v>1208</v>
      </c>
      <c r="D17" s="736" t="s">
        <v>1209</v>
      </c>
      <c r="E17" s="793" t="s">
        <v>760</v>
      </c>
      <c r="F17" s="793" t="s">
        <v>745</v>
      </c>
      <c r="G17" s="794" t="s">
        <v>1112</v>
      </c>
      <c r="H17" s="375" t="s">
        <v>755</v>
      </c>
      <c r="I17" s="376">
        <v>2000</v>
      </c>
      <c r="J17" s="377">
        <v>2014</v>
      </c>
      <c r="K17" s="802" t="s">
        <v>1111</v>
      </c>
    </row>
    <row r="18" spans="1:11" s="15" customFormat="1">
      <c r="B18" s="460" t="s">
        <v>1121</v>
      </c>
      <c r="C18" s="784" t="s">
        <v>1210</v>
      </c>
      <c r="D18" s="736" t="s">
        <v>1211</v>
      </c>
      <c r="E18" s="793" t="s">
        <v>760</v>
      </c>
      <c r="F18" s="793" t="s">
        <v>745</v>
      </c>
      <c r="G18" s="797" t="s">
        <v>1112</v>
      </c>
      <c r="H18" s="375" t="s">
        <v>752</v>
      </c>
      <c r="I18" s="376">
        <v>2003</v>
      </c>
      <c r="J18" s="377">
        <v>2014</v>
      </c>
      <c r="K18" s="802" t="s">
        <v>1120</v>
      </c>
    </row>
    <row r="19" spans="1:11" s="49" customFormat="1" ht="31.5">
      <c r="B19" s="760" t="s">
        <v>1154</v>
      </c>
      <c r="C19" s="786" t="s">
        <v>1148</v>
      </c>
      <c r="D19" s="761" t="s">
        <v>1149</v>
      </c>
      <c r="E19" s="762" t="s">
        <v>1287</v>
      </c>
      <c r="F19" s="762" t="s">
        <v>1288</v>
      </c>
      <c r="G19" s="798">
        <v>2006</v>
      </c>
      <c r="H19" s="762" t="s">
        <v>756</v>
      </c>
      <c r="I19" s="763">
        <v>2006</v>
      </c>
      <c r="J19" s="764">
        <v>2015</v>
      </c>
      <c r="K19" s="804" t="s">
        <v>1150</v>
      </c>
    </row>
    <row r="20" spans="1:11" s="15" customFormat="1" ht="31.5">
      <c r="B20" s="460" t="s">
        <v>1155</v>
      </c>
      <c r="C20" s="784" t="s">
        <v>1157</v>
      </c>
      <c r="D20" s="736" t="s">
        <v>1156</v>
      </c>
      <c r="E20" s="793" t="s">
        <v>760</v>
      </c>
      <c r="F20" s="793" t="s">
        <v>745</v>
      </c>
      <c r="G20" s="797" t="s">
        <v>1280</v>
      </c>
      <c r="H20" s="375" t="s">
        <v>755</v>
      </c>
      <c r="I20" s="376">
        <v>2006</v>
      </c>
      <c r="J20" s="377">
        <v>2013</v>
      </c>
      <c r="K20" s="802" t="s">
        <v>1158</v>
      </c>
    </row>
    <row r="21" spans="1:11" s="15" customFormat="1">
      <c r="B21" s="460" t="s">
        <v>1218</v>
      </c>
      <c r="C21" s="784" t="s">
        <v>1219</v>
      </c>
      <c r="D21" s="758" t="s">
        <v>1202</v>
      </c>
      <c r="E21" s="375" t="s">
        <v>760</v>
      </c>
      <c r="F21" s="375" t="s">
        <v>745</v>
      </c>
      <c r="G21" s="375">
        <v>2014</v>
      </c>
      <c r="H21" s="375" t="s">
        <v>755</v>
      </c>
      <c r="I21" s="375">
        <v>2014</v>
      </c>
      <c r="J21" s="375">
        <v>2015</v>
      </c>
      <c r="K21" s="802" t="s">
        <v>1220</v>
      </c>
    </row>
    <row r="22" spans="1:11" s="15" customFormat="1" ht="31.5">
      <c r="B22" s="460" t="s">
        <v>1281</v>
      </c>
      <c r="C22" s="784" t="s">
        <v>1283</v>
      </c>
      <c r="D22" s="758" t="s">
        <v>1282</v>
      </c>
      <c r="E22" s="375" t="s">
        <v>760</v>
      </c>
      <c r="F22" s="375" t="s">
        <v>750</v>
      </c>
      <c r="G22" s="375">
        <v>2014</v>
      </c>
      <c r="H22" s="375" t="s">
        <v>755</v>
      </c>
      <c r="I22" s="375">
        <v>2014</v>
      </c>
      <c r="J22" s="375">
        <v>2014</v>
      </c>
      <c r="K22" s="802" t="s">
        <v>1284</v>
      </c>
    </row>
    <row r="23" spans="1:11" s="15" customFormat="1">
      <c r="B23" s="460" t="s">
        <v>1292</v>
      </c>
      <c r="C23" s="784" t="s">
        <v>1293</v>
      </c>
      <c r="D23" s="758" t="s">
        <v>1293</v>
      </c>
      <c r="E23" s="375" t="s">
        <v>760</v>
      </c>
      <c r="F23" s="375" t="s">
        <v>750</v>
      </c>
      <c r="G23" s="375">
        <v>2015</v>
      </c>
      <c r="H23" s="375" t="s">
        <v>755</v>
      </c>
      <c r="I23" s="375">
        <v>2015</v>
      </c>
      <c r="J23" s="375">
        <v>2015</v>
      </c>
      <c r="K23" s="802" t="s">
        <v>1294</v>
      </c>
    </row>
    <row r="24" spans="1:11" s="15" customFormat="1" ht="15" customHeight="1" thickBot="1">
      <c r="A24" s="16"/>
      <c r="B24" s="712" t="s">
        <v>1302</v>
      </c>
      <c r="C24" s="709" t="s">
        <v>1301</v>
      </c>
      <c r="D24" s="709" t="s">
        <v>1301</v>
      </c>
      <c r="E24" s="757" t="s">
        <v>760</v>
      </c>
      <c r="F24" s="757" t="s">
        <v>745</v>
      </c>
      <c r="G24" s="757">
        <v>2014</v>
      </c>
      <c r="H24" s="757" t="s">
        <v>1303</v>
      </c>
      <c r="I24" s="757">
        <v>1990</v>
      </c>
      <c r="J24" s="757">
        <v>2015</v>
      </c>
      <c r="K24" s="803" t="s">
        <v>1304</v>
      </c>
    </row>
    <row r="25" spans="1:11" s="15" customFormat="1">
      <c r="B25" s="779"/>
      <c r="C25" s="779"/>
      <c r="D25" s="779"/>
      <c r="E25" s="789"/>
      <c r="F25" s="789"/>
      <c r="G25" s="789"/>
      <c r="H25" s="789"/>
      <c r="I25" s="16"/>
      <c r="J25" s="16"/>
    </row>
    <row r="26" spans="1:11" s="15" customFormat="1">
      <c r="B26" s="787" t="s">
        <v>758</v>
      </c>
      <c r="C26" s="779"/>
      <c r="D26" s="779"/>
      <c r="E26" s="789"/>
      <c r="F26" s="789"/>
      <c r="G26" s="789"/>
      <c r="H26" s="789"/>
      <c r="I26" s="16"/>
      <c r="J26" s="16"/>
    </row>
    <row r="27" spans="1:11" s="15" customFormat="1">
      <c r="B27" s="779"/>
      <c r="C27" s="779"/>
      <c r="D27" s="779"/>
      <c r="E27" s="789"/>
      <c r="F27" s="789"/>
      <c r="G27" s="789"/>
      <c r="H27" s="789"/>
      <c r="I27" s="16"/>
      <c r="J27" s="16"/>
    </row>
    <row r="28" spans="1:11" s="15" customFormat="1">
      <c r="B28" s="779"/>
      <c r="C28" s="779"/>
      <c r="D28" s="779"/>
      <c r="E28" s="789"/>
      <c r="F28" s="789"/>
      <c r="G28" s="789"/>
      <c r="H28" s="789"/>
      <c r="I28" s="16"/>
      <c r="J28" s="16"/>
    </row>
    <row r="29" spans="1:11" s="15" customFormat="1">
      <c r="B29" s="779"/>
      <c r="C29" s="779"/>
      <c r="D29" s="779"/>
      <c r="E29" s="789"/>
      <c r="F29" s="789"/>
      <c r="G29" s="789"/>
      <c r="H29" s="789"/>
      <c r="I29" s="16"/>
      <c r="J29" s="16"/>
    </row>
    <row r="30" spans="1:11" s="15" customFormat="1">
      <c r="B30" s="779"/>
      <c r="C30" s="779"/>
      <c r="D30" s="779"/>
      <c r="E30" s="789"/>
      <c r="F30" s="789"/>
      <c r="G30" s="789"/>
      <c r="H30" s="789"/>
      <c r="I30" s="16"/>
      <c r="J30" s="16"/>
    </row>
    <row r="31" spans="1:11" s="15" customFormat="1">
      <c r="B31" s="779"/>
      <c r="C31" s="779"/>
      <c r="D31" s="779"/>
      <c r="E31" s="789"/>
      <c r="F31" s="789"/>
      <c r="G31" s="789"/>
      <c r="H31" s="789"/>
      <c r="I31" s="16"/>
      <c r="J31" s="16"/>
    </row>
    <row r="32" spans="1:11" s="15" customFormat="1">
      <c r="B32" s="779"/>
      <c r="C32" s="779"/>
      <c r="D32" s="779"/>
      <c r="E32" s="789"/>
      <c r="F32" s="789"/>
      <c r="G32" s="789"/>
      <c r="H32" s="789"/>
      <c r="I32" s="16"/>
      <c r="J32" s="16"/>
    </row>
    <row r="33" spans="2:10" s="15" customFormat="1">
      <c r="B33" s="779"/>
      <c r="C33" s="779"/>
      <c r="D33" s="779"/>
      <c r="E33" s="789"/>
      <c r="F33" s="789"/>
      <c r="G33" s="789"/>
      <c r="H33" s="789"/>
      <c r="I33" s="16"/>
      <c r="J33" s="16"/>
    </row>
    <row r="34" spans="2:10" s="15" customFormat="1">
      <c r="B34" s="779"/>
      <c r="C34" s="779"/>
      <c r="D34" s="779"/>
      <c r="E34" s="789"/>
      <c r="F34" s="789"/>
      <c r="G34" s="789"/>
      <c r="H34" s="789"/>
      <c r="I34" s="16"/>
      <c r="J34" s="16"/>
    </row>
    <row r="35" spans="2:10" s="15" customFormat="1">
      <c r="B35" s="779"/>
      <c r="C35" s="779"/>
      <c r="D35" s="779"/>
      <c r="E35" s="789"/>
      <c r="F35" s="789"/>
      <c r="G35" s="789"/>
      <c r="H35" s="789"/>
      <c r="I35" s="16"/>
      <c r="J35" s="16"/>
    </row>
    <row r="36" spans="2:10" s="15" customFormat="1">
      <c r="B36" s="779"/>
      <c r="C36" s="779"/>
      <c r="D36" s="779"/>
      <c r="E36" s="789"/>
      <c r="F36" s="789"/>
      <c r="G36" s="789"/>
      <c r="H36" s="789"/>
      <c r="I36" s="16"/>
      <c r="J36" s="16"/>
    </row>
    <row r="37" spans="2:10" s="15" customFormat="1">
      <c r="B37" s="779"/>
      <c r="C37" s="779"/>
      <c r="D37" s="779"/>
      <c r="E37" s="789"/>
      <c r="F37" s="789"/>
      <c r="G37" s="789"/>
      <c r="H37" s="789"/>
      <c r="I37" s="16"/>
      <c r="J37" s="16"/>
    </row>
    <row r="38" spans="2:10" s="15" customFormat="1">
      <c r="B38" s="779"/>
      <c r="C38" s="779"/>
      <c r="D38" s="779"/>
      <c r="E38" s="789"/>
      <c r="F38" s="789"/>
      <c r="G38" s="789"/>
      <c r="H38" s="789"/>
      <c r="I38" s="16"/>
      <c r="J38" s="16"/>
    </row>
    <row r="39" spans="2:10" s="15" customFormat="1">
      <c r="B39" s="779"/>
      <c r="C39" s="779"/>
      <c r="D39" s="779"/>
      <c r="E39" s="789"/>
      <c r="F39" s="789"/>
      <c r="G39" s="789"/>
      <c r="H39" s="789"/>
      <c r="I39" s="16"/>
      <c r="J39" s="16"/>
    </row>
    <row r="40" spans="2:10" s="15" customFormat="1">
      <c r="B40" s="779"/>
      <c r="C40" s="779"/>
      <c r="D40" s="779"/>
      <c r="E40" s="789"/>
      <c r="F40" s="789"/>
      <c r="G40" s="789"/>
      <c r="H40" s="789"/>
      <c r="I40" s="16"/>
      <c r="J40" s="16"/>
    </row>
    <row r="41" spans="2:10" s="15" customFormat="1">
      <c r="B41" s="779"/>
      <c r="C41" s="779"/>
      <c r="D41" s="779"/>
      <c r="E41" s="789"/>
      <c r="F41" s="789"/>
      <c r="G41" s="789"/>
      <c r="H41" s="789"/>
      <c r="I41" s="16"/>
      <c r="J41" s="16"/>
    </row>
    <row r="42" spans="2:10" s="15" customFormat="1">
      <c r="B42" s="779"/>
      <c r="C42" s="779"/>
      <c r="D42" s="779"/>
      <c r="E42" s="789"/>
      <c r="F42" s="789"/>
      <c r="G42" s="789"/>
      <c r="H42" s="789"/>
      <c r="I42" s="16"/>
      <c r="J42" s="16"/>
    </row>
    <row r="43" spans="2:10" s="15" customFormat="1">
      <c r="B43" s="779"/>
      <c r="C43" s="779"/>
      <c r="D43" s="779"/>
      <c r="E43" s="789"/>
      <c r="F43" s="789"/>
      <c r="G43" s="789"/>
      <c r="H43" s="789"/>
      <c r="I43" s="16"/>
      <c r="J43" s="16"/>
    </row>
    <row r="44" spans="2:10" s="15" customFormat="1">
      <c r="B44" s="779"/>
      <c r="C44" s="779"/>
      <c r="D44" s="779"/>
      <c r="E44" s="789"/>
      <c r="F44" s="789"/>
      <c r="G44" s="789"/>
      <c r="H44" s="789"/>
      <c r="I44" s="16"/>
      <c r="J44" s="16"/>
    </row>
    <row r="45" spans="2:10" s="15" customFormat="1">
      <c r="B45" s="779"/>
      <c r="C45" s="779"/>
      <c r="D45" s="779"/>
      <c r="E45" s="789"/>
      <c r="F45" s="789"/>
      <c r="G45" s="789"/>
      <c r="H45" s="789"/>
      <c r="I45" s="16"/>
      <c r="J45" s="16"/>
    </row>
    <row r="46" spans="2:10" s="15" customFormat="1">
      <c r="B46" s="779"/>
      <c r="C46" s="779"/>
      <c r="D46" s="779"/>
      <c r="E46" s="789"/>
      <c r="F46" s="789"/>
      <c r="G46" s="789"/>
      <c r="H46" s="789"/>
      <c r="I46" s="16"/>
      <c r="J46" s="16"/>
    </row>
    <row r="47" spans="2:10" s="15" customFormat="1">
      <c r="B47" s="779"/>
      <c r="C47" s="779"/>
      <c r="D47" s="779"/>
      <c r="E47" s="789"/>
      <c r="F47" s="789"/>
      <c r="G47" s="789"/>
      <c r="H47" s="789"/>
      <c r="I47" s="16"/>
      <c r="J47" s="16"/>
    </row>
    <row r="48" spans="2:10" s="15" customFormat="1">
      <c r="B48" s="779"/>
      <c r="C48" s="779"/>
      <c r="D48" s="779"/>
      <c r="E48" s="789"/>
      <c r="F48" s="789"/>
      <c r="G48" s="789"/>
      <c r="H48" s="789"/>
      <c r="I48" s="16"/>
      <c r="J48" s="16"/>
    </row>
    <row r="49" spans="2:10" s="15" customFormat="1">
      <c r="B49" s="779"/>
      <c r="C49" s="779"/>
      <c r="D49" s="779"/>
      <c r="E49" s="789"/>
      <c r="F49" s="789"/>
      <c r="G49" s="789"/>
      <c r="H49" s="789"/>
      <c r="I49" s="16"/>
      <c r="J49" s="16"/>
    </row>
    <row r="50" spans="2:10" s="15" customFormat="1">
      <c r="B50" s="779"/>
      <c r="C50" s="779"/>
      <c r="D50" s="779"/>
      <c r="E50" s="789"/>
      <c r="F50" s="789"/>
      <c r="G50" s="789"/>
      <c r="H50" s="789"/>
      <c r="I50" s="16"/>
      <c r="J50" s="16"/>
    </row>
    <row r="51" spans="2:10" s="15" customFormat="1">
      <c r="B51" s="779"/>
      <c r="C51" s="779"/>
      <c r="D51" s="779"/>
      <c r="E51" s="789"/>
      <c r="F51" s="789"/>
      <c r="G51" s="789"/>
      <c r="H51" s="789"/>
      <c r="I51" s="16"/>
      <c r="J51" s="16"/>
    </row>
    <row r="52" spans="2:10" s="15" customFormat="1">
      <c r="B52" s="779"/>
      <c r="C52" s="779"/>
      <c r="D52" s="779"/>
      <c r="E52" s="789"/>
      <c r="F52" s="789"/>
      <c r="G52" s="789"/>
      <c r="H52" s="789"/>
      <c r="I52" s="16"/>
      <c r="J52" s="16"/>
    </row>
    <row r="53" spans="2:10" s="15" customFormat="1">
      <c r="B53" s="779"/>
      <c r="C53" s="779"/>
      <c r="D53" s="779"/>
      <c r="E53" s="789"/>
      <c r="F53" s="789"/>
      <c r="G53" s="789"/>
      <c r="H53" s="789"/>
      <c r="I53" s="16"/>
      <c r="J53" s="16"/>
    </row>
    <row r="54" spans="2:10" s="15" customFormat="1">
      <c r="B54" s="779"/>
      <c r="C54" s="779"/>
      <c r="D54" s="779"/>
      <c r="E54" s="789"/>
      <c r="F54" s="789"/>
      <c r="G54" s="789"/>
      <c r="H54" s="789"/>
      <c r="I54" s="16"/>
      <c r="J54" s="16"/>
    </row>
    <row r="55" spans="2:10" s="15" customFormat="1">
      <c r="B55" s="779"/>
      <c r="C55" s="779"/>
      <c r="D55" s="779"/>
      <c r="E55" s="789"/>
      <c r="F55" s="789"/>
      <c r="G55" s="789"/>
      <c r="H55" s="789"/>
      <c r="I55" s="16"/>
      <c r="J55" s="16"/>
    </row>
    <row r="56" spans="2:10" s="15" customFormat="1">
      <c r="B56" s="779"/>
      <c r="C56" s="779"/>
      <c r="D56" s="779"/>
      <c r="E56" s="789"/>
      <c r="F56" s="789"/>
      <c r="G56" s="789"/>
      <c r="H56" s="789"/>
      <c r="I56" s="16"/>
      <c r="J56" s="16"/>
    </row>
    <row r="57" spans="2:10" s="15" customFormat="1">
      <c r="B57" s="779"/>
      <c r="C57" s="779"/>
      <c r="D57" s="779"/>
      <c r="E57" s="789"/>
      <c r="F57" s="789"/>
      <c r="G57" s="789"/>
      <c r="H57" s="789"/>
      <c r="I57" s="16"/>
      <c r="J57" s="16"/>
    </row>
    <row r="58" spans="2:10" s="15" customFormat="1">
      <c r="B58" s="779"/>
      <c r="C58" s="779"/>
      <c r="D58" s="779"/>
      <c r="E58" s="789"/>
      <c r="F58" s="789"/>
      <c r="G58" s="789"/>
      <c r="H58" s="789"/>
      <c r="I58" s="16"/>
      <c r="J58" s="16"/>
    </row>
    <row r="59" spans="2:10" s="15" customFormat="1">
      <c r="B59" s="779"/>
      <c r="C59" s="779"/>
      <c r="D59" s="779"/>
      <c r="E59" s="789"/>
      <c r="F59" s="789"/>
      <c r="G59" s="789"/>
      <c r="H59" s="789"/>
      <c r="I59" s="16"/>
      <c r="J59" s="16"/>
    </row>
    <row r="60" spans="2:10" s="15" customFormat="1">
      <c r="B60" s="779"/>
      <c r="C60" s="779"/>
      <c r="D60" s="779"/>
      <c r="E60" s="789"/>
      <c r="F60" s="789"/>
      <c r="G60" s="789"/>
      <c r="H60" s="789"/>
      <c r="I60" s="16"/>
      <c r="J60" s="16"/>
    </row>
    <row r="61" spans="2:10" s="15" customFormat="1">
      <c r="B61" s="779"/>
      <c r="C61" s="779"/>
      <c r="D61" s="779"/>
      <c r="E61" s="789"/>
      <c r="F61" s="789"/>
      <c r="G61" s="789"/>
      <c r="H61" s="789"/>
      <c r="I61" s="16"/>
      <c r="J61" s="16"/>
    </row>
    <row r="62" spans="2:10" s="15" customFormat="1">
      <c r="B62" s="779"/>
      <c r="C62" s="779"/>
      <c r="D62" s="779"/>
      <c r="E62" s="789"/>
      <c r="F62" s="789"/>
      <c r="G62" s="789"/>
      <c r="H62" s="789"/>
      <c r="I62" s="16"/>
      <c r="J62" s="16"/>
    </row>
    <row r="63" spans="2:10" s="15" customFormat="1">
      <c r="B63" s="779"/>
      <c r="C63" s="779"/>
      <c r="D63" s="779"/>
      <c r="E63" s="789"/>
      <c r="F63" s="789"/>
      <c r="G63" s="789"/>
      <c r="H63" s="789"/>
      <c r="I63" s="16"/>
      <c r="J63" s="16"/>
    </row>
    <row r="64" spans="2:10" s="15" customFormat="1">
      <c r="B64" s="779"/>
      <c r="C64" s="779"/>
      <c r="D64" s="779"/>
      <c r="E64" s="789"/>
      <c r="F64" s="789"/>
      <c r="G64" s="789"/>
      <c r="H64" s="789"/>
      <c r="I64" s="16"/>
      <c r="J64" s="16"/>
    </row>
    <row r="65" spans="2:10" s="15" customFormat="1">
      <c r="B65" s="779"/>
      <c r="C65" s="779"/>
      <c r="D65" s="779"/>
      <c r="E65" s="789"/>
      <c r="F65" s="789"/>
      <c r="G65" s="789"/>
      <c r="H65" s="789"/>
      <c r="I65" s="16"/>
      <c r="J65" s="16"/>
    </row>
    <row r="66" spans="2:10" s="15" customFormat="1">
      <c r="B66" s="779"/>
      <c r="C66" s="779"/>
      <c r="D66" s="779"/>
      <c r="E66" s="789"/>
      <c r="F66" s="789"/>
      <c r="G66" s="789"/>
      <c r="H66" s="789"/>
      <c r="I66" s="16"/>
      <c r="J66" s="16"/>
    </row>
    <row r="67" spans="2:10" s="15" customFormat="1">
      <c r="B67" s="779"/>
      <c r="C67" s="779"/>
      <c r="D67" s="779"/>
      <c r="E67" s="789"/>
      <c r="F67" s="789"/>
      <c r="G67" s="789"/>
      <c r="H67" s="789"/>
      <c r="I67" s="16"/>
      <c r="J67" s="16"/>
    </row>
    <row r="68" spans="2:10" s="15" customFormat="1">
      <c r="B68" s="779"/>
      <c r="C68" s="779"/>
      <c r="D68" s="779"/>
      <c r="E68" s="789"/>
      <c r="F68" s="789"/>
      <c r="G68" s="789"/>
      <c r="H68" s="789"/>
      <c r="I68" s="16"/>
      <c r="J68" s="16"/>
    </row>
    <row r="69" spans="2:10" s="15" customFormat="1">
      <c r="B69" s="779"/>
      <c r="C69" s="779"/>
      <c r="D69" s="779"/>
      <c r="E69" s="789"/>
      <c r="F69" s="789"/>
      <c r="G69" s="789"/>
      <c r="H69" s="789"/>
      <c r="I69" s="16"/>
      <c r="J69" s="16"/>
    </row>
    <row r="70" spans="2:10" s="15" customFormat="1">
      <c r="B70" s="779"/>
      <c r="C70" s="779"/>
      <c r="D70" s="779"/>
      <c r="E70" s="789"/>
      <c r="F70" s="789"/>
      <c r="G70" s="789"/>
      <c r="H70" s="789"/>
      <c r="I70" s="16"/>
      <c r="J70" s="16"/>
    </row>
    <row r="71" spans="2:10" s="15" customFormat="1">
      <c r="B71" s="779"/>
      <c r="C71" s="779"/>
      <c r="D71" s="779"/>
      <c r="E71" s="789"/>
      <c r="F71" s="789"/>
      <c r="G71" s="789"/>
      <c r="H71" s="789"/>
      <c r="I71" s="16"/>
      <c r="J71" s="16"/>
    </row>
    <row r="72" spans="2:10" s="15" customFormat="1">
      <c r="B72" s="779"/>
      <c r="C72" s="779"/>
      <c r="D72" s="779"/>
      <c r="E72" s="789"/>
      <c r="F72" s="789"/>
      <c r="G72" s="789"/>
      <c r="H72" s="789"/>
      <c r="I72" s="16"/>
      <c r="J72" s="16"/>
    </row>
    <row r="73" spans="2:10" s="15" customFormat="1">
      <c r="B73" s="779"/>
      <c r="C73" s="779"/>
      <c r="D73" s="779"/>
      <c r="E73" s="789"/>
      <c r="F73" s="789"/>
      <c r="G73" s="789"/>
      <c r="H73" s="789"/>
      <c r="I73" s="16"/>
      <c r="J73" s="16"/>
    </row>
    <row r="74" spans="2:10" s="15" customFormat="1">
      <c r="B74" s="779"/>
      <c r="C74" s="779"/>
      <c r="D74" s="779"/>
      <c r="E74" s="789"/>
      <c r="F74" s="789"/>
      <c r="G74" s="789"/>
      <c r="H74" s="789"/>
      <c r="I74" s="16"/>
      <c r="J74" s="16"/>
    </row>
    <row r="75" spans="2:10" s="15" customFormat="1">
      <c r="B75" s="779"/>
      <c r="C75" s="779"/>
      <c r="D75" s="779"/>
      <c r="E75" s="789"/>
      <c r="F75" s="789"/>
      <c r="G75" s="789"/>
      <c r="H75" s="789"/>
      <c r="I75" s="16"/>
      <c r="J75" s="16"/>
    </row>
    <row r="76" spans="2:10" s="15" customFormat="1">
      <c r="B76" s="779"/>
      <c r="C76" s="779"/>
      <c r="D76" s="779"/>
      <c r="E76" s="789"/>
      <c r="F76" s="789"/>
      <c r="G76" s="789"/>
      <c r="H76" s="789"/>
      <c r="I76" s="16"/>
      <c r="J76" s="16"/>
    </row>
    <row r="77" spans="2:10" s="15" customFormat="1">
      <c r="B77" s="779"/>
      <c r="C77" s="779"/>
      <c r="D77" s="779"/>
      <c r="E77" s="789"/>
      <c r="F77" s="789"/>
      <c r="G77" s="789"/>
      <c r="H77" s="789"/>
      <c r="I77" s="16"/>
      <c r="J77" s="16"/>
    </row>
    <row r="78" spans="2:10" s="15" customFormat="1">
      <c r="B78" s="779"/>
      <c r="C78" s="779"/>
      <c r="D78" s="779"/>
      <c r="E78" s="789"/>
      <c r="F78" s="789"/>
      <c r="G78" s="789"/>
      <c r="H78" s="789"/>
      <c r="I78" s="16"/>
      <c r="J78" s="16"/>
    </row>
    <row r="79" spans="2:10" s="15" customFormat="1">
      <c r="B79" s="779"/>
      <c r="C79" s="779"/>
      <c r="D79" s="779"/>
      <c r="E79" s="789"/>
      <c r="F79" s="789"/>
      <c r="G79" s="789"/>
      <c r="H79" s="789"/>
      <c r="I79" s="16"/>
      <c r="J79" s="16"/>
    </row>
    <row r="80" spans="2:10" s="15" customFormat="1">
      <c r="B80" s="779"/>
      <c r="C80" s="779"/>
      <c r="D80" s="779"/>
      <c r="E80" s="789"/>
      <c r="F80" s="789"/>
      <c r="G80" s="789"/>
      <c r="H80" s="789"/>
      <c r="I80" s="16"/>
      <c r="J80" s="16"/>
    </row>
    <row r="81" spans="2:10" s="15" customFormat="1">
      <c r="B81" s="779"/>
      <c r="C81" s="779"/>
      <c r="D81" s="779"/>
      <c r="E81" s="789"/>
      <c r="F81" s="789"/>
      <c r="G81" s="789"/>
      <c r="H81" s="789"/>
      <c r="I81" s="16"/>
      <c r="J81" s="16"/>
    </row>
    <row r="82" spans="2:10" s="15" customFormat="1">
      <c r="B82" s="779"/>
      <c r="C82" s="779"/>
      <c r="D82" s="779"/>
      <c r="E82" s="789"/>
      <c r="F82" s="789"/>
      <c r="G82" s="789"/>
      <c r="H82" s="789"/>
      <c r="I82" s="16"/>
      <c r="J82" s="16"/>
    </row>
    <row r="83" spans="2:10" s="15" customFormat="1">
      <c r="B83" s="779"/>
      <c r="C83" s="779"/>
      <c r="D83" s="779"/>
      <c r="E83" s="789"/>
      <c r="F83" s="789"/>
      <c r="G83" s="789"/>
      <c r="H83" s="789"/>
      <c r="I83" s="16"/>
      <c r="J83" s="16"/>
    </row>
    <row r="84" spans="2:10" s="15" customFormat="1">
      <c r="B84" s="779"/>
      <c r="C84" s="779"/>
      <c r="D84" s="779"/>
      <c r="E84" s="789"/>
      <c r="F84" s="789"/>
      <c r="G84" s="789"/>
      <c r="H84" s="789"/>
      <c r="I84" s="16"/>
      <c r="J84" s="16"/>
    </row>
    <row r="85" spans="2:10" s="15" customFormat="1">
      <c r="B85" s="779"/>
      <c r="C85" s="779"/>
      <c r="D85" s="779"/>
      <c r="E85" s="789"/>
      <c r="F85" s="789"/>
      <c r="G85" s="789"/>
      <c r="H85" s="789"/>
      <c r="I85" s="16"/>
      <c r="J85" s="16"/>
    </row>
    <row r="86" spans="2:10" s="15" customFormat="1">
      <c r="B86" s="779"/>
      <c r="C86" s="779"/>
      <c r="D86" s="779"/>
      <c r="E86" s="789"/>
      <c r="F86" s="789"/>
      <c r="G86" s="789"/>
      <c r="H86" s="789"/>
      <c r="I86" s="16"/>
      <c r="J86" s="16"/>
    </row>
    <row r="87" spans="2:10" s="15" customFormat="1">
      <c r="B87" s="779"/>
      <c r="C87" s="779"/>
      <c r="D87" s="779"/>
      <c r="E87" s="789"/>
      <c r="F87" s="789"/>
      <c r="G87" s="789"/>
      <c r="H87" s="789"/>
      <c r="I87" s="16"/>
      <c r="J87" s="16"/>
    </row>
    <row r="88" spans="2:10" s="15" customFormat="1">
      <c r="B88" s="779"/>
      <c r="C88" s="779"/>
      <c r="D88" s="779"/>
      <c r="E88" s="789"/>
      <c r="F88" s="789"/>
      <c r="G88" s="789"/>
      <c r="H88" s="789"/>
      <c r="I88" s="16"/>
      <c r="J88" s="16"/>
    </row>
    <row r="89" spans="2:10" s="15" customFormat="1">
      <c r="B89" s="779"/>
      <c r="C89" s="779"/>
      <c r="D89" s="779"/>
      <c r="E89" s="789"/>
      <c r="F89" s="789"/>
      <c r="G89" s="789"/>
      <c r="H89" s="789"/>
      <c r="I89" s="16"/>
      <c r="J89" s="16"/>
    </row>
  </sheetData>
  <mergeCells count="10">
    <mergeCell ref="I6:I7"/>
    <mergeCell ref="K6:K7"/>
    <mergeCell ref="H6:H7"/>
    <mergeCell ref="B6:B7"/>
    <mergeCell ref="C6:C7"/>
    <mergeCell ref="J6:J7"/>
    <mergeCell ref="E6:E7"/>
    <mergeCell ref="F6:F7"/>
    <mergeCell ref="G6:G7"/>
    <mergeCell ref="D6:D7"/>
  </mergeCells>
  <phoneticPr fontId="10" type="noConversion"/>
  <dataValidations count="4">
    <dataValidation type="list" allowBlank="1" showInputMessage="1" showErrorMessage="1" sqref="G16:G17 I16:I20">
      <formula1>Climate</formula1>
    </dataValidation>
    <dataValidation type="list" allowBlank="1" showInputMessage="1" showErrorMessage="1" sqref="H9:H24">
      <formula1>Scale</formula1>
    </dataValidation>
    <dataValidation type="list" allowBlank="1" showInputMessage="1" showErrorMessage="1" sqref="F9:F24">
      <formula1>Frequency</formula1>
    </dataValidation>
    <dataValidation type="list" allowBlank="1" showInputMessage="1" showErrorMessage="1" sqref="E9:E24">
      <formula1>ReportingPeriod</formula1>
    </dataValidation>
  </dataValidations>
  <hyperlinks>
    <hyperlink ref="K9" r:id="rId1"/>
    <hyperlink ref="K16" r:id="rId2"/>
  </hyperlinks>
  <pageMargins left="0.75" right="0.75" top="1" bottom="1" header="0.5" footer="0.5"/>
  <pageSetup paperSize="9" orientation="portrait" horizontalDpi="4294967292" verticalDpi="429496729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tint="0.249977111117893"/>
  </sheetPr>
  <dimension ref="A1:DR91"/>
  <sheetViews>
    <sheetView topLeftCell="A4" zoomScale="70" zoomScaleNormal="70" zoomScalePageLayoutView="70" workbookViewId="0">
      <selection activeCell="L22" sqref="L22"/>
    </sheetView>
  </sheetViews>
  <sheetFormatPr defaultColWidth="10.875" defaultRowHeight="15.75" outlineLevelCol="1"/>
  <cols>
    <col min="1" max="1" width="8.375" style="914" customWidth="1"/>
    <col min="2" max="2" width="27.125" style="958" customWidth="1"/>
    <col min="3" max="3" width="28.625" style="959" customWidth="1"/>
    <col min="4" max="5" width="12.875" style="960" customWidth="1"/>
    <col min="6" max="6" width="5.375" style="960" customWidth="1"/>
    <col min="7" max="7" width="1.875" style="960" customWidth="1"/>
    <col min="8" max="8" width="5.875" style="960" customWidth="1"/>
    <col min="9" max="9" width="12.875" style="960" customWidth="1"/>
    <col min="10" max="10" width="12.875" style="914" customWidth="1"/>
    <col min="11" max="11" width="10.625" style="914" customWidth="1"/>
    <col min="12" max="12" width="12.375" style="914" customWidth="1"/>
    <col min="13" max="13" width="9.5" style="914" customWidth="1"/>
    <col min="14" max="14" width="10.875" style="914" bestFit="1" customWidth="1"/>
    <col min="15" max="15" width="9.375" style="914" customWidth="1"/>
    <col min="16" max="16" width="10.625" style="914" bestFit="1" customWidth="1"/>
    <col min="17" max="17" width="11.5" style="914" bestFit="1" customWidth="1"/>
    <col min="18" max="18" width="12.875" style="914" hidden="1" customWidth="1" outlineLevel="1"/>
    <col min="19" max="20" width="0.125" style="914" hidden="1" customWidth="1" outlineLevel="1"/>
    <col min="21" max="21" width="12.875" style="914" hidden="1" customWidth="1" outlineLevel="1"/>
    <col min="22" max="23" width="0.125" style="914" hidden="1" customWidth="1" outlineLevel="1"/>
    <col min="24" max="24" width="12.875" style="914" hidden="1" customWidth="1" outlineLevel="1"/>
    <col min="25" max="26" width="0.125" style="914" hidden="1" customWidth="1" outlineLevel="1"/>
    <col min="27" max="27" width="12.875" style="914" hidden="1" customWidth="1" outlineLevel="1"/>
    <col min="28" max="29" width="0.125" style="914" hidden="1" customWidth="1" outlineLevel="1"/>
    <col min="30" max="30" width="12.875" style="914" hidden="1" customWidth="1" outlineLevel="1"/>
    <col min="31" max="32" width="0.125" style="914" hidden="1" customWidth="1" outlineLevel="1"/>
    <col min="33" max="33" width="12.875" style="914" hidden="1" customWidth="1" outlineLevel="1"/>
    <col min="34" max="35" width="0.125" style="914" hidden="1" customWidth="1" outlineLevel="1"/>
    <col min="36" max="36" width="12.875" style="914" hidden="1" customWidth="1" outlineLevel="1"/>
    <col min="37" max="38" width="0.125" style="914" hidden="1" customWidth="1" outlineLevel="1"/>
    <col min="39" max="39" width="12.875" style="914" hidden="1" customWidth="1" outlineLevel="1"/>
    <col min="40" max="41" width="0.125" style="914" hidden="1" customWidth="1" outlineLevel="1"/>
    <col min="42" max="42" width="12.875" style="914" hidden="1" customWidth="1" outlineLevel="1"/>
    <col min="43" max="44" width="0.125" style="914" hidden="1" customWidth="1" outlineLevel="1"/>
    <col min="45" max="45" width="12.875" style="914" hidden="1" customWidth="1" outlineLevel="1"/>
    <col min="46" max="47" width="0.125" style="914" hidden="1" customWidth="1" outlineLevel="1"/>
    <col min="48" max="48" width="12.875" style="914" hidden="1" customWidth="1" outlineLevel="1"/>
    <col min="49" max="50" width="0.125" style="914" hidden="1" customWidth="1" outlineLevel="1"/>
    <col min="51" max="51" width="12.875" style="914" hidden="1" customWidth="1" outlineLevel="1"/>
    <col min="52" max="53" width="0.125" style="914" hidden="1" customWidth="1" outlineLevel="1"/>
    <col min="54" max="54" width="12.875" style="914" hidden="1" customWidth="1" outlineLevel="1"/>
    <col min="55" max="56" width="0.125" style="914" hidden="1" customWidth="1" outlineLevel="1"/>
    <col min="57" max="57" width="12.875" style="914" hidden="1" customWidth="1" outlineLevel="1"/>
    <col min="58" max="59" width="0.125" style="914" hidden="1" customWidth="1" outlineLevel="1"/>
    <col min="60" max="60" width="12.875" style="914" hidden="1" customWidth="1" outlineLevel="1"/>
    <col min="61" max="62" width="0.125" style="914" hidden="1" customWidth="1" outlineLevel="1"/>
    <col min="63" max="63" width="12.875" style="914" hidden="1" customWidth="1" outlineLevel="1"/>
    <col min="64" max="64" width="1.875" style="914" hidden="1" customWidth="1" outlineLevel="1"/>
    <col min="65" max="65" width="10.125" style="914" hidden="1" customWidth="1" outlineLevel="1"/>
    <col min="66" max="66" width="11.875" style="914" customWidth="1" collapsed="1"/>
    <col min="67" max="67" width="9.625" style="914" customWidth="1"/>
    <col min="68" max="68" width="12.875" style="914" customWidth="1"/>
    <col min="69" max="69" width="7.125" style="914" bestFit="1" customWidth="1"/>
    <col min="70" max="71" width="12.875" style="914" customWidth="1"/>
    <col min="72" max="73" width="54.5" style="914" customWidth="1"/>
    <col min="74" max="122" width="10.875" style="888"/>
    <col min="123" max="16384" width="10.875" style="914"/>
  </cols>
  <sheetData>
    <row r="1" spans="1:122" s="888" customFormat="1">
      <c r="B1" s="889"/>
      <c r="C1" s="890"/>
      <c r="D1" s="891"/>
      <c r="E1" s="891"/>
      <c r="F1" s="891"/>
      <c r="G1" s="891"/>
      <c r="H1" s="891"/>
      <c r="I1" s="891"/>
    </row>
    <row r="2" spans="1:122" s="888" customFormat="1" ht="23.25">
      <c r="B2" s="892" t="s">
        <v>741</v>
      </c>
      <c r="C2" s="893"/>
      <c r="D2" s="894"/>
      <c r="E2" s="894"/>
      <c r="F2" s="894"/>
      <c r="G2" s="894"/>
      <c r="H2" s="894"/>
      <c r="I2" s="894"/>
      <c r="BN2" s="895" t="s">
        <v>966</v>
      </c>
    </row>
    <row r="3" spans="1:122" s="888" customFormat="1" ht="16.5" thickBot="1">
      <c r="B3" s="889"/>
      <c r="C3" s="890"/>
      <c r="D3" s="891"/>
      <c r="E3" s="891"/>
      <c r="F3" s="891"/>
      <c r="G3" s="891"/>
      <c r="H3" s="891"/>
      <c r="I3" s="891"/>
    </row>
    <row r="4" spans="1:122" s="896" customFormat="1">
      <c r="B4" s="897" t="s">
        <v>977</v>
      </c>
      <c r="C4" s="890"/>
      <c r="D4" s="891"/>
      <c r="E4" s="891"/>
      <c r="F4" s="891"/>
      <c r="G4" s="891"/>
      <c r="H4" s="891"/>
      <c r="I4" s="891"/>
      <c r="O4" s="898"/>
      <c r="R4" s="899"/>
      <c r="S4" s="900"/>
      <c r="T4" s="900"/>
      <c r="U4" s="900"/>
      <c r="V4" s="900"/>
      <c r="W4" s="900"/>
      <c r="X4" s="900"/>
      <c r="Y4" s="900"/>
      <c r="Z4" s="900"/>
      <c r="AA4" s="900"/>
      <c r="AB4" s="900"/>
      <c r="AC4" s="900"/>
      <c r="AD4" s="900"/>
      <c r="AE4" s="900"/>
      <c r="AF4" s="900"/>
      <c r="AG4" s="900"/>
      <c r="AH4" s="900"/>
      <c r="AI4" s="900"/>
      <c r="AJ4" s="900"/>
      <c r="AK4" s="900"/>
      <c r="AL4" s="900"/>
      <c r="AM4" s="900"/>
      <c r="AN4" s="900"/>
      <c r="AO4" s="900"/>
      <c r="AP4" s="900"/>
      <c r="AQ4" s="900"/>
      <c r="AR4" s="900"/>
      <c r="AS4" s="900"/>
      <c r="AT4" s="900"/>
      <c r="AU4" s="900"/>
      <c r="AV4" s="900"/>
      <c r="AW4" s="900"/>
      <c r="AX4" s="900"/>
      <c r="AY4" s="900"/>
      <c r="AZ4" s="900"/>
      <c r="BA4" s="900"/>
      <c r="BB4" s="900"/>
      <c r="BC4" s="900"/>
      <c r="BD4" s="900"/>
      <c r="BE4" s="900"/>
      <c r="BF4" s="900"/>
      <c r="BG4" s="900"/>
      <c r="BH4" s="900"/>
      <c r="BI4" s="900"/>
      <c r="BJ4" s="900"/>
      <c r="BK4" s="900"/>
      <c r="BL4" s="900"/>
      <c r="BM4" s="900"/>
      <c r="BN4" s="1079" t="s">
        <v>979</v>
      </c>
    </row>
    <row r="5" spans="1:122" s="896" customFormat="1" ht="16.5" thickBot="1">
      <c r="B5" s="897" t="s">
        <v>978</v>
      </c>
      <c r="C5" s="890"/>
      <c r="D5" s="891"/>
      <c r="E5" s="891"/>
      <c r="F5" s="891"/>
      <c r="G5" s="891"/>
      <c r="H5" s="891"/>
      <c r="I5" s="891"/>
      <c r="O5" s="898"/>
      <c r="R5" s="901"/>
      <c r="S5" s="902"/>
      <c r="T5" s="902"/>
      <c r="U5" s="902"/>
      <c r="V5" s="902"/>
      <c r="W5" s="902"/>
      <c r="X5" s="902"/>
      <c r="Y5" s="902"/>
      <c r="Z5" s="902"/>
      <c r="AA5" s="902"/>
      <c r="AB5" s="902"/>
      <c r="AC5" s="902"/>
      <c r="AD5" s="902"/>
      <c r="AE5" s="902"/>
      <c r="AF5" s="902"/>
      <c r="AG5" s="902"/>
      <c r="AH5" s="902"/>
      <c r="AI5" s="902"/>
      <c r="AJ5" s="902"/>
      <c r="AK5" s="902"/>
      <c r="AL5" s="902"/>
      <c r="AM5" s="902"/>
      <c r="AN5" s="902"/>
      <c r="AO5" s="902"/>
      <c r="AP5" s="902"/>
      <c r="AQ5" s="902"/>
      <c r="AR5" s="902"/>
      <c r="AS5" s="902"/>
      <c r="AT5" s="902"/>
      <c r="AU5" s="902"/>
      <c r="AV5" s="902"/>
      <c r="AW5" s="902"/>
      <c r="AX5" s="902"/>
      <c r="AY5" s="902"/>
      <c r="AZ5" s="902"/>
      <c r="BA5" s="902"/>
      <c r="BB5" s="902"/>
      <c r="BC5" s="902"/>
      <c r="BD5" s="902"/>
      <c r="BE5" s="902"/>
      <c r="BF5" s="902"/>
      <c r="BG5" s="902"/>
      <c r="BH5" s="902"/>
      <c r="BI5" s="902"/>
      <c r="BJ5" s="902"/>
      <c r="BK5" s="902"/>
      <c r="BL5" s="902"/>
      <c r="BM5" s="902"/>
      <c r="BN5" s="1080"/>
    </row>
    <row r="6" spans="1:122" s="888" customFormat="1" ht="16.5" thickBot="1">
      <c r="B6" s="889"/>
      <c r="C6" s="903"/>
      <c r="D6" s="904"/>
      <c r="E6" s="904"/>
      <c r="F6" s="904"/>
      <c r="G6" s="904"/>
      <c r="H6" s="904"/>
      <c r="I6" s="904"/>
      <c r="J6" s="904"/>
      <c r="K6" s="904"/>
      <c r="L6" s="904"/>
      <c r="M6" s="904"/>
      <c r="N6" s="904"/>
      <c r="O6" s="904"/>
      <c r="P6" s="904"/>
      <c r="Q6" s="904"/>
      <c r="R6" s="904"/>
      <c r="S6" s="904"/>
      <c r="T6" s="904"/>
      <c r="U6" s="904"/>
      <c r="V6" s="904"/>
      <c r="W6" s="904"/>
      <c r="X6" s="904"/>
      <c r="Y6" s="904"/>
      <c r="Z6" s="904"/>
      <c r="AA6" s="904"/>
      <c r="AB6" s="904"/>
      <c r="AC6" s="904"/>
      <c r="AD6" s="904"/>
      <c r="AE6" s="904"/>
      <c r="AF6" s="904"/>
      <c r="AG6" s="904"/>
      <c r="AH6" s="904"/>
      <c r="AI6" s="904"/>
      <c r="AJ6" s="904"/>
      <c r="AK6" s="904"/>
      <c r="AL6" s="904"/>
      <c r="AM6" s="904"/>
      <c r="AN6" s="904"/>
      <c r="AO6" s="904"/>
      <c r="AP6" s="904"/>
      <c r="AQ6" s="904"/>
      <c r="AR6" s="904"/>
      <c r="AS6" s="904"/>
      <c r="AT6" s="904"/>
      <c r="AU6" s="904"/>
      <c r="AV6" s="904"/>
      <c r="AW6" s="904"/>
      <c r="AX6" s="904"/>
      <c r="AY6" s="904"/>
      <c r="AZ6" s="904"/>
      <c r="BA6" s="904"/>
      <c r="BB6" s="904"/>
      <c r="BC6" s="904"/>
      <c r="BD6" s="904"/>
      <c r="BE6" s="904"/>
      <c r="BF6" s="904"/>
      <c r="BG6" s="904"/>
      <c r="BH6" s="904"/>
      <c r="BI6" s="904"/>
      <c r="BJ6" s="904"/>
      <c r="BK6" s="904"/>
      <c r="BL6" s="904"/>
      <c r="BM6" s="904"/>
      <c r="BN6" s="904"/>
      <c r="BO6" s="904"/>
      <c r="BP6" s="904"/>
    </row>
    <row r="7" spans="1:122" s="907" customFormat="1" ht="15.95" customHeight="1">
      <c r="A7" s="905"/>
      <c r="B7" s="1081" t="s">
        <v>829</v>
      </c>
      <c r="C7" s="1083" t="s">
        <v>797</v>
      </c>
      <c r="D7" s="1085" t="s">
        <v>957</v>
      </c>
      <c r="E7" s="1085" t="s">
        <v>796</v>
      </c>
      <c r="F7" s="1089" t="s">
        <v>173</v>
      </c>
      <c r="G7" s="1094"/>
      <c r="H7" s="1095"/>
      <c r="I7" s="1083" t="s">
        <v>980</v>
      </c>
      <c r="J7" s="1091" t="s">
        <v>798</v>
      </c>
      <c r="K7" s="1092"/>
      <c r="L7" s="1092"/>
      <c r="M7" s="1092"/>
      <c r="N7" s="1092"/>
      <c r="O7" s="1092"/>
      <c r="P7" s="1092"/>
      <c r="Q7" s="1092"/>
      <c r="R7" s="1092"/>
      <c r="S7" s="1092"/>
      <c r="T7" s="1092"/>
      <c r="U7" s="1092"/>
      <c r="V7" s="1092"/>
      <c r="W7" s="1092"/>
      <c r="X7" s="1092"/>
      <c r="Y7" s="1092"/>
      <c r="Z7" s="1092"/>
      <c r="AA7" s="1092"/>
      <c r="AB7" s="1092"/>
      <c r="AC7" s="1092"/>
      <c r="AD7" s="1092"/>
      <c r="AE7" s="1092"/>
      <c r="AF7" s="1092"/>
      <c r="AG7" s="1092"/>
      <c r="AH7" s="1092"/>
      <c r="AI7" s="1092"/>
      <c r="AJ7" s="1092"/>
      <c r="AK7" s="1092"/>
      <c r="AL7" s="1092"/>
      <c r="AM7" s="1092"/>
      <c r="AN7" s="1092"/>
      <c r="AO7" s="1092"/>
      <c r="AP7" s="1092"/>
      <c r="AQ7" s="1092"/>
      <c r="AR7" s="1092"/>
      <c r="AS7" s="1092"/>
      <c r="AT7" s="1092"/>
      <c r="AU7" s="1092"/>
      <c r="AV7" s="1092"/>
      <c r="AW7" s="1092"/>
      <c r="AX7" s="1092"/>
      <c r="AY7" s="1092"/>
      <c r="AZ7" s="1092"/>
      <c r="BA7" s="1092"/>
      <c r="BB7" s="1092"/>
      <c r="BC7" s="1092"/>
      <c r="BD7" s="1092"/>
      <c r="BE7" s="1092"/>
      <c r="BF7" s="1092"/>
      <c r="BG7" s="1092"/>
      <c r="BH7" s="1092"/>
      <c r="BI7" s="1092"/>
      <c r="BJ7" s="1092"/>
      <c r="BK7" s="1092"/>
      <c r="BL7" s="1092"/>
      <c r="BM7" s="1092"/>
      <c r="BN7" s="1092"/>
      <c r="BO7" s="1092"/>
      <c r="BP7" s="1093"/>
      <c r="BQ7" s="906"/>
      <c r="BR7" s="1083" t="s">
        <v>743</v>
      </c>
      <c r="BS7" s="1083" t="s">
        <v>742</v>
      </c>
      <c r="BT7" s="1089" t="s">
        <v>244</v>
      </c>
      <c r="BU7" s="1087" t="s">
        <v>734</v>
      </c>
      <c r="BV7" s="905"/>
      <c r="BW7" s="905"/>
      <c r="BX7" s="905"/>
      <c r="BY7" s="905"/>
      <c r="BZ7" s="905"/>
      <c r="CA7" s="905"/>
      <c r="CB7" s="905"/>
      <c r="CC7" s="905"/>
      <c r="CD7" s="905"/>
      <c r="CE7" s="905"/>
      <c r="CF7" s="905"/>
      <c r="CG7" s="905"/>
      <c r="CH7" s="905"/>
      <c r="CI7" s="905"/>
      <c r="CJ7" s="905"/>
      <c r="CK7" s="905"/>
      <c r="CL7" s="905"/>
      <c r="CM7" s="905"/>
      <c r="CN7" s="905"/>
      <c r="CO7" s="905"/>
      <c r="CP7" s="905"/>
      <c r="CQ7" s="905"/>
      <c r="CR7" s="905"/>
      <c r="CS7" s="905"/>
      <c r="CT7" s="905"/>
      <c r="CU7" s="905"/>
      <c r="CV7" s="905"/>
      <c r="CW7" s="905"/>
      <c r="CX7" s="905"/>
      <c r="CY7" s="905"/>
      <c r="CZ7" s="905"/>
      <c r="DA7" s="905"/>
      <c r="DB7" s="905"/>
      <c r="DC7" s="905"/>
      <c r="DD7" s="905"/>
      <c r="DE7" s="905"/>
      <c r="DF7" s="905"/>
      <c r="DG7" s="905"/>
      <c r="DH7" s="905"/>
      <c r="DI7" s="905"/>
      <c r="DJ7" s="905"/>
      <c r="DK7" s="905"/>
      <c r="DL7" s="905"/>
      <c r="DM7" s="905"/>
      <c r="DN7" s="905"/>
      <c r="DO7" s="905"/>
      <c r="DP7" s="905"/>
      <c r="DQ7" s="905"/>
      <c r="DR7" s="905"/>
    </row>
    <row r="8" spans="1:122" s="907" customFormat="1" ht="15.95" customHeight="1" thickBot="1">
      <c r="A8" s="905"/>
      <c r="B8" s="1082"/>
      <c r="C8" s="1084"/>
      <c r="D8" s="1086"/>
      <c r="E8" s="1086"/>
      <c r="F8" s="1090"/>
      <c r="G8" s="1096"/>
      <c r="H8" s="1097"/>
      <c r="I8" s="1084"/>
      <c r="J8" s="908" t="s">
        <v>293</v>
      </c>
      <c r="K8" s="908" t="s">
        <v>962</v>
      </c>
      <c r="L8" s="909" t="s">
        <v>294</v>
      </c>
      <c r="M8" s="909" t="s">
        <v>1015</v>
      </c>
      <c r="N8" s="909" t="s">
        <v>1016</v>
      </c>
      <c r="O8" s="909" t="s">
        <v>295</v>
      </c>
      <c r="P8" s="909" t="s">
        <v>1017</v>
      </c>
      <c r="Q8" s="909" t="s">
        <v>1018</v>
      </c>
      <c r="R8" s="910" t="s">
        <v>873</v>
      </c>
      <c r="S8" s="911" t="s">
        <v>1007</v>
      </c>
      <c r="T8" s="912" t="s">
        <v>1008</v>
      </c>
      <c r="U8" s="910" t="s">
        <v>874</v>
      </c>
      <c r="V8" s="911" t="s">
        <v>1009</v>
      </c>
      <c r="W8" s="912" t="s">
        <v>1010</v>
      </c>
      <c r="X8" s="910" t="s">
        <v>901</v>
      </c>
      <c r="Y8" s="911" t="s">
        <v>1019</v>
      </c>
      <c r="Z8" s="912" t="s">
        <v>1020</v>
      </c>
      <c r="AA8" s="910" t="s">
        <v>902</v>
      </c>
      <c r="AB8" s="911" t="s">
        <v>1021</v>
      </c>
      <c r="AC8" s="912" t="s">
        <v>1022</v>
      </c>
      <c r="AD8" s="910" t="s">
        <v>903</v>
      </c>
      <c r="AE8" s="911" t="s">
        <v>1023</v>
      </c>
      <c r="AF8" s="912" t="s">
        <v>1024</v>
      </c>
      <c r="AG8" s="910" t="s">
        <v>904</v>
      </c>
      <c r="AH8" s="911" t="s">
        <v>1025</v>
      </c>
      <c r="AI8" s="912" t="s">
        <v>1026</v>
      </c>
      <c r="AJ8" s="910" t="s">
        <v>905</v>
      </c>
      <c r="AK8" s="911" t="s">
        <v>1027</v>
      </c>
      <c r="AL8" s="912" t="s">
        <v>1028</v>
      </c>
      <c r="AM8" s="910" t="s">
        <v>906</v>
      </c>
      <c r="AN8" s="911" t="s">
        <v>1029</v>
      </c>
      <c r="AO8" s="912" t="s">
        <v>1030</v>
      </c>
      <c r="AP8" s="910" t="s">
        <v>907</v>
      </c>
      <c r="AQ8" s="911" t="s">
        <v>1031</v>
      </c>
      <c r="AR8" s="912" t="s">
        <v>1032</v>
      </c>
      <c r="AS8" s="910" t="s">
        <v>908</v>
      </c>
      <c r="AT8" s="911" t="s">
        <v>1033</v>
      </c>
      <c r="AU8" s="912" t="s">
        <v>1034</v>
      </c>
      <c r="AV8" s="910" t="s">
        <v>909</v>
      </c>
      <c r="AW8" s="911" t="s">
        <v>1035</v>
      </c>
      <c r="AX8" s="912" t="s">
        <v>1036</v>
      </c>
      <c r="AY8" s="910" t="s">
        <v>910</v>
      </c>
      <c r="AZ8" s="911" t="s">
        <v>1037</v>
      </c>
      <c r="BA8" s="912" t="s">
        <v>1038</v>
      </c>
      <c r="BB8" s="910" t="s">
        <v>911</v>
      </c>
      <c r="BC8" s="911" t="s">
        <v>1039</v>
      </c>
      <c r="BD8" s="912" t="s">
        <v>1040</v>
      </c>
      <c r="BE8" s="910" t="s">
        <v>912</v>
      </c>
      <c r="BF8" s="911" t="s">
        <v>1041</v>
      </c>
      <c r="BG8" s="912" t="s">
        <v>1042</v>
      </c>
      <c r="BH8" s="911" t="s">
        <v>302</v>
      </c>
      <c r="BI8" s="911" t="s">
        <v>1011</v>
      </c>
      <c r="BJ8" s="912" t="s">
        <v>1012</v>
      </c>
      <c r="BK8" s="911" t="s">
        <v>303</v>
      </c>
      <c r="BL8" s="911" t="s">
        <v>1013</v>
      </c>
      <c r="BM8" s="912" t="s">
        <v>1014</v>
      </c>
      <c r="BN8" s="913" t="s">
        <v>872</v>
      </c>
      <c r="BO8" s="908" t="s">
        <v>962</v>
      </c>
      <c r="BP8" s="908" t="s">
        <v>297</v>
      </c>
      <c r="BQ8" s="908" t="s">
        <v>964</v>
      </c>
      <c r="BR8" s="1084"/>
      <c r="BS8" s="1084"/>
      <c r="BT8" s="1090"/>
      <c r="BU8" s="1088"/>
      <c r="BV8" s="905"/>
      <c r="BW8" s="905" t="s">
        <v>1168</v>
      </c>
      <c r="BX8" s="905"/>
      <c r="BY8" s="905"/>
      <c r="BZ8" s="905"/>
      <c r="CA8" s="905"/>
      <c r="CB8" s="905"/>
      <c r="CC8" s="905"/>
      <c r="CD8" s="905"/>
      <c r="CE8" s="905"/>
      <c r="CF8" s="905"/>
      <c r="CG8" s="905"/>
      <c r="CH8" s="905"/>
      <c r="CI8" s="905"/>
      <c r="CJ8" s="905"/>
      <c r="CK8" s="905"/>
      <c r="CL8" s="905"/>
      <c r="CM8" s="905"/>
      <c r="CN8" s="905"/>
      <c r="CO8" s="905"/>
      <c r="CP8" s="905"/>
      <c r="CQ8" s="905"/>
      <c r="CR8" s="905"/>
      <c r="CS8" s="905"/>
      <c r="CT8" s="905"/>
      <c r="CU8" s="905"/>
      <c r="CV8" s="905"/>
      <c r="CW8" s="905"/>
      <c r="CX8" s="905"/>
      <c r="CY8" s="905"/>
      <c r="CZ8" s="905"/>
      <c r="DA8" s="905"/>
      <c r="DB8" s="905"/>
      <c r="DC8" s="905"/>
      <c r="DD8" s="905"/>
      <c r="DE8" s="905"/>
      <c r="DF8" s="905"/>
      <c r="DG8" s="905"/>
      <c r="DH8" s="905"/>
      <c r="DI8" s="905"/>
      <c r="DJ8" s="905"/>
      <c r="DK8" s="905"/>
      <c r="DL8" s="905"/>
      <c r="DM8" s="905"/>
      <c r="DN8" s="905"/>
      <c r="DO8" s="905"/>
      <c r="DP8" s="905"/>
      <c r="DQ8" s="905"/>
      <c r="DR8" s="905"/>
    </row>
    <row r="9" spans="1:122">
      <c r="B9" s="915" t="s">
        <v>1054</v>
      </c>
      <c r="C9" s="916" t="s">
        <v>1055</v>
      </c>
      <c r="D9" s="917" t="s">
        <v>961</v>
      </c>
      <c r="E9" s="918" t="s">
        <v>866</v>
      </c>
      <c r="F9" s="918" t="s">
        <v>801</v>
      </c>
      <c r="G9" s="919" t="s">
        <v>958</v>
      </c>
      <c r="H9" s="920" t="s">
        <v>959</v>
      </c>
      <c r="I9" s="920">
        <v>1E-3</v>
      </c>
      <c r="J9" s="917">
        <v>0.48220000000000002</v>
      </c>
      <c r="K9" s="921">
        <f>J9*$I9</f>
        <v>4.8220000000000001E-4</v>
      </c>
      <c r="L9" s="921">
        <v>3.0000000000000001E-3</v>
      </c>
      <c r="M9" s="922">
        <f>IF(L9="","",IF($D9="",L9,IF($D9="CO2e",L9,L9*HLOOKUP($E9,Reference!$F$85:$I$105,4,FALSE))))</f>
        <v>3.0000000000000001E-3</v>
      </c>
      <c r="N9" s="921">
        <f>M9*$I9</f>
        <v>3.0000000000000001E-6</v>
      </c>
      <c r="O9" s="923">
        <v>2.8999999999999998E-3</v>
      </c>
      <c r="P9" s="922">
        <f>IF(O9="","",IF($D9="",O9,IF($D9="CO2e",O9,O9*HLOOKUP($E9,Reference!$F$85:$I$105,5,FALSE))))</f>
        <v>2.8999999999999998E-3</v>
      </c>
      <c r="Q9" s="921">
        <f>P9*$I9</f>
        <v>2.8999999999999998E-6</v>
      </c>
      <c r="R9" s="918"/>
      <c r="S9" s="924"/>
      <c r="T9" s="920"/>
      <c r="U9" s="918"/>
      <c r="V9" s="924"/>
      <c r="W9" s="920"/>
      <c r="X9" s="918"/>
      <c r="Y9" s="924"/>
      <c r="Z9" s="920"/>
      <c r="AA9" s="918"/>
      <c r="AB9" s="924"/>
      <c r="AC9" s="920"/>
      <c r="AD9" s="918"/>
      <c r="AE9" s="924"/>
      <c r="AF9" s="920"/>
      <c r="AG9" s="918"/>
      <c r="AH9" s="924"/>
      <c r="AI9" s="920"/>
      <c r="AJ9" s="918"/>
      <c r="AK9" s="924"/>
      <c r="AL9" s="920"/>
      <c r="AM9" s="918"/>
      <c r="AN9" s="924"/>
      <c r="AO9" s="920"/>
      <c r="AP9" s="918"/>
      <c r="AQ9" s="924"/>
      <c r="AR9" s="920"/>
      <c r="AS9" s="918"/>
      <c r="AT9" s="924"/>
      <c r="AU9" s="920"/>
      <c r="AV9" s="918"/>
      <c r="AW9" s="924"/>
      <c r="AX9" s="920"/>
      <c r="AY9" s="918"/>
      <c r="AZ9" s="924"/>
      <c r="BA9" s="920"/>
      <c r="BB9" s="918"/>
      <c r="BC9" s="924"/>
      <c r="BD9" s="920"/>
      <c r="BE9" s="918"/>
      <c r="BF9" s="924"/>
      <c r="BG9" s="920"/>
      <c r="BH9" s="924"/>
      <c r="BI9" s="924"/>
      <c r="BJ9" s="920"/>
      <c r="BK9" s="924"/>
      <c r="BL9" s="924"/>
      <c r="BM9" s="920"/>
      <c r="BN9" s="920"/>
      <c r="BO9" s="917"/>
      <c r="BP9" s="917">
        <v>0</v>
      </c>
      <c r="BQ9" s="917"/>
      <c r="BR9" s="917">
        <v>2014</v>
      </c>
      <c r="BS9" s="917" t="s">
        <v>755</v>
      </c>
      <c r="BT9" s="917" t="s">
        <v>854</v>
      </c>
      <c r="BU9" s="925" t="s">
        <v>857</v>
      </c>
    </row>
    <row r="10" spans="1:122" hidden="1">
      <c r="B10" s="915"/>
      <c r="C10" s="926"/>
      <c r="D10" s="924"/>
      <c r="E10" s="924"/>
      <c r="F10" s="924"/>
      <c r="G10" s="927"/>
      <c r="H10" s="924"/>
      <c r="I10" s="928"/>
      <c r="J10" s="918"/>
      <c r="K10" s="918"/>
      <c r="L10" s="918"/>
      <c r="M10" s="918"/>
      <c r="N10" s="918"/>
      <c r="O10" s="918"/>
      <c r="P10" s="918"/>
      <c r="Q10" s="918"/>
      <c r="R10" s="918"/>
      <c r="S10" s="924"/>
      <c r="T10" s="924"/>
      <c r="U10" s="918"/>
      <c r="V10" s="924"/>
      <c r="W10" s="924"/>
      <c r="X10" s="918"/>
      <c r="Y10" s="924"/>
      <c r="Z10" s="924"/>
      <c r="AA10" s="918"/>
      <c r="AB10" s="924"/>
      <c r="AC10" s="924"/>
      <c r="AD10" s="918"/>
      <c r="AE10" s="924"/>
      <c r="AF10" s="924"/>
      <c r="AG10" s="918"/>
      <c r="AH10" s="924"/>
      <c r="AI10" s="924"/>
      <c r="AJ10" s="918"/>
      <c r="AK10" s="924"/>
      <c r="AL10" s="924"/>
      <c r="AM10" s="918"/>
      <c r="AN10" s="924"/>
      <c r="AO10" s="924"/>
      <c r="AP10" s="918"/>
      <c r="AQ10" s="924"/>
      <c r="AR10" s="924"/>
      <c r="AS10" s="918"/>
      <c r="AT10" s="924"/>
      <c r="AU10" s="924"/>
      <c r="AV10" s="918"/>
      <c r="AW10" s="924"/>
      <c r="AX10" s="924"/>
      <c r="AY10" s="918"/>
      <c r="AZ10" s="924"/>
      <c r="BA10" s="924"/>
      <c r="BB10" s="918"/>
      <c r="BC10" s="924"/>
      <c r="BD10" s="924"/>
      <c r="BE10" s="918"/>
      <c r="BF10" s="924"/>
      <c r="BG10" s="920"/>
      <c r="BH10" s="924"/>
      <c r="BI10" s="924"/>
      <c r="BJ10" s="920"/>
      <c r="BK10" s="924"/>
      <c r="BL10" s="924"/>
      <c r="BM10" s="920"/>
      <c r="BN10" s="924"/>
      <c r="BO10" s="918"/>
      <c r="BP10" s="918"/>
      <c r="BQ10" s="918"/>
      <c r="BR10" s="918"/>
      <c r="BS10" s="918"/>
      <c r="BT10" s="918"/>
      <c r="BU10" s="925"/>
    </row>
    <row r="11" spans="1:122" s="888" customFormat="1" ht="31.5">
      <c r="B11" s="929" t="s">
        <v>185</v>
      </c>
      <c r="C11" s="930" t="s">
        <v>1152</v>
      </c>
      <c r="D11" s="931" t="s">
        <v>960</v>
      </c>
      <c r="E11" s="932" t="s">
        <v>867</v>
      </c>
      <c r="F11" s="933" t="s">
        <v>927</v>
      </c>
      <c r="G11" s="934" t="str">
        <f>IF(F11="","","/")</f>
        <v>/</v>
      </c>
      <c r="H11" s="935" t="s">
        <v>1061</v>
      </c>
      <c r="I11" s="936">
        <f>IFERROR(IF(F11="","",VLOOKUP(F11,Reference!$D$137:$F$141,3,FALSE)),"")</f>
        <v>1</v>
      </c>
      <c r="J11" s="937">
        <v>0.33164958450222071</v>
      </c>
      <c r="K11" s="938">
        <f>IFERROR(IF(J11="","",J11*$I11),"")</f>
        <v>0.33164958450222071</v>
      </c>
      <c r="L11" s="937">
        <v>8.1402809581959615E-6</v>
      </c>
      <c r="M11" s="936">
        <f>IF(L11="","",IF($D11="",L11,IF($D11="CO2e",L11,L11*HLOOKUP($E11,Reference!$F$85:$I$105,4,FALSE))))</f>
        <v>2.0350702395489903E-4</v>
      </c>
      <c r="N11" s="938">
        <f>IFERROR(IF(M11="","",M11*$I11),"")</f>
        <v>2.0350702395489903E-4</v>
      </c>
      <c r="O11" s="937">
        <v>1.4770799110907406E-6</v>
      </c>
      <c r="P11" s="936">
        <f>IF(O11="","",IF($D11="",O11,IF($D11="CO2e",O11,O11*HLOOKUP($E11,Reference!$F$85:$I$105,5,FALSE))))</f>
        <v>4.401698135050407E-4</v>
      </c>
      <c r="Q11" s="938">
        <f>IFERROR(IF(P11="","",P11*$I11),"")</f>
        <v>4.401698135050407E-4</v>
      </c>
      <c r="R11" s="939"/>
      <c r="S11" s="940" t="str">
        <f>IF(R11="","",IF($D11="",R11,IF($D11="CO2e",R11,R11*HLOOKUP($E11,Reference!$F$85:$I$105,7,FALSE))))</f>
        <v/>
      </c>
      <c r="T11" s="941" t="str">
        <f>IFERROR(IF(S11="","",S11*$I11),"")</f>
        <v/>
      </c>
      <c r="U11" s="939"/>
      <c r="V11" s="942" t="str">
        <f>IF(U11="","",IF($D11="",U11,IF($D11="CO2e",U11,U11*HLOOKUP($E11,Reference!$F$85:$I$105,8,FALSE))))</f>
        <v/>
      </c>
      <c r="W11" s="943" t="str">
        <f>IFERROR(IF(V11="","",V11*$I11),"")</f>
        <v/>
      </c>
      <c r="X11" s="944"/>
      <c r="Y11" s="942" t="str">
        <f>IF(X11="","",IF($D11="",X11,IF($D11="CO2e",X11,X11*HLOOKUP($E11,Reference!$F$85:$I$105,9,FALSE))))</f>
        <v/>
      </c>
      <c r="Z11" s="943" t="str">
        <f>IFERROR(IF(Y11="","",Y11*$I11),"")</f>
        <v/>
      </c>
      <c r="AA11" s="944"/>
      <c r="AB11" s="942" t="str">
        <f>IF(AA11="","",IF($D11="",AA11,IF($D11="CO2e",AA11,AA11*HLOOKUP($E11,Reference!$F$85:$I$105,10,FALSE))))</f>
        <v/>
      </c>
      <c r="AC11" s="943" t="str">
        <f>IFERROR(IF(AB11="","",AB11*$I11),"")</f>
        <v/>
      </c>
      <c r="AD11" s="944"/>
      <c r="AE11" s="942" t="str">
        <f>IF(AD11="","",IF($D11="",AD11,IF($D11="CO2e",AD11,AD11*HLOOKUP($E11,Reference!$F$85:$I$105,11,FALSE))))</f>
        <v/>
      </c>
      <c r="AF11" s="943" t="str">
        <f>IFERROR(IF(AE11="","",AE11*$I11),"")</f>
        <v/>
      </c>
      <c r="AG11" s="944"/>
      <c r="AH11" s="942" t="str">
        <f>IF(AG11="","",IF($D11="",AG11,IF($D11="CO2e",AG11,AG11*HLOOKUP($E11,Reference!$F$85:$I$105,12,FALSE))))</f>
        <v/>
      </c>
      <c r="AI11" s="943" t="str">
        <f>IFERROR(IF(AH11="","",AH11*$I11),"")</f>
        <v/>
      </c>
      <c r="AJ11" s="944"/>
      <c r="AK11" s="942" t="str">
        <f>IF(AJ11="","",IF($D11="",AJ11,IF($D11="CO2e",AJ11,AJ11*HLOOKUP($E11,Reference!$F$85:$I$105,13,FALSE))))</f>
        <v/>
      </c>
      <c r="AL11" s="943" t="str">
        <f>IFERROR(IF(AK11="","",AK11*$I11),"")</f>
        <v/>
      </c>
      <c r="AM11" s="944"/>
      <c r="AN11" s="942" t="str">
        <f>IF(AM11="","",IF($D11="",AM11,IF($D11="CO2e",AM11,AM11*HLOOKUP($E11,Reference!$F$85:$I$105,14,FALSE))))</f>
        <v/>
      </c>
      <c r="AO11" s="943" t="str">
        <f>IFERROR(IF(AN11="","",AN11*$I11),"")</f>
        <v/>
      </c>
      <c r="AP11" s="944"/>
      <c r="AQ11" s="942" t="str">
        <f>IF(AP11="","",IF($D11="",AP11,IF($D11="CO2e",AP11,AP11*HLOOKUP($E11,Reference!$F$85:$I$105,15,FALSE))))</f>
        <v/>
      </c>
      <c r="AR11" s="943" t="str">
        <f>IFERROR(IF(AQ11="","",AQ11*$I11),"")</f>
        <v/>
      </c>
      <c r="AS11" s="944"/>
      <c r="AT11" s="942" t="str">
        <f>IF(AS11="","",IF($D11="",AS11,IF($D11="CO2e",AS11,AS11*HLOOKUP($E11,Reference!$F$85:$I$105,16,FALSE))))</f>
        <v/>
      </c>
      <c r="AU11" s="943" t="str">
        <f>IFERROR(IF(AT11="","",AT11*$I11),"")</f>
        <v/>
      </c>
      <c r="AV11" s="944"/>
      <c r="AW11" s="942" t="str">
        <f>IF(AV11="","",IF($D11="",AV11,IF($D11="CO2e",AV11,AV11*HLOOKUP($E11,Reference!$F$85:$I$105,17,FALSE))))</f>
        <v/>
      </c>
      <c r="AX11" s="943" t="str">
        <f>IFERROR(IF(AW11="","",AW11*$I11),"")</f>
        <v/>
      </c>
      <c r="AY11" s="944"/>
      <c r="AZ11" s="942" t="str">
        <f>IF(AY11="","",IF($D11="",AY11,IF($D11="CO2e",AY11,AY11*HLOOKUP($E11,Reference!$F$85:$I$105,18,FALSE))))</f>
        <v/>
      </c>
      <c r="BA11" s="943" t="str">
        <f>IFERROR(IF(AZ11="","",AZ11*$I11),"")</f>
        <v/>
      </c>
      <c r="BB11" s="944"/>
      <c r="BC11" s="942" t="str">
        <f>IF(BB11="","",IF($D11="",BB11,IF($D11="CO2e",BB11,BB11*HLOOKUP($E11,Reference!$F$85:$I$105,19,FALSE))))</f>
        <v/>
      </c>
      <c r="BD11" s="943" t="str">
        <f>IFERROR(IF(BC11="","",BC11*$I11),"")</f>
        <v/>
      </c>
      <c r="BE11" s="944"/>
      <c r="BF11" s="942" t="str">
        <f>IF(BE11="","",IF($D11="",BE11,IF($D11="CO2e",BE11,BE11*HLOOKUP($E11,Reference!$F$85:$I$105,20,FALSE))))</f>
        <v/>
      </c>
      <c r="BG11" s="945" t="str">
        <f>IFERROR(IF(BF11="","",BF11*$I11),"")</f>
        <v/>
      </c>
      <c r="BH11" s="942"/>
      <c r="BI11" s="942" t="str">
        <f>IF(BH11="","",IF($D11="",BH11,IF($D11="CO2e",BH11,BH11*HLOOKUP($E11,Reference!$F$85:$I$105,6,FALSE))))</f>
        <v/>
      </c>
      <c r="BJ11" s="945" t="str">
        <f>IFERROR(IF(BI11="","",BI11*$I11),"")</f>
        <v/>
      </c>
      <c r="BK11" s="942"/>
      <c r="BL11" s="942" t="str">
        <f>IF(BK11="","",IF($D11="",BK11,IF($D11="CO2e",BK11,BK11*HLOOKUP($E11,Reference!$F$85:$I$105,6,FALSE))))</f>
        <v/>
      </c>
      <c r="BM11" s="945" t="str">
        <f>IFERROR(IF(BL11="","",BL11*$I11),"")</f>
        <v/>
      </c>
      <c r="BN11" s="946"/>
      <c r="BO11" s="938" t="str">
        <f>IFERROR(IF(BN11="","",BN11*$I11),"")</f>
        <v/>
      </c>
      <c r="BP11" s="937">
        <v>0</v>
      </c>
      <c r="BQ11" s="938">
        <f>IFERROR(IF(BP11="","",BP11*$I11),"")</f>
        <v>0</v>
      </c>
      <c r="BR11" s="963">
        <v>2013</v>
      </c>
      <c r="BS11" s="947" t="s">
        <v>755</v>
      </c>
      <c r="BT11" s="948" t="s">
        <v>1153</v>
      </c>
      <c r="BU11" s="949" t="s">
        <v>1156</v>
      </c>
      <c r="BW11" s="888" t="s">
        <v>1169</v>
      </c>
    </row>
    <row r="12" spans="1:122" s="888" customFormat="1">
      <c r="B12" s="950" t="s">
        <v>596</v>
      </c>
      <c r="C12" s="951" t="s">
        <v>1146</v>
      </c>
      <c r="D12" s="933" t="s">
        <v>960</v>
      </c>
      <c r="E12" s="932" t="s">
        <v>867</v>
      </c>
      <c r="F12" s="933" t="s">
        <v>927</v>
      </c>
      <c r="G12" s="934" t="str">
        <f t="shared" ref="G12:G26" si="0">IF(F12="","","/")</f>
        <v>/</v>
      </c>
      <c r="H12" s="935" t="s">
        <v>913</v>
      </c>
      <c r="I12" s="936">
        <f>IFERROR(IF(F12="","",VLOOKUP(F12,Reference!$D$137:$F$141,3,FALSE)),"")</f>
        <v>1</v>
      </c>
      <c r="J12" s="937">
        <v>56.1</v>
      </c>
      <c r="K12" s="938">
        <f t="shared" ref="K12:K26" si="1">IFERROR(IF(J12="","",J12*$I12),"")</f>
        <v>56.1</v>
      </c>
      <c r="L12" s="937">
        <v>1E-3</v>
      </c>
      <c r="M12" s="936">
        <f>IF(L12="","",IF($D12="",L12,IF($D12="CO2e",L12,L12*HLOOKUP($E12,Reference!$F$85:$I$105,4,FALSE))))</f>
        <v>2.5000000000000001E-2</v>
      </c>
      <c r="N12" s="938">
        <f t="shared" ref="N12:N26" si="2">IFERROR(IF(M12="","",M12*$I12),"")</f>
        <v>2.5000000000000001E-2</v>
      </c>
      <c r="O12" s="937">
        <v>1E-4</v>
      </c>
      <c r="P12" s="936">
        <f>IF(O12="","",IF($D12="",O12,IF($D12="CO2e",O12,O12*HLOOKUP($E12,Reference!$F$85:$I$105,5,FALSE))))</f>
        <v>2.98E-2</v>
      </c>
      <c r="Q12" s="938">
        <f t="shared" ref="Q12:Q25" si="3">IFERROR(IF(P12="","",P12*$I12),"")</f>
        <v>2.98E-2</v>
      </c>
      <c r="R12" s="944"/>
      <c r="S12" s="940" t="str">
        <f>IF(R12="","",IF($D12="",R12,IF($D12="CO2e",R12,R12*HLOOKUP($E12,Reference!$F$85:$I$105,7,FALSE))))</f>
        <v/>
      </c>
      <c r="T12" s="941" t="str">
        <f>IFERROR(IF(S12="","",S12*$I12),"")</f>
        <v/>
      </c>
      <c r="U12" s="944"/>
      <c r="V12" s="942" t="str">
        <f>IF(U12="","",IF($D12="",U12,IF($D12="CO2e",U12,U12*HLOOKUP($E12,Reference!$F$85:$I$105,8,FALSE))))</f>
        <v/>
      </c>
      <c r="W12" s="943" t="str">
        <f>IFERROR(IF(V12="","",V12*$I12),"")</f>
        <v/>
      </c>
      <c r="X12" s="944"/>
      <c r="Y12" s="942" t="str">
        <f>IF(X12="","",IF($D12="",X12,IF($D12="CO2e",X12,X12*HLOOKUP($E12,Reference!$F$85:$I$105,9,FALSE))))</f>
        <v/>
      </c>
      <c r="Z12" s="943" t="str">
        <f>IFERROR(IF(Y12="","",Y12*$I12),"")</f>
        <v/>
      </c>
      <c r="AA12" s="944"/>
      <c r="AB12" s="942" t="str">
        <f>IF(AA12="","",IF($D12="",AA12,IF($D12="CO2e",AA12,AA12*HLOOKUP($E12,Reference!$F$85:$I$105,10,FALSE))))</f>
        <v/>
      </c>
      <c r="AC12" s="943" t="str">
        <f>IFERROR(IF(AB12="","",AB12*$I12),"")</f>
        <v/>
      </c>
      <c r="AD12" s="944"/>
      <c r="AE12" s="942" t="str">
        <f>IF(AD12="","",IF($D12="",AD12,IF($D12="CO2e",AD12,AD12*HLOOKUP($E12,Reference!$F$85:$I$105,11,FALSE))))</f>
        <v/>
      </c>
      <c r="AF12" s="943" t="str">
        <f>IFERROR(IF(AE12="","",AE12*$I12),"")</f>
        <v/>
      </c>
      <c r="AG12" s="944"/>
      <c r="AH12" s="942" t="str">
        <f>IF(AG12="","",IF($D12="",AG12,IF($D12="CO2e",AG12,AG12*HLOOKUP($E12,Reference!$F$85:$I$105,12,FALSE))))</f>
        <v/>
      </c>
      <c r="AI12" s="943" t="str">
        <f>IFERROR(IF(AH12="","",AH12*$I12),"")</f>
        <v/>
      </c>
      <c r="AJ12" s="944"/>
      <c r="AK12" s="942" t="str">
        <f>IF(AJ12="","",IF($D12="",AJ12,IF($D12="CO2e",AJ12,AJ12*HLOOKUP($E12,Reference!$F$85:$I$105,13,FALSE))))</f>
        <v/>
      </c>
      <c r="AL12" s="943" t="str">
        <f>IFERROR(IF(AK12="","",AK12*$I12),"")</f>
        <v/>
      </c>
      <c r="AM12" s="944"/>
      <c r="AN12" s="942" t="str">
        <f>IF(AM12="","",IF($D12="",AM12,IF($D12="CO2e",AM12,AM12*HLOOKUP($E12,Reference!$F$85:$I$105,14,FALSE))))</f>
        <v/>
      </c>
      <c r="AO12" s="943" t="str">
        <f>IFERROR(IF(AN12="","",AN12*$I12),"")</f>
        <v/>
      </c>
      <c r="AP12" s="944"/>
      <c r="AQ12" s="942" t="str">
        <f>IF(AP12="","",IF($D12="",AP12,IF($D12="CO2e",AP12,AP12*HLOOKUP($E12,Reference!$F$85:$I$105,15,FALSE))))</f>
        <v/>
      </c>
      <c r="AR12" s="943" t="str">
        <f>IFERROR(IF(AQ12="","",AQ12*$I12),"")</f>
        <v/>
      </c>
      <c r="AS12" s="944"/>
      <c r="AT12" s="942" t="str">
        <f>IF(AS12="","",IF($D12="",AS12,IF($D12="CO2e",AS12,AS12*HLOOKUP($E12,Reference!$F$85:$I$105,16,FALSE))))</f>
        <v/>
      </c>
      <c r="AU12" s="943" t="str">
        <f>IFERROR(IF(AT12="","",AT12*$I12),"")</f>
        <v/>
      </c>
      <c r="AV12" s="944"/>
      <c r="AW12" s="942" t="str">
        <f>IF(AV12="","",IF($D12="",AV12,IF($D12="CO2e",AV12,AV12*HLOOKUP($E12,Reference!$F$85:$I$105,17,FALSE))))</f>
        <v/>
      </c>
      <c r="AX12" s="943" t="str">
        <f>IFERROR(IF(AW12="","",AW12*$I12),"")</f>
        <v/>
      </c>
      <c r="AY12" s="944"/>
      <c r="AZ12" s="942" t="str">
        <f>IF(AY12="","",IF($D12="",AY12,IF($D12="CO2e",AY12,AY12*HLOOKUP($E12,Reference!$F$85:$I$105,18,FALSE))))</f>
        <v/>
      </c>
      <c r="BA12" s="943" t="str">
        <f>IFERROR(IF(AZ12="","",AZ12*$I12),"")</f>
        <v/>
      </c>
      <c r="BB12" s="944"/>
      <c r="BC12" s="942" t="str">
        <f>IF(BB12="","",IF($D12="",BB12,IF($D12="CO2e",BB12,BB12*HLOOKUP($E12,Reference!$F$85:$I$105,19,FALSE))))</f>
        <v/>
      </c>
      <c r="BD12" s="943" t="str">
        <f>IFERROR(IF(BC12="","",BC12*$I12),"")</f>
        <v/>
      </c>
      <c r="BE12" s="944"/>
      <c r="BF12" s="942" t="str">
        <f>IF(BE12="","",IF($D12="",BE12,IF($D12="CO2e",BE12,BE12*HLOOKUP($E12,Reference!$F$85:$I$105,20,FALSE))))</f>
        <v/>
      </c>
      <c r="BG12" s="945" t="str">
        <f>IFERROR(IF(BF12="","",BF12*$I12),"")</f>
        <v/>
      </c>
      <c r="BH12" s="943"/>
      <c r="BI12" s="942" t="str">
        <f>IF(BH12="","",IF($D12="",BH12,IF($D12="CO2e",BH12,BH12*HLOOKUP($E12,Reference!$F$85:$I$105,6,FALSE))))</f>
        <v/>
      </c>
      <c r="BJ12" s="945" t="str">
        <f>IFERROR(IF(BI12="","",BI12*$I12),"")</f>
        <v/>
      </c>
      <c r="BK12" s="942"/>
      <c r="BL12" s="942" t="str">
        <f>IF(BK12="","",IF($D12="",BK12,IF($D12="CO2e",BK12,BK12*HLOOKUP($E12,Reference!$F$85:$I$105,6,FALSE))))</f>
        <v/>
      </c>
      <c r="BM12" s="945" t="str">
        <f t="shared" ref="BM12:BM26" si="4">IFERROR(IF(BL12="","",BL12*$I12),"")</f>
        <v/>
      </c>
      <c r="BN12" s="946"/>
      <c r="BO12" s="938" t="str">
        <f t="shared" ref="BO12:BO26" si="5">IFERROR(IF(BN12="","",BN12*$I12),"")</f>
        <v/>
      </c>
      <c r="BP12" s="937">
        <v>0</v>
      </c>
      <c r="BQ12" s="938">
        <f t="shared" ref="BQ12:BQ26" si="6">IFERROR(IF(BP12="","",BP12*$I12),"")</f>
        <v>0</v>
      </c>
      <c r="BR12" s="964">
        <v>2006</v>
      </c>
      <c r="BS12" s="947" t="s">
        <v>756</v>
      </c>
      <c r="BT12" s="948" t="s">
        <v>1151</v>
      </c>
      <c r="BU12" s="949" t="s">
        <v>1148</v>
      </c>
      <c r="BW12" s="888" t="s">
        <v>1190</v>
      </c>
    </row>
    <row r="13" spans="1:122" s="888" customFormat="1" ht="31.5">
      <c r="B13" s="929" t="s">
        <v>1159</v>
      </c>
      <c r="C13" s="930" t="s">
        <v>1160</v>
      </c>
      <c r="D13" s="931" t="s">
        <v>960</v>
      </c>
      <c r="E13" s="932" t="s">
        <v>867</v>
      </c>
      <c r="F13" s="933" t="s">
        <v>927</v>
      </c>
      <c r="G13" s="934" t="str">
        <f t="shared" si="0"/>
        <v>/</v>
      </c>
      <c r="H13" s="935" t="s">
        <v>913</v>
      </c>
      <c r="I13" s="936">
        <f>IFERROR(IF(F13="","",VLOOKUP(F13,Reference!$D$137:$F$141,3,FALSE)),"")</f>
        <v>1</v>
      </c>
      <c r="J13" s="937">
        <v>74.099999999999994</v>
      </c>
      <c r="K13" s="938">
        <f t="shared" si="1"/>
        <v>74.099999999999994</v>
      </c>
      <c r="L13" s="937">
        <v>3.0000000000000001E-3</v>
      </c>
      <c r="M13" s="936">
        <f>IF(L13="","",IF($D13="",L13,IF($D13="CO2e",L13,L13*HLOOKUP($E13,Reference!$F$85:$I$105,4,FALSE))))</f>
        <v>7.4999999999999997E-2</v>
      </c>
      <c r="N13" s="938">
        <f t="shared" si="2"/>
        <v>7.4999999999999997E-2</v>
      </c>
      <c r="O13" s="937">
        <v>5.9999999999999995E-4</v>
      </c>
      <c r="P13" s="936">
        <f>IF(O13="","",IF($D13="",O13,IF($D13="CO2e",O13,O13*HLOOKUP($E13,Reference!$F$85:$I$105,5,FALSE))))</f>
        <v>0.17879999999999999</v>
      </c>
      <c r="Q13" s="938">
        <f t="shared" si="3"/>
        <v>0.17879999999999999</v>
      </c>
      <c r="R13" s="939"/>
      <c r="S13" s="940" t="str">
        <f>IF(R13="","",IF($D13="",R13,IF($D13="CO2e",R13,R13*HLOOKUP($E13,Reference!$F$85:$I$105,7,FALSE))))</f>
        <v/>
      </c>
      <c r="T13" s="941" t="str">
        <f t="shared" ref="T13:T23" si="7">IFERROR(IF(S13="","",S13*$I13),"")</f>
        <v/>
      </c>
      <c r="U13" s="939"/>
      <c r="V13" s="942" t="str">
        <f>IF(U13="","",IF($D13="",U13,IF($D13="CO2e",U13,U13*HLOOKUP($E13,Reference!$F$85:$I$105,8,FALSE))))</f>
        <v/>
      </c>
      <c r="W13" s="943" t="str">
        <f t="shared" ref="W13:W23" si="8">IFERROR(IF(V13="","",V13*$I13),"")</f>
        <v/>
      </c>
      <c r="X13" s="944"/>
      <c r="Y13" s="942" t="str">
        <f>IF(X13="","",IF($D13="",X13,IF($D13="CO2e",X13,X13*HLOOKUP($E13,Reference!$F$85:$I$105,9,FALSE))))</f>
        <v/>
      </c>
      <c r="Z13" s="943" t="str">
        <f t="shared" ref="Z13:Z23" si="9">IFERROR(IF(Y13="","",Y13*$I13),"")</f>
        <v/>
      </c>
      <c r="AA13" s="944"/>
      <c r="AB13" s="942" t="str">
        <f>IF(AA13="","",IF($D13="",AA13,IF($D13="CO2e",AA13,AA13*HLOOKUP($E13,Reference!$F$85:$I$105,10,FALSE))))</f>
        <v/>
      </c>
      <c r="AC13" s="943" t="str">
        <f t="shared" ref="AC13:AC26" si="10">IFERROR(IF(AB13="","",AB13*$I13),"")</f>
        <v/>
      </c>
      <c r="AD13" s="944"/>
      <c r="AE13" s="942" t="str">
        <f>IF(AD13="","",IF($D13="",AD13,IF($D13="CO2e",AD13,AD13*HLOOKUP($E13,Reference!$F$85:$I$105,11,FALSE))))</f>
        <v/>
      </c>
      <c r="AF13" s="943" t="str">
        <f t="shared" ref="AF13:AF26" si="11">IFERROR(IF(AE13="","",AE13*$I13),"")</f>
        <v/>
      </c>
      <c r="AG13" s="944"/>
      <c r="AH13" s="942" t="str">
        <f>IF(AG13="","",IF($D13="",AG13,IF($D13="CO2e",AG13,AG13*HLOOKUP($E13,Reference!$F$85:$I$105,12,FALSE))))</f>
        <v/>
      </c>
      <c r="AI13" s="943" t="str">
        <f t="shared" ref="AI13:AI26" si="12">IFERROR(IF(AH13="","",AH13*$I13),"")</f>
        <v/>
      </c>
      <c r="AJ13" s="944"/>
      <c r="AK13" s="942" t="str">
        <f>IF(AJ13="","",IF($D13="",AJ13,IF($D13="CO2e",AJ13,AJ13*HLOOKUP($E13,Reference!$F$85:$I$105,13,FALSE))))</f>
        <v/>
      </c>
      <c r="AL13" s="943" t="str">
        <f t="shared" ref="AL13:AL26" si="13">IFERROR(IF(AK13="","",AK13*$I13),"")</f>
        <v/>
      </c>
      <c r="AM13" s="944"/>
      <c r="AN13" s="942" t="str">
        <f>IF(AM13="","",IF($D13="",AM13,IF($D13="CO2e",AM13,AM13*HLOOKUP($E13,Reference!$F$85:$I$105,14,FALSE))))</f>
        <v/>
      </c>
      <c r="AO13" s="943" t="str">
        <f t="shared" ref="AO13:AO26" si="14">IFERROR(IF(AN13="","",AN13*$I13),"")</f>
        <v/>
      </c>
      <c r="AP13" s="944"/>
      <c r="AQ13" s="942" t="str">
        <f>IF(AP13="","",IF($D13="",AP13,IF($D13="CO2e",AP13,AP13*HLOOKUP($E13,Reference!$F$85:$I$105,15,FALSE))))</f>
        <v/>
      </c>
      <c r="AR13" s="943" t="str">
        <f t="shared" ref="AR13:AR26" si="15">IFERROR(IF(AQ13="","",AQ13*$I13),"")</f>
        <v/>
      </c>
      <c r="AS13" s="944"/>
      <c r="AT13" s="942" t="str">
        <f>IF(AS13="","",IF($D13="",AS13,IF($D13="CO2e",AS13,AS13*HLOOKUP($E13,Reference!$F$85:$I$105,16,FALSE))))</f>
        <v/>
      </c>
      <c r="AU13" s="943" t="str">
        <f t="shared" ref="AU13:AU26" si="16">IFERROR(IF(AT13="","",AT13*$I13),"")</f>
        <v/>
      </c>
      <c r="AV13" s="944"/>
      <c r="AW13" s="942" t="str">
        <f>IF(AV13="","",IF($D13="",AV13,IF($D13="CO2e",AV13,AV13*HLOOKUP($E13,Reference!$F$85:$I$105,17,FALSE))))</f>
        <v/>
      </c>
      <c r="AX13" s="943" t="str">
        <f t="shared" ref="AX13:AX26" si="17">IFERROR(IF(AW13="","",AW13*$I13),"")</f>
        <v/>
      </c>
      <c r="AY13" s="944"/>
      <c r="AZ13" s="942" t="str">
        <f>IF(AY13="","",IF($D13="",AY13,IF($D13="CO2e",AY13,AY13*HLOOKUP($E13,Reference!$F$85:$I$105,18,FALSE))))</f>
        <v/>
      </c>
      <c r="BA13" s="943" t="str">
        <f t="shared" ref="BA13:BA26" si="18">IFERROR(IF(AZ13="","",AZ13*$I13),"")</f>
        <v/>
      </c>
      <c r="BB13" s="944"/>
      <c r="BC13" s="942" t="str">
        <f>IF(BB13="","",IF($D13="",BB13,IF($D13="CO2e",BB13,BB13*HLOOKUP($E13,Reference!$F$85:$I$105,19,FALSE))))</f>
        <v/>
      </c>
      <c r="BD13" s="943" t="str">
        <f t="shared" ref="BD13:BD26" si="19">IFERROR(IF(BC13="","",BC13*$I13),"")</f>
        <v/>
      </c>
      <c r="BE13" s="944"/>
      <c r="BF13" s="942" t="str">
        <f>IF(BE13="","",IF($D13="",BE13,IF($D13="CO2e",BE13,BE13*HLOOKUP($E13,Reference!$F$85:$I$105,20,FALSE))))</f>
        <v/>
      </c>
      <c r="BG13" s="945" t="str">
        <f t="shared" ref="BG13:BG26" si="20">IFERROR(IF(BF13="","",BF13*$I13),"")</f>
        <v/>
      </c>
      <c r="BH13" s="942"/>
      <c r="BI13" s="942" t="str">
        <f>IF(BH13="","",IF($D13="",BH13,IF($D13="CO2e",BH13,BH13*HLOOKUP($E13,Reference!$F$85:$I$105,6,FALSE))))</f>
        <v/>
      </c>
      <c r="BJ13" s="945" t="str">
        <f t="shared" ref="BJ13:BJ26" si="21">IFERROR(IF(BI13="","",BI13*$I13),"")</f>
        <v/>
      </c>
      <c r="BK13" s="942"/>
      <c r="BL13" s="942" t="str">
        <f>IF(BK13="","",IF($D13="",BK13,IF($D13="CO2e",BK13,BK13*HLOOKUP($E13,Reference!$F$85:$I$105,6,FALSE))))</f>
        <v/>
      </c>
      <c r="BM13" s="945" t="str">
        <f t="shared" si="4"/>
        <v/>
      </c>
      <c r="BN13" s="946"/>
      <c r="BO13" s="938" t="str">
        <f t="shared" si="5"/>
        <v/>
      </c>
      <c r="BP13" s="937">
        <v>0</v>
      </c>
      <c r="BQ13" s="938">
        <f t="shared" si="6"/>
        <v>0</v>
      </c>
      <c r="BR13" s="963">
        <v>2006</v>
      </c>
      <c r="BS13" s="947" t="s">
        <v>756</v>
      </c>
      <c r="BT13" s="948" t="s">
        <v>1163</v>
      </c>
      <c r="BU13" s="949" t="s">
        <v>1148</v>
      </c>
      <c r="BW13" s="888" t="s">
        <v>1191</v>
      </c>
    </row>
    <row r="14" spans="1:122" s="888" customFormat="1">
      <c r="B14" s="929" t="s">
        <v>1224</v>
      </c>
      <c r="C14" s="930" t="s">
        <v>1225</v>
      </c>
      <c r="D14" s="931" t="s">
        <v>960</v>
      </c>
      <c r="E14" s="932" t="s">
        <v>867</v>
      </c>
      <c r="F14" s="933" t="s">
        <v>927</v>
      </c>
      <c r="G14" s="934" t="str">
        <f t="shared" si="0"/>
        <v>/</v>
      </c>
      <c r="H14" s="935" t="s">
        <v>913</v>
      </c>
      <c r="I14" s="936">
        <f>IFERROR(IF(F14="","",VLOOKUP(F14,Reference!$D$137:$F$141,3,FALSE)),"")</f>
        <v>1</v>
      </c>
      <c r="J14" s="937">
        <v>63.1</v>
      </c>
      <c r="K14" s="938">
        <f t="shared" si="1"/>
        <v>63.1</v>
      </c>
      <c r="L14" s="937">
        <v>1E-3</v>
      </c>
      <c r="M14" s="936">
        <f>IF(L14="","",IF($D14="",L14,IF($D14="CO2e",L14,L14*HLOOKUP($E14,Reference!$F$85:$I$105,4,FALSE))))</f>
        <v>2.5000000000000001E-2</v>
      </c>
      <c r="N14" s="938">
        <f t="shared" si="2"/>
        <v>2.5000000000000001E-2</v>
      </c>
      <c r="O14" s="937">
        <v>1E-4</v>
      </c>
      <c r="P14" s="936">
        <f>IF(O14="","",IF($D14="",O14,IF($D14="CO2e",O14,O14*HLOOKUP($E14,Reference!$F$85:$I$105,5,FALSE))))</f>
        <v>2.98E-2</v>
      </c>
      <c r="Q14" s="938">
        <f t="shared" si="3"/>
        <v>2.98E-2</v>
      </c>
      <c r="R14" s="939"/>
      <c r="S14" s="940"/>
      <c r="T14" s="941"/>
      <c r="U14" s="939"/>
      <c r="V14" s="942"/>
      <c r="W14" s="943"/>
      <c r="X14" s="944"/>
      <c r="Y14" s="942"/>
      <c r="Z14" s="943"/>
      <c r="AA14" s="944"/>
      <c r="AB14" s="942"/>
      <c r="AC14" s="943"/>
      <c r="AD14" s="944"/>
      <c r="AE14" s="942"/>
      <c r="AF14" s="943"/>
      <c r="AG14" s="944"/>
      <c r="AH14" s="942"/>
      <c r="AI14" s="943"/>
      <c r="AJ14" s="944"/>
      <c r="AK14" s="942"/>
      <c r="AL14" s="943"/>
      <c r="AM14" s="944"/>
      <c r="AN14" s="942"/>
      <c r="AO14" s="943"/>
      <c r="AP14" s="944"/>
      <c r="AQ14" s="942"/>
      <c r="AR14" s="943"/>
      <c r="AS14" s="944"/>
      <c r="AT14" s="942"/>
      <c r="AU14" s="943"/>
      <c r="AV14" s="944"/>
      <c r="AW14" s="942"/>
      <c r="AX14" s="943"/>
      <c r="AY14" s="944"/>
      <c r="AZ14" s="942"/>
      <c r="BA14" s="943"/>
      <c r="BB14" s="944"/>
      <c r="BC14" s="942"/>
      <c r="BD14" s="943"/>
      <c r="BE14" s="944"/>
      <c r="BF14" s="942"/>
      <c r="BG14" s="945"/>
      <c r="BH14" s="942"/>
      <c r="BI14" s="942"/>
      <c r="BJ14" s="945"/>
      <c r="BK14" s="942"/>
      <c r="BL14" s="942"/>
      <c r="BM14" s="945"/>
      <c r="BN14" s="946"/>
      <c r="BO14" s="938" t="str">
        <f t="shared" si="5"/>
        <v/>
      </c>
      <c r="BP14" s="937">
        <v>0</v>
      </c>
      <c r="BQ14" s="938">
        <f t="shared" si="6"/>
        <v>0</v>
      </c>
      <c r="BR14" s="963">
        <v>2006</v>
      </c>
      <c r="BS14" s="947" t="s">
        <v>756</v>
      </c>
      <c r="BT14" s="948" t="s">
        <v>1226</v>
      </c>
      <c r="BU14" s="949" t="s">
        <v>1148</v>
      </c>
    </row>
    <row r="15" spans="1:122" s="888" customFormat="1" ht="31.5">
      <c r="B15" s="929" t="s">
        <v>1227</v>
      </c>
      <c r="C15" s="930" t="s">
        <v>1228</v>
      </c>
      <c r="D15" s="931" t="s">
        <v>960</v>
      </c>
      <c r="E15" s="932" t="s">
        <v>867</v>
      </c>
      <c r="F15" s="933" t="s">
        <v>927</v>
      </c>
      <c r="G15" s="934" t="str">
        <f t="shared" si="0"/>
        <v>/</v>
      </c>
      <c r="H15" s="935" t="s">
        <v>913</v>
      </c>
      <c r="I15" s="936">
        <f>IFERROR(IF(F15="","",VLOOKUP(F15,Reference!$D$137:$F$141,3,FALSE)),"")</f>
        <v>1</v>
      </c>
      <c r="J15" s="937">
        <v>71.5</v>
      </c>
      <c r="K15" s="938">
        <f t="shared" si="1"/>
        <v>71.5</v>
      </c>
      <c r="L15" s="937">
        <v>3.0000000000000001E-3</v>
      </c>
      <c r="M15" s="936">
        <f>IF(L15="","",IF($D15="",L15,IF($D15="CO2e",L15,L15*HLOOKUP($E15,Reference!$F$85:$I$105,4,FALSE))))</f>
        <v>7.4999999999999997E-2</v>
      </c>
      <c r="N15" s="938">
        <f t="shared" si="2"/>
        <v>7.4999999999999997E-2</v>
      </c>
      <c r="O15" s="937">
        <v>5.9999999999999995E-4</v>
      </c>
      <c r="P15" s="936">
        <f>IF(O15="","",IF($D15="",O15,IF($D15="CO2e",O15,O15*HLOOKUP($E15,Reference!$F$85:$I$105,5,FALSE))))</f>
        <v>0.17879999999999999</v>
      </c>
      <c r="Q15" s="938">
        <f t="shared" si="3"/>
        <v>0.17879999999999999</v>
      </c>
      <c r="R15" s="939"/>
      <c r="S15" s="940"/>
      <c r="T15" s="941"/>
      <c r="U15" s="939"/>
      <c r="V15" s="942"/>
      <c r="W15" s="943"/>
      <c r="X15" s="944"/>
      <c r="Y15" s="942"/>
      <c r="Z15" s="943"/>
      <c r="AA15" s="944"/>
      <c r="AB15" s="942"/>
      <c r="AC15" s="943"/>
      <c r="AD15" s="944"/>
      <c r="AE15" s="942"/>
      <c r="AF15" s="943"/>
      <c r="AG15" s="944"/>
      <c r="AH15" s="942"/>
      <c r="AI15" s="943"/>
      <c r="AJ15" s="944"/>
      <c r="AK15" s="942"/>
      <c r="AL15" s="943"/>
      <c r="AM15" s="944"/>
      <c r="AN15" s="942"/>
      <c r="AO15" s="943"/>
      <c r="AP15" s="944"/>
      <c r="AQ15" s="942"/>
      <c r="AR15" s="943"/>
      <c r="AS15" s="944"/>
      <c r="AT15" s="942"/>
      <c r="AU15" s="943"/>
      <c r="AV15" s="944"/>
      <c r="AW15" s="942"/>
      <c r="AX15" s="943"/>
      <c r="AY15" s="944"/>
      <c r="AZ15" s="942"/>
      <c r="BA15" s="943"/>
      <c r="BB15" s="944"/>
      <c r="BC15" s="942"/>
      <c r="BD15" s="943"/>
      <c r="BE15" s="944"/>
      <c r="BF15" s="942"/>
      <c r="BG15" s="945"/>
      <c r="BH15" s="942"/>
      <c r="BI15" s="942"/>
      <c r="BJ15" s="945"/>
      <c r="BK15" s="942"/>
      <c r="BL15" s="942"/>
      <c r="BM15" s="945"/>
      <c r="BN15" s="946"/>
      <c r="BO15" s="938" t="str">
        <f t="shared" si="5"/>
        <v/>
      </c>
      <c r="BP15" s="937">
        <v>0</v>
      </c>
      <c r="BQ15" s="938">
        <f t="shared" si="6"/>
        <v>0</v>
      </c>
      <c r="BR15" s="963">
        <v>2006</v>
      </c>
      <c r="BS15" s="947" t="s">
        <v>756</v>
      </c>
      <c r="BT15" s="948" t="s">
        <v>1233</v>
      </c>
      <c r="BU15" s="949" t="s">
        <v>1148</v>
      </c>
    </row>
    <row r="16" spans="1:122" s="888" customFormat="1" ht="31.5">
      <c r="B16" s="929" t="s">
        <v>1229</v>
      </c>
      <c r="C16" s="930" t="s">
        <v>1231</v>
      </c>
      <c r="D16" s="931" t="s">
        <v>960</v>
      </c>
      <c r="E16" s="932" t="s">
        <v>867</v>
      </c>
      <c r="F16" s="933" t="s">
        <v>927</v>
      </c>
      <c r="G16" s="934" t="str">
        <f t="shared" si="0"/>
        <v>/</v>
      </c>
      <c r="H16" s="935" t="s">
        <v>913</v>
      </c>
      <c r="I16" s="936">
        <f>IFERROR(IF(F16="","",VLOOKUP(F16,Reference!$D$137:$F$141,3,FALSE)),"")</f>
        <v>1</v>
      </c>
      <c r="J16" s="937">
        <v>0</v>
      </c>
      <c r="K16" s="938">
        <f t="shared" si="1"/>
        <v>0</v>
      </c>
      <c r="L16" s="937">
        <v>0.2</v>
      </c>
      <c r="M16" s="936">
        <f>IF(L16="","",IF($D16="",L16,IF($D16="CO2e",L16,L16*HLOOKUP($E16,Reference!$F$85:$I$105,4,FALSE))))</f>
        <v>5</v>
      </c>
      <c r="N16" s="938">
        <f t="shared" si="2"/>
        <v>5</v>
      </c>
      <c r="O16" s="937">
        <v>4.0000000000000001E-3</v>
      </c>
      <c r="P16" s="936">
        <f>IF(O16="","",IF($D16="",O16,IF($D16="CO2e",O16,O16*HLOOKUP($E16,Reference!$F$85:$I$105,5,FALSE))))</f>
        <v>1.1919999999999999</v>
      </c>
      <c r="Q16" s="938">
        <f t="shared" si="3"/>
        <v>1.1919999999999999</v>
      </c>
      <c r="R16" s="939"/>
      <c r="S16" s="940"/>
      <c r="T16" s="941"/>
      <c r="U16" s="939"/>
      <c r="V16" s="942"/>
      <c r="W16" s="943"/>
      <c r="X16" s="944"/>
      <c r="Y16" s="942"/>
      <c r="Z16" s="943"/>
      <c r="AA16" s="944"/>
      <c r="AB16" s="942"/>
      <c r="AC16" s="943"/>
      <c r="AD16" s="944"/>
      <c r="AE16" s="942"/>
      <c r="AF16" s="943"/>
      <c r="AG16" s="944"/>
      <c r="AH16" s="942"/>
      <c r="AI16" s="943"/>
      <c r="AJ16" s="944"/>
      <c r="AK16" s="942"/>
      <c r="AL16" s="943"/>
      <c r="AM16" s="944"/>
      <c r="AN16" s="942"/>
      <c r="AO16" s="943"/>
      <c r="AP16" s="944"/>
      <c r="AQ16" s="942"/>
      <c r="AR16" s="943"/>
      <c r="AS16" s="944"/>
      <c r="AT16" s="942"/>
      <c r="AU16" s="943"/>
      <c r="AV16" s="944"/>
      <c r="AW16" s="942"/>
      <c r="AX16" s="943"/>
      <c r="AY16" s="944"/>
      <c r="AZ16" s="942"/>
      <c r="BA16" s="943"/>
      <c r="BB16" s="944"/>
      <c r="BC16" s="942"/>
      <c r="BD16" s="943"/>
      <c r="BE16" s="944"/>
      <c r="BF16" s="942"/>
      <c r="BG16" s="945"/>
      <c r="BH16" s="942"/>
      <c r="BI16" s="942"/>
      <c r="BJ16" s="945"/>
      <c r="BK16" s="942"/>
      <c r="BL16" s="942"/>
      <c r="BM16" s="945"/>
      <c r="BN16" s="946"/>
      <c r="BO16" s="938" t="str">
        <f t="shared" si="5"/>
        <v/>
      </c>
      <c r="BP16" s="937">
        <v>112</v>
      </c>
      <c r="BQ16" s="938">
        <f t="shared" si="6"/>
        <v>112</v>
      </c>
      <c r="BR16" s="963">
        <v>2006</v>
      </c>
      <c r="BS16" s="947" t="s">
        <v>756</v>
      </c>
      <c r="BT16" s="948" t="s">
        <v>1234</v>
      </c>
      <c r="BU16" s="949" t="s">
        <v>1148</v>
      </c>
    </row>
    <row r="17" spans="2:75" s="888" customFormat="1">
      <c r="B17" s="929" t="s">
        <v>1230</v>
      </c>
      <c r="C17" s="930" t="s">
        <v>1232</v>
      </c>
      <c r="D17" s="931" t="s">
        <v>960</v>
      </c>
      <c r="E17" s="932" t="s">
        <v>867</v>
      </c>
      <c r="F17" s="933" t="s">
        <v>927</v>
      </c>
      <c r="G17" s="934" t="str">
        <f t="shared" si="0"/>
        <v>/</v>
      </c>
      <c r="H17" s="935" t="s">
        <v>913</v>
      </c>
      <c r="I17" s="936">
        <f>IFERROR(IF(F17="","",VLOOKUP(F17,Reference!$D$137:$F$141,3,FALSE)),"")</f>
        <v>1</v>
      </c>
      <c r="J17" s="937">
        <v>0</v>
      </c>
      <c r="K17" s="938">
        <f t="shared" si="1"/>
        <v>0</v>
      </c>
      <c r="L17" s="937">
        <v>0.03</v>
      </c>
      <c r="M17" s="936">
        <f>IF(L17="","",IF($D17="",L17,IF($D17="CO2e",L17,L17*HLOOKUP($E17,Reference!$F$85:$I$105,4,FALSE))))</f>
        <v>0.75</v>
      </c>
      <c r="N17" s="938">
        <f t="shared" si="2"/>
        <v>0.75</v>
      </c>
      <c r="O17" s="937">
        <v>4.0000000000000001E-3</v>
      </c>
      <c r="P17" s="936">
        <f>IF(O17="","",IF($D17="",O17,IF($D17="CO2e",O17,O17*HLOOKUP($E17,Reference!$F$85:$I$105,5,FALSE))))</f>
        <v>1.1919999999999999</v>
      </c>
      <c r="Q17" s="938">
        <f t="shared" si="3"/>
        <v>1.1919999999999999</v>
      </c>
      <c r="R17" s="939"/>
      <c r="S17" s="940"/>
      <c r="T17" s="941"/>
      <c r="U17" s="939"/>
      <c r="V17" s="942"/>
      <c r="W17" s="943"/>
      <c r="X17" s="944"/>
      <c r="Y17" s="942"/>
      <c r="Z17" s="943"/>
      <c r="AA17" s="944"/>
      <c r="AB17" s="942"/>
      <c r="AC17" s="943"/>
      <c r="AD17" s="944"/>
      <c r="AE17" s="942"/>
      <c r="AF17" s="943"/>
      <c r="AG17" s="944"/>
      <c r="AH17" s="942"/>
      <c r="AI17" s="943"/>
      <c r="AJ17" s="944"/>
      <c r="AK17" s="942"/>
      <c r="AL17" s="943"/>
      <c r="AM17" s="944"/>
      <c r="AN17" s="942"/>
      <c r="AO17" s="943"/>
      <c r="AP17" s="944"/>
      <c r="AQ17" s="942"/>
      <c r="AR17" s="943"/>
      <c r="AS17" s="944"/>
      <c r="AT17" s="942"/>
      <c r="AU17" s="943"/>
      <c r="AV17" s="944"/>
      <c r="AW17" s="942"/>
      <c r="AX17" s="943"/>
      <c r="AY17" s="944"/>
      <c r="AZ17" s="942"/>
      <c r="BA17" s="943"/>
      <c r="BB17" s="944"/>
      <c r="BC17" s="942"/>
      <c r="BD17" s="943"/>
      <c r="BE17" s="944"/>
      <c r="BF17" s="942"/>
      <c r="BG17" s="945"/>
      <c r="BH17" s="942"/>
      <c r="BI17" s="942"/>
      <c r="BJ17" s="945"/>
      <c r="BK17" s="942"/>
      <c r="BL17" s="942"/>
      <c r="BM17" s="945"/>
      <c r="BN17" s="946"/>
      <c r="BO17" s="938" t="str">
        <f t="shared" si="5"/>
        <v/>
      </c>
      <c r="BP17" s="937">
        <v>112</v>
      </c>
      <c r="BQ17" s="938">
        <f t="shared" si="6"/>
        <v>112</v>
      </c>
      <c r="BR17" s="963">
        <v>2006</v>
      </c>
      <c r="BS17" s="947" t="s">
        <v>756</v>
      </c>
      <c r="BT17" s="948" t="s">
        <v>1235</v>
      </c>
      <c r="BU17" s="949" t="s">
        <v>1148</v>
      </c>
    </row>
    <row r="18" spans="2:75" s="888" customFormat="1" ht="31.5">
      <c r="B18" s="929" t="s">
        <v>1162</v>
      </c>
      <c r="C18" s="930" t="s">
        <v>1161</v>
      </c>
      <c r="D18" s="931" t="s">
        <v>960</v>
      </c>
      <c r="E18" s="932" t="s">
        <v>867</v>
      </c>
      <c r="F18" s="933" t="s">
        <v>927</v>
      </c>
      <c r="G18" s="934" t="str">
        <f t="shared" si="0"/>
        <v>/</v>
      </c>
      <c r="H18" s="935" t="s">
        <v>913</v>
      </c>
      <c r="I18" s="936">
        <f>IFERROR(IF(F18="","",VLOOKUP(F18,Reference!$D$137:$F$141,3,FALSE)),"")</f>
        <v>1</v>
      </c>
      <c r="J18" s="937">
        <v>74.099999999999994</v>
      </c>
      <c r="K18" s="938">
        <f t="shared" si="1"/>
        <v>74.099999999999994</v>
      </c>
      <c r="L18" s="937">
        <v>3.8999999999999998E-3</v>
      </c>
      <c r="M18" s="936">
        <f>IF(L18="","",IF($D18="",L18,IF($D18="CO2e",L18,L18*HLOOKUP($E18,Reference!$F$85:$I$105,4,FALSE))))</f>
        <v>9.7499999999999989E-2</v>
      </c>
      <c r="N18" s="938">
        <f t="shared" si="2"/>
        <v>9.7499999999999989E-2</v>
      </c>
      <c r="O18" s="937">
        <v>3.8999999999999998E-3</v>
      </c>
      <c r="P18" s="936">
        <f>IF(O18="","",IF($D18="",O18,IF($D18="CO2e",O18,O18*HLOOKUP($E18,Reference!$F$85:$I$105,5,FALSE))))</f>
        <v>1.1621999999999999</v>
      </c>
      <c r="Q18" s="938">
        <f t="shared" si="3"/>
        <v>1.1621999999999999</v>
      </c>
      <c r="R18" s="939"/>
      <c r="S18" s="940" t="str">
        <f>IF(R18="","",IF($D18="",R18,IF($D18="CO2e",R18,R18*HLOOKUP($E18,Reference!$F$85:$I$105,7,FALSE))))</f>
        <v/>
      </c>
      <c r="T18" s="941" t="str">
        <f t="shared" si="7"/>
        <v/>
      </c>
      <c r="U18" s="939"/>
      <c r="V18" s="942" t="str">
        <f>IF(U18="","",IF($D18="",U18,IF($D18="CO2e",U18,U18*HLOOKUP($E18,Reference!$F$85:$I$105,8,FALSE))))</f>
        <v/>
      </c>
      <c r="W18" s="943" t="str">
        <f t="shared" si="8"/>
        <v/>
      </c>
      <c r="X18" s="944"/>
      <c r="Y18" s="942" t="str">
        <f>IF(X18="","",IF($D18="",X18,IF($D18="CO2e",X18,X18*HLOOKUP($E18,Reference!$F$85:$I$105,9,FALSE))))</f>
        <v/>
      </c>
      <c r="Z18" s="943" t="str">
        <f t="shared" si="9"/>
        <v/>
      </c>
      <c r="AA18" s="944"/>
      <c r="AB18" s="942" t="str">
        <f>IF(AA18="","",IF($D18="",AA18,IF($D18="CO2e",AA18,AA18*HLOOKUP($E18,Reference!$F$85:$I$105,10,FALSE))))</f>
        <v/>
      </c>
      <c r="AC18" s="943" t="str">
        <f t="shared" si="10"/>
        <v/>
      </c>
      <c r="AD18" s="944"/>
      <c r="AE18" s="942" t="str">
        <f>IF(AD18="","",IF($D18="",AD18,IF($D18="CO2e",AD18,AD18*HLOOKUP($E18,Reference!$F$85:$I$105,11,FALSE))))</f>
        <v/>
      </c>
      <c r="AF18" s="943" t="str">
        <f t="shared" si="11"/>
        <v/>
      </c>
      <c r="AG18" s="944"/>
      <c r="AH18" s="942" t="str">
        <f>IF(AG18="","",IF($D18="",AG18,IF($D18="CO2e",AG18,AG18*HLOOKUP($E18,Reference!$F$85:$I$105,12,FALSE))))</f>
        <v/>
      </c>
      <c r="AI18" s="943" t="str">
        <f t="shared" si="12"/>
        <v/>
      </c>
      <c r="AJ18" s="944"/>
      <c r="AK18" s="942" t="str">
        <f>IF(AJ18="","",IF($D18="",AJ18,IF($D18="CO2e",AJ18,AJ18*HLOOKUP($E18,Reference!$F$85:$I$105,13,FALSE))))</f>
        <v/>
      </c>
      <c r="AL18" s="943" t="str">
        <f t="shared" si="13"/>
        <v/>
      </c>
      <c r="AM18" s="944"/>
      <c r="AN18" s="942" t="str">
        <f>IF(AM18="","",IF($D18="",AM18,IF($D18="CO2e",AM18,AM18*HLOOKUP($E18,Reference!$F$85:$I$105,14,FALSE))))</f>
        <v/>
      </c>
      <c r="AO18" s="943" t="str">
        <f t="shared" si="14"/>
        <v/>
      </c>
      <c r="AP18" s="944"/>
      <c r="AQ18" s="942" t="str">
        <f>IF(AP18="","",IF($D18="",AP18,IF($D18="CO2e",AP18,AP18*HLOOKUP($E18,Reference!$F$85:$I$105,15,FALSE))))</f>
        <v/>
      </c>
      <c r="AR18" s="943" t="str">
        <f t="shared" si="15"/>
        <v/>
      </c>
      <c r="AS18" s="944"/>
      <c r="AT18" s="942" t="str">
        <f>IF(AS18="","",IF($D18="",AS18,IF($D18="CO2e",AS18,AS18*HLOOKUP($E18,Reference!$F$85:$I$105,16,FALSE))))</f>
        <v/>
      </c>
      <c r="AU18" s="943" t="str">
        <f t="shared" si="16"/>
        <v/>
      </c>
      <c r="AV18" s="944"/>
      <c r="AW18" s="942" t="str">
        <f>IF(AV18="","",IF($D18="",AV18,IF($D18="CO2e",AV18,AV18*HLOOKUP($E18,Reference!$F$85:$I$105,17,FALSE))))</f>
        <v/>
      </c>
      <c r="AX18" s="943" t="str">
        <f t="shared" si="17"/>
        <v/>
      </c>
      <c r="AY18" s="944"/>
      <c r="AZ18" s="942" t="str">
        <f>IF(AY18="","",IF($D18="",AY18,IF($D18="CO2e",AY18,AY18*HLOOKUP($E18,Reference!$F$85:$I$105,18,FALSE))))</f>
        <v/>
      </c>
      <c r="BA18" s="943" t="str">
        <f t="shared" si="18"/>
        <v/>
      </c>
      <c r="BB18" s="944"/>
      <c r="BC18" s="942" t="str">
        <f>IF(BB18="","",IF($D18="",BB18,IF($D18="CO2e",BB18,BB18*HLOOKUP($E18,Reference!$F$85:$I$105,19,FALSE))))</f>
        <v/>
      </c>
      <c r="BD18" s="943" t="str">
        <f t="shared" si="19"/>
        <v/>
      </c>
      <c r="BE18" s="944"/>
      <c r="BF18" s="942" t="str">
        <f>IF(BE18="","",IF($D18="",BE18,IF($D18="CO2e",BE18,BE18*HLOOKUP($E18,Reference!$F$85:$I$105,20,FALSE))))</f>
        <v/>
      </c>
      <c r="BG18" s="945" t="str">
        <f t="shared" si="20"/>
        <v/>
      </c>
      <c r="BH18" s="942"/>
      <c r="BI18" s="942" t="str">
        <f>IF(BH18="","",IF($D18="",BH18,IF($D18="CO2e",BH18,BH18*HLOOKUP($E18,Reference!$F$85:$I$105,6,FALSE))))</f>
        <v/>
      </c>
      <c r="BJ18" s="945" t="str">
        <f t="shared" si="21"/>
        <v/>
      </c>
      <c r="BK18" s="942"/>
      <c r="BL18" s="942" t="str">
        <f>IF(BK18="","",IF($D18="",BK18,IF($D18="CO2e",BK18,BK18*HLOOKUP($E18,Reference!$F$85:$I$105,6,FALSE))))</f>
        <v/>
      </c>
      <c r="BM18" s="945" t="str">
        <f t="shared" si="4"/>
        <v/>
      </c>
      <c r="BN18" s="946"/>
      <c r="BO18" s="938" t="str">
        <f t="shared" si="5"/>
        <v/>
      </c>
      <c r="BP18" s="937">
        <v>0</v>
      </c>
      <c r="BQ18" s="938">
        <f t="shared" si="6"/>
        <v>0</v>
      </c>
      <c r="BR18" s="592">
        <v>2006</v>
      </c>
      <c r="BS18" s="947" t="s">
        <v>756</v>
      </c>
      <c r="BT18" s="948" t="s">
        <v>1164</v>
      </c>
      <c r="BU18" s="949" t="s">
        <v>1148</v>
      </c>
      <c r="BW18" s="888" t="s">
        <v>1192</v>
      </c>
    </row>
    <row r="19" spans="2:75" s="888" customFormat="1">
      <c r="B19" s="929" t="s">
        <v>1166</v>
      </c>
      <c r="C19" s="930" t="s">
        <v>1167</v>
      </c>
      <c r="D19" s="931" t="s">
        <v>960</v>
      </c>
      <c r="E19" s="932" t="s">
        <v>867</v>
      </c>
      <c r="F19" s="933" t="s">
        <v>927</v>
      </c>
      <c r="G19" s="934" t="str">
        <f t="shared" si="0"/>
        <v>/</v>
      </c>
      <c r="H19" s="935" t="s">
        <v>913</v>
      </c>
      <c r="I19" s="936">
        <f>IFERROR(IF(F19="","",VLOOKUP(F19,Reference!$D$137:$F$141,3,FALSE)),"")</f>
        <v>1</v>
      </c>
      <c r="J19" s="937">
        <v>74.099999999999994</v>
      </c>
      <c r="K19" s="938">
        <f t="shared" si="1"/>
        <v>74.099999999999994</v>
      </c>
      <c r="L19" s="937">
        <v>4.15E-3</v>
      </c>
      <c r="M19" s="936">
        <f>IF(L19="","",IF($D19="",L19,IF($D19="CO2e",L19,L19*HLOOKUP($E19,Reference!$F$85:$I$105,4,FALSE))))</f>
        <v>0.10375</v>
      </c>
      <c r="N19" s="938">
        <f t="shared" si="2"/>
        <v>0.10375</v>
      </c>
      <c r="O19" s="937">
        <v>2.8600000000000001E-3</v>
      </c>
      <c r="P19" s="936">
        <f>IF(O19="","",IF($D19="",O19,IF($D19="CO2e",O19,O19*HLOOKUP($E19,Reference!$F$85:$I$105,5,FALSE))))</f>
        <v>0.85228000000000004</v>
      </c>
      <c r="Q19" s="938">
        <f t="shared" si="3"/>
        <v>0.85228000000000004</v>
      </c>
      <c r="R19" s="939"/>
      <c r="S19" s="940" t="str">
        <f>IF(R19="","",IF($D19="",R19,IF($D19="CO2e",R19,R19*HLOOKUP($E19,Reference!$F$85:$I$105,7,FALSE))))</f>
        <v/>
      </c>
      <c r="T19" s="941" t="str">
        <f t="shared" si="7"/>
        <v/>
      </c>
      <c r="U19" s="939"/>
      <c r="V19" s="942" t="str">
        <f>IF(U19="","",IF($D19="",U19,IF($D19="CO2e",U19,U19*HLOOKUP($E19,Reference!$F$85:$I$105,8,FALSE))))</f>
        <v/>
      </c>
      <c r="W19" s="943" t="str">
        <f t="shared" si="8"/>
        <v/>
      </c>
      <c r="X19" s="944"/>
      <c r="Y19" s="942" t="str">
        <f>IF(X19="","",IF($D19="",X19,IF($D19="CO2e",X19,X19*HLOOKUP($E19,Reference!$F$85:$I$105,9,FALSE))))</f>
        <v/>
      </c>
      <c r="Z19" s="943" t="str">
        <f t="shared" si="9"/>
        <v/>
      </c>
      <c r="AA19" s="944"/>
      <c r="AB19" s="942" t="str">
        <f>IF(AA19="","",IF($D19="",AA19,IF($D19="CO2e",AA19,AA19*HLOOKUP($E19,Reference!$F$85:$I$105,10,FALSE))))</f>
        <v/>
      </c>
      <c r="AC19" s="943" t="str">
        <f t="shared" si="10"/>
        <v/>
      </c>
      <c r="AD19" s="944"/>
      <c r="AE19" s="942" t="str">
        <f>IF(AD19="","",IF($D19="",AD19,IF($D19="CO2e",AD19,AD19*HLOOKUP($E19,Reference!$F$85:$I$105,11,FALSE))))</f>
        <v/>
      </c>
      <c r="AF19" s="943" t="str">
        <f t="shared" si="11"/>
        <v/>
      </c>
      <c r="AG19" s="944"/>
      <c r="AH19" s="942" t="str">
        <f>IF(AG19="","",IF($D19="",AG19,IF($D19="CO2e",AG19,AG19*HLOOKUP($E19,Reference!$F$85:$I$105,12,FALSE))))</f>
        <v/>
      </c>
      <c r="AI19" s="943" t="str">
        <f t="shared" si="12"/>
        <v/>
      </c>
      <c r="AJ19" s="944"/>
      <c r="AK19" s="942" t="str">
        <f>IF(AJ19="","",IF($D19="",AJ19,IF($D19="CO2e",AJ19,AJ19*HLOOKUP($E19,Reference!$F$85:$I$105,13,FALSE))))</f>
        <v/>
      </c>
      <c r="AL19" s="943" t="str">
        <f t="shared" si="13"/>
        <v/>
      </c>
      <c r="AM19" s="944"/>
      <c r="AN19" s="942" t="str">
        <f>IF(AM19="","",IF($D19="",AM19,IF($D19="CO2e",AM19,AM19*HLOOKUP($E19,Reference!$F$85:$I$105,14,FALSE))))</f>
        <v/>
      </c>
      <c r="AO19" s="943" t="str">
        <f t="shared" si="14"/>
        <v/>
      </c>
      <c r="AP19" s="944"/>
      <c r="AQ19" s="942" t="str">
        <f>IF(AP19="","",IF($D19="",AP19,IF($D19="CO2e",AP19,AP19*HLOOKUP($E19,Reference!$F$85:$I$105,15,FALSE))))</f>
        <v/>
      </c>
      <c r="AR19" s="943" t="str">
        <f t="shared" si="15"/>
        <v/>
      </c>
      <c r="AS19" s="944"/>
      <c r="AT19" s="942" t="str">
        <f>IF(AS19="","",IF($D19="",AS19,IF($D19="CO2e",AS19,AS19*HLOOKUP($E19,Reference!$F$85:$I$105,16,FALSE))))</f>
        <v/>
      </c>
      <c r="AU19" s="943" t="str">
        <f t="shared" si="16"/>
        <v/>
      </c>
      <c r="AV19" s="944"/>
      <c r="AW19" s="942" t="str">
        <f>IF(AV19="","",IF($D19="",AV19,IF($D19="CO2e",AV19,AV19*HLOOKUP($E19,Reference!$F$85:$I$105,17,FALSE))))</f>
        <v/>
      </c>
      <c r="AX19" s="943" t="str">
        <f t="shared" si="17"/>
        <v/>
      </c>
      <c r="AY19" s="944"/>
      <c r="AZ19" s="942" t="str">
        <f>IF(AY19="","",IF($D19="",AY19,IF($D19="CO2e",AY19,AY19*HLOOKUP($E19,Reference!$F$85:$I$105,18,FALSE))))</f>
        <v/>
      </c>
      <c r="BA19" s="943" t="str">
        <f t="shared" si="18"/>
        <v/>
      </c>
      <c r="BB19" s="944"/>
      <c r="BC19" s="942" t="str">
        <f>IF(BB19="","",IF($D19="",BB19,IF($D19="CO2e",BB19,BB19*HLOOKUP($E19,Reference!$F$85:$I$105,19,FALSE))))</f>
        <v/>
      </c>
      <c r="BD19" s="943" t="str">
        <f t="shared" si="19"/>
        <v/>
      </c>
      <c r="BE19" s="944"/>
      <c r="BF19" s="942" t="str">
        <f>IF(BE19="","",IF($D19="",BE19,IF($D19="CO2e",BE19,BE19*HLOOKUP($E19,Reference!$F$85:$I$105,20,FALSE))))</f>
        <v/>
      </c>
      <c r="BG19" s="945" t="str">
        <f t="shared" si="20"/>
        <v/>
      </c>
      <c r="BH19" s="943"/>
      <c r="BI19" s="943" t="str">
        <f>IF(BH19="","",IF($D19="",BH19,IF($D19="CO2e",BH19,BH19*HLOOKUP($E19,Reference!$F$85:$I$105,6,FALSE))))</f>
        <v/>
      </c>
      <c r="BJ19" s="945" t="str">
        <f t="shared" si="21"/>
        <v/>
      </c>
      <c r="BK19" s="943"/>
      <c r="BL19" s="943" t="str">
        <f>IF(BK19="","",IF($D19="",BK19,IF($D19="CO2e",BK19,BK19*HLOOKUP($E19,Reference!$F$85:$I$105,6,FALSE))))</f>
        <v/>
      </c>
      <c r="BM19" s="945" t="str">
        <f t="shared" si="4"/>
        <v/>
      </c>
      <c r="BN19" s="946"/>
      <c r="BO19" s="938" t="str">
        <f t="shared" si="5"/>
        <v/>
      </c>
      <c r="BP19" s="937">
        <v>0</v>
      </c>
      <c r="BQ19" s="938">
        <f t="shared" si="6"/>
        <v>0</v>
      </c>
      <c r="BR19" s="963">
        <v>2006</v>
      </c>
      <c r="BS19" s="947" t="s">
        <v>756</v>
      </c>
      <c r="BT19" s="948" t="s">
        <v>1165</v>
      </c>
      <c r="BU19" s="949" t="s">
        <v>1148</v>
      </c>
      <c r="BW19" s="888" t="s">
        <v>1193</v>
      </c>
    </row>
    <row r="20" spans="2:75" s="888" customFormat="1" ht="47.25">
      <c r="B20" s="929" t="s">
        <v>1176</v>
      </c>
      <c r="C20" s="930" t="s">
        <v>1306</v>
      </c>
      <c r="D20" s="931" t="s">
        <v>960</v>
      </c>
      <c r="E20" s="932" t="s">
        <v>867</v>
      </c>
      <c r="F20" s="933" t="s">
        <v>927</v>
      </c>
      <c r="G20" s="934" t="str">
        <f t="shared" si="0"/>
        <v>/</v>
      </c>
      <c r="H20" s="935" t="s">
        <v>1061</v>
      </c>
      <c r="I20" s="936">
        <f>IFERROR(IF(F20="","",VLOOKUP(F20,Reference!$D$137:$F$141,3,FALSE)),"")</f>
        <v>1</v>
      </c>
      <c r="J20" s="937">
        <v>0.55201575273934977</v>
      </c>
      <c r="K20" s="938">
        <f t="shared" si="1"/>
        <v>0.55201575273934977</v>
      </c>
      <c r="L20" s="937">
        <v>1.81589278793517E-5</v>
      </c>
      <c r="M20" s="936">
        <f>IF(L20="","",IF($D20="",L20,IF($D20="CO2e",L20,L20*HLOOKUP($E20,Reference!$F$85:$I$105,4,FALSE))))</f>
        <v>4.5397319698379249E-4</v>
      </c>
      <c r="N20" s="938">
        <f t="shared" si="2"/>
        <v>4.5397319698379249E-4</v>
      </c>
      <c r="O20" s="937">
        <v>7.480714918099719E-6</v>
      </c>
      <c r="P20" s="936">
        <f>IF(O20="","",IF($D20="",O20,IF($D20="CO2e",O20,O20*HLOOKUP($E20,Reference!$F$85:$I$105,5,FALSE))))</f>
        <v>2.2292530455937164E-3</v>
      </c>
      <c r="Q20" s="938">
        <f t="shared" si="3"/>
        <v>2.2292530455937164E-3</v>
      </c>
      <c r="R20" s="939"/>
      <c r="S20" s="940" t="str">
        <f>IF(R20="","",IF($D20="",R20,IF($D20="CO2e",R20,R20*HLOOKUP($E20,Reference!$F$85:$I$105,7,FALSE))))</f>
        <v/>
      </c>
      <c r="T20" s="941" t="str">
        <f t="shared" si="7"/>
        <v/>
      </c>
      <c r="U20" s="939"/>
      <c r="V20" s="942" t="str">
        <f>IF(U20="","",IF($D20="",U20,IF($D20="CO2e",U20,U20*HLOOKUP($E20,Reference!$F$85:$I$105,8,FALSE))))</f>
        <v/>
      </c>
      <c r="W20" s="943" t="str">
        <f t="shared" si="8"/>
        <v/>
      </c>
      <c r="X20" s="944"/>
      <c r="Y20" s="942" t="str">
        <f>IF(X20="","",IF($D20="",X20,IF($D20="CO2e",X20,X20*HLOOKUP($E20,Reference!$F$85:$I$105,9,FALSE))))</f>
        <v/>
      </c>
      <c r="Z20" s="943" t="str">
        <f t="shared" si="9"/>
        <v/>
      </c>
      <c r="AA20" s="944"/>
      <c r="AB20" s="942" t="str">
        <f>IF(AA20="","",IF($D20="",AA20,IF($D20="CO2e",AA20,AA20*HLOOKUP($E20,Reference!$F$85:$I$105,10,FALSE))))</f>
        <v/>
      </c>
      <c r="AC20" s="943" t="str">
        <f t="shared" si="10"/>
        <v/>
      </c>
      <c r="AD20" s="944"/>
      <c r="AE20" s="942" t="str">
        <f>IF(AD20="","",IF($D20="",AD20,IF($D20="CO2e",AD20,AD20*HLOOKUP($E20,Reference!$F$85:$I$105,11,FALSE))))</f>
        <v/>
      </c>
      <c r="AF20" s="943" t="str">
        <f t="shared" si="11"/>
        <v/>
      </c>
      <c r="AG20" s="944"/>
      <c r="AH20" s="942" t="str">
        <f>IF(AG20="","",IF($D20="",AG20,IF($D20="CO2e",AG20,AG20*HLOOKUP($E20,Reference!$F$85:$I$105,12,FALSE))))</f>
        <v/>
      </c>
      <c r="AI20" s="943" t="str">
        <f t="shared" si="12"/>
        <v/>
      </c>
      <c r="AJ20" s="944"/>
      <c r="AK20" s="942" t="str">
        <f>IF(AJ20="","",IF($D20="",AJ20,IF($D20="CO2e",AJ20,AJ20*HLOOKUP($E20,Reference!$F$85:$I$105,13,FALSE))))</f>
        <v/>
      </c>
      <c r="AL20" s="943" t="str">
        <f t="shared" si="13"/>
        <v/>
      </c>
      <c r="AM20" s="944"/>
      <c r="AN20" s="942" t="str">
        <f>IF(AM20="","",IF($D20="",AM20,IF($D20="CO2e",AM20,AM20*HLOOKUP($E20,Reference!$F$85:$I$105,14,FALSE))))</f>
        <v/>
      </c>
      <c r="AO20" s="943" t="str">
        <f t="shared" si="14"/>
        <v/>
      </c>
      <c r="AP20" s="944"/>
      <c r="AQ20" s="942" t="str">
        <f>IF(AP20="","",IF($D20="",AP20,IF($D20="CO2e",AP20,AP20*HLOOKUP($E20,Reference!$F$85:$I$105,15,FALSE))))</f>
        <v/>
      </c>
      <c r="AR20" s="943" t="str">
        <f t="shared" si="15"/>
        <v/>
      </c>
      <c r="AS20" s="944"/>
      <c r="AT20" s="942" t="str">
        <f>IF(AS20="","",IF($D20="",AS20,IF($D20="CO2e",AS20,AS20*HLOOKUP($E20,Reference!$F$85:$I$105,16,FALSE))))</f>
        <v/>
      </c>
      <c r="AU20" s="943" t="str">
        <f t="shared" si="16"/>
        <v/>
      </c>
      <c r="AV20" s="944"/>
      <c r="AW20" s="942" t="str">
        <f>IF(AV20="","",IF($D20="",AV20,IF($D20="CO2e",AV20,AV20*HLOOKUP($E20,Reference!$F$85:$I$105,17,FALSE))))</f>
        <v/>
      </c>
      <c r="AX20" s="943" t="str">
        <f t="shared" si="17"/>
        <v/>
      </c>
      <c r="AY20" s="944"/>
      <c r="AZ20" s="942" t="str">
        <f>IF(AY20="","",IF($D20="",AY20,IF($D20="CO2e",AY20,AY20*HLOOKUP($E20,Reference!$F$85:$I$105,18,FALSE))))</f>
        <v/>
      </c>
      <c r="BA20" s="943" t="str">
        <f t="shared" si="18"/>
        <v/>
      </c>
      <c r="BB20" s="944"/>
      <c r="BC20" s="942" t="str">
        <f>IF(BB20="","",IF($D20="",BB20,IF($D20="CO2e",BB20,BB20*HLOOKUP($E20,Reference!$F$85:$I$105,19,FALSE))))</f>
        <v/>
      </c>
      <c r="BD20" s="943" t="str">
        <f t="shared" si="19"/>
        <v/>
      </c>
      <c r="BE20" s="944"/>
      <c r="BF20" s="942" t="str">
        <f>IF(BE20="","",IF($D20="",BE20,IF($D20="CO2e",BE20,BE20*HLOOKUP($E20,Reference!$F$85:$I$105,20,FALSE))))</f>
        <v/>
      </c>
      <c r="BG20" s="945" t="str">
        <f t="shared" si="20"/>
        <v/>
      </c>
      <c r="BH20" s="942"/>
      <c r="BI20" s="942" t="str">
        <f>IF(BH20="","",IF($D20="",BH20,IF($D20="CO2e",BH20,BH20*HLOOKUP($E20,Reference!$F$85:$I$105,6,FALSE))))</f>
        <v/>
      </c>
      <c r="BJ20" s="945" t="str">
        <f t="shared" si="21"/>
        <v/>
      </c>
      <c r="BK20" s="942"/>
      <c r="BL20" s="942" t="str">
        <f>IF(BK20="","",IF($D20="",BK20,IF($D20="CO2e",BK20,BK20*HLOOKUP($E20,Reference!$F$85:$I$105,6,FALSE))))</f>
        <v/>
      </c>
      <c r="BM20" s="945" t="str">
        <f t="shared" si="4"/>
        <v/>
      </c>
      <c r="BN20" s="946"/>
      <c r="BO20" s="938" t="str">
        <f t="shared" si="5"/>
        <v/>
      </c>
      <c r="BP20" s="937">
        <v>0</v>
      </c>
      <c r="BQ20" s="938">
        <f t="shared" si="6"/>
        <v>0</v>
      </c>
      <c r="BR20" s="963">
        <v>2013</v>
      </c>
      <c r="BS20" s="947" t="s">
        <v>752</v>
      </c>
      <c r="BT20" s="948" t="s">
        <v>1177</v>
      </c>
      <c r="BU20" s="949" t="s">
        <v>1156</v>
      </c>
      <c r="BW20" s="888" t="s">
        <v>1169</v>
      </c>
    </row>
    <row r="21" spans="2:75" s="888" customFormat="1">
      <c r="B21" s="929" t="s">
        <v>191</v>
      </c>
      <c r="C21" s="930" t="s">
        <v>1186</v>
      </c>
      <c r="D21" s="931" t="s">
        <v>960</v>
      </c>
      <c r="E21" s="932" t="s">
        <v>867</v>
      </c>
      <c r="F21" s="933" t="s">
        <v>927</v>
      </c>
      <c r="G21" s="934" t="str">
        <f t="shared" si="0"/>
        <v>/</v>
      </c>
      <c r="H21" s="935" t="s">
        <v>913</v>
      </c>
      <c r="I21" s="936">
        <f>IFERROR(IF(F21="","",VLOOKUP(F21,Reference!$D$137:$F$141,3,FALSE)),"")</f>
        <v>1</v>
      </c>
      <c r="J21" s="937">
        <v>69.3</v>
      </c>
      <c r="K21" s="938">
        <f>IFERROR(IF(J21="","",J21*$I21),"")</f>
        <v>69.3</v>
      </c>
      <c r="L21" s="937">
        <v>2.5000000000000001E-3</v>
      </c>
      <c r="M21" s="936">
        <f>IF(L21="","",IF($D21="",L21,IF($D21="CO2e",L21,L21*HLOOKUP($E21,Reference!$F$85:$I$105,4,FALSE))))</f>
        <v>6.25E-2</v>
      </c>
      <c r="N21" s="938">
        <f t="shared" si="2"/>
        <v>6.25E-2</v>
      </c>
      <c r="O21" s="937">
        <v>8.0000000000000004E-4</v>
      </c>
      <c r="P21" s="936">
        <f>IF(O21="","",IF($D21="",O21,IF($D21="CO2e",O21,O21*HLOOKUP($E21,Reference!$F$85:$I$105,5,FALSE))))</f>
        <v>0.2384</v>
      </c>
      <c r="Q21" s="938">
        <f t="shared" si="3"/>
        <v>0.2384</v>
      </c>
      <c r="R21" s="939"/>
      <c r="S21" s="940" t="str">
        <f>IF(R21="","",IF($D21="",R21,IF($D21="CO2e",R21,R21*HLOOKUP($E21,Reference!$F$85:$I$105,7,FALSE))))</f>
        <v/>
      </c>
      <c r="T21" s="941" t="str">
        <f t="shared" si="7"/>
        <v/>
      </c>
      <c r="U21" s="939"/>
      <c r="V21" s="942" t="str">
        <f>IF(U21="","",IF($D21="",U21,IF($D21="CO2e",U21,U21*HLOOKUP($E21,Reference!$F$85:$I$105,8,FALSE))))</f>
        <v/>
      </c>
      <c r="W21" s="943" t="str">
        <f t="shared" si="8"/>
        <v/>
      </c>
      <c r="X21" s="944"/>
      <c r="Y21" s="942" t="str">
        <f>IF(X21="","",IF($D21="",X21,IF($D21="CO2e",X21,X21*HLOOKUP($E21,Reference!$F$85:$I$105,9,FALSE))))</f>
        <v/>
      </c>
      <c r="Z21" s="943" t="str">
        <f t="shared" si="9"/>
        <v/>
      </c>
      <c r="AA21" s="944"/>
      <c r="AB21" s="942" t="str">
        <f>IF(AA21="","",IF($D21="",AA21,IF($D21="CO2e",AA21,AA21*HLOOKUP($E21,Reference!$F$85:$I$105,10,FALSE))))</f>
        <v/>
      </c>
      <c r="AC21" s="943" t="str">
        <f t="shared" si="10"/>
        <v/>
      </c>
      <c r="AD21" s="944"/>
      <c r="AE21" s="942" t="str">
        <f>IF(AD21="","",IF($D21="",AD21,IF($D21="CO2e",AD21,AD21*HLOOKUP($E21,Reference!$F$85:$I$105,11,FALSE))))</f>
        <v/>
      </c>
      <c r="AF21" s="943" t="str">
        <f t="shared" si="11"/>
        <v/>
      </c>
      <c r="AG21" s="944"/>
      <c r="AH21" s="942" t="str">
        <f>IF(AG21="","",IF($D21="",AG21,IF($D21="CO2e",AG21,AG21*HLOOKUP($E21,Reference!$F$85:$I$105,12,FALSE))))</f>
        <v/>
      </c>
      <c r="AI21" s="943" t="str">
        <f t="shared" si="12"/>
        <v/>
      </c>
      <c r="AJ21" s="944"/>
      <c r="AK21" s="942" t="str">
        <f>IF(AJ21="","",IF($D21="",AJ21,IF($D21="CO2e",AJ21,AJ21*HLOOKUP($E21,Reference!$F$85:$I$105,13,FALSE))))</f>
        <v/>
      </c>
      <c r="AL21" s="943" t="str">
        <f t="shared" si="13"/>
        <v/>
      </c>
      <c r="AM21" s="944"/>
      <c r="AN21" s="942" t="str">
        <f>IF(AM21="","",IF($D21="",AM21,IF($D21="CO2e",AM21,AM21*HLOOKUP($E21,Reference!$F$85:$I$105,14,FALSE))))</f>
        <v/>
      </c>
      <c r="AO21" s="943" t="str">
        <f t="shared" si="14"/>
        <v/>
      </c>
      <c r="AP21" s="944"/>
      <c r="AQ21" s="942" t="str">
        <f>IF(AP21="","",IF($D21="",AP21,IF($D21="CO2e",AP21,AP21*HLOOKUP($E21,Reference!$F$85:$I$105,15,FALSE))))</f>
        <v/>
      </c>
      <c r="AR21" s="943" t="str">
        <f t="shared" si="15"/>
        <v/>
      </c>
      <c r="AS21" s="944"/>
      <c r="AT21" s="942" t="str">
        <f>IF(AS21="","",IF($D21="",AS21,IF($D21="CO2e",AS21,AS21*HLOOKUP($E21,Reference!$F$85:$I$105,16,FALSE))))</f>
        <v/>
      </c>
      <c r="AU21" s="943" t="str">
        <f t="shared" si="16"/>
        <v/>
      </c>
      <c r="AV21" s="944"/>
      <c r="AW21" s="942" t="str">
        <f>IF(AV21="","",IF($D21="",AV21,IF($D21="CO2e",AV21,AV21*HLOOKUP($E21,Reference!$F$85:$I$105,17,FALSE))))</f>
        <v/>
      </c>
      <c r="AX21" s="943" t="str">
        <f t="shared" si="17"/>
        <v/>
      </c>
      <c r="AY21" s="944"/>
      <c r="AZ21" s="942" t="str">
        <f>IF(AY21="","",IF($D21="",AY21,IF($D21="CO2e",AY21,AY21*HLOOKUP($E21,Reference!$F$85:$I$105,18,FALSE))))</f>
        <v/>
      </c>
      <c r="BA21" s="943" t="str">
        <f t="shared" si="18"/>
        <v/>
      </c>
      <c r="BB21" s="944"/>
      <c r="BC21" s="942" t="str">
        <f>IF(BB21="","",IF($D21="",BB21,IF($D21="CO2e",BB21,BB21*HLOOKUP($E21,Reference!$F$85:$I$105,19,FALSE))))</f>
        <v/>
      </c>
      <c r="BD21" s="943" t="str">
        <f t="shared" si="19"/>
        <v/>
      </c>
      <c r="BE21" s="944"/>
      <c r="BF21" s="942" t="str">
        <f>IF(BE21="","",IF($D21="",BE21,IF($D21="CO2e",BE21,BE21*HLOOKUP($E21,Reference!$F$85:$I$105,20,FALSE))))</f>
        <v/>
      </c>
      <c r="BG21" s="945" t="str">
        <f t="shared" si="20"/>
        <v/>
      </c>
      <c r="BH21" s="942"/>
      <c r="BI21" s="942" t="str">
        <f>IF(BH21="","",IF($D21="",BH21,IF($D21="CO2e",BH21,BH21*HLOOKUP($E21,Reference!$F$85:$I$105,6,FALSE))))</f>
        <v/>
      </c>
      <c r="BJ21" s="945" t="str">
        <f t="shared" si="21"/>
        <v/>
      </c>
      <c r="BK21" s="942"/>
      <c r="BL21" s="942" t="str">
        <f>IF(BK21="","",IF($D21="",BK21,IF($D21="CO2e",BK21,BK21*HLOOKUP($E21,Reference!$F$85:$I$105,6,FALSE))))</f>
        <v/>
      </c>
      <c r="BM21" s="945" t="str">
        <f t="shared" si="4"/>
        <v/>
      </c>
      <c r="BN21" s="946"/>
      <c r="BO21" s="938" t="str">
        <f t="shared" si="5"/>
        <v/>
      </c>
      <c r="BP21" s="937">
        <v>0</v>
      </c>
      <c r="BQ21" s="938">
        <f t="shared" si="6"/>
        <v>0</v>
      </c>
      <c r="BR21" s="963">
        <v>2006</v>
      </c>
      <c r="BS21" s="947" t="s">
        <v>756</v>
      </c>
      <c r="BT21" s="948" t="s">
        <v>1187</v>
      </c>
      <c r="BU21" s="949" t="s">
        <v>1148</v>
      </c>
      <c r="BW21" s="888" t="s">
        <v>1194</v>
      </c>
    </row>
    <row r="22" spans="2:75" s="888" customFormat="1">
      <c r="B22" s="929" t="s">
        <v>1318</v>
      </c>
      <c r="C22" s="930" t="s">
        <v>1319</v>
      </c>
      <c r="D22" s="931" t="s">
        <v>960</v>
      </c>
      <c r="E22" s="932" t="s">
        <v>867</v>
      </c>
      <c r="F22" s="933" t="s">
        <v>927</v>
      </c>
      <c r="G22" s="934" t="str">
        <f t="shared" si="0"/>
        <v>/</v>
      </c>
      <c r="H22" s="935" t="s">
        <v>942</v>
      </c>
      <c r="I22" s="936">
        <f>IFERROR(IF(F22="","",VLOOKUP(F22,Reference!$D$137:$F$141,3,FALSE)),"")</f>
        <v>1</v>
      </c>
      <c r="J22" s="966">
        <f>SQRT(5.1*10^-5*1.4*10^-4)/1000</f>
        <v>8.4498520697110432E-8</v>
      </c>
      <c r="K22" s="938">
        <f t="shared" si="1"/>
        <v>8.4498520697110432E-8</v>
      </c>
      <c r="L22" s="966">
        <f>SQRT(1.1*10^-3*2.5*10^-3)/1000</f>
        <v>1.6583123951777001E-6</v>
      </c>
      <c r="M22" s="936">
        <f>IF(L22="","",IF($D22="",L22,IF($D22="CO2e",L22,L22*HLOOKUP($E22,Reference!$F$85:$I$105,4,FALSE))))</f>
        <v>4.1457809879442501E-5</v>
      </c>
      <c r="N22" s="938">
        <f t="shared" si="2"/>
        <v>4.1457809879442501E-5</v>
      </c>
      <c r="O22" s="937" t="s">
        <v>1197</v>
      </c>
      <c r="P22" s="936" t="e">
        <f>IF(O22="","",IF($D22="",O22,IF($D22="CO2e",O22,O22*HLOOKUP($E22,Reference!$F$85:$I$105,5,FALSE))))</f>
        <v>#VALUE!</v>
      </c>
      <c r="Q22" s="938" t="str">
        <f t="shared" si="3"/>
        <v/>
      </c>
      <c r="R22" s="939"/>
      <c r="S22" s="940" t="str">
        <f>IF(R22="","",IF($D22="",R22,IF($D22="CO2e",R22,R22*HLOOKUP($E22,Reference!$F$85:$I$105,7,FALSE))))</f>
        <v/>
      </c>
      <c r="T22" s="941" t="str">
        <f t="shared" si="7"/>
        <v/>
      </c>
      <c r="U22" s="939"/>
      <c r="V22" s="942" t="str">
        <f>IF(U22="","",IF($D22="",U22,IF($D22="CO2e",U22,U22*HLOOKUP($E22,Reference!$F$85:$I$105,8,FALSE))))</f>
        <v/>
      </c>
      <c r="W22" s="943" t="str">
        <f t="shared" si="8"/>
        <v/>
      </c>
      <c r="X22" s="944"/>
      <c r="Y22" s="942" t="str">
        <f>IF(X22="","",IF($D22="",X22,IF($D22="CO2e",X22,X22*HLOOKUP($E22,Reference!$F$85:$I$105,9,FALSE))))</f>
        <v/>
      </c>
      <c r="Z22" s="943" t="str">
        <f t="shared" si="9"/>
        <v/>
      </c>
      <c r="AA22" s="944"/>
      <c r="AB22" s="942" t="str">
        <f>IF(AA22="","",IF($D22="",AA22,IF($D22="CO2e",AA22,AA22*HLOOKUP($E22,Reference!$F$85:$I$105,10,FALSE))))</f>
        <v/>
      </c>
      <c r="AC22" s="943" t="str">
        <f t="shared" si="10"/>
        <v/>
      </c>
      <c r="AD22" s="944"/>
      <c r="AE22" s="942" t="str">
        <f>IF(AD22="","",IF($D22="",AD22,IF($D22="CO2e",AD22,AD22*HLOOKUP($E22,Reference!$F$85:$I$105,11,FALSE))))</f>
        <v/>
      </c>
      <c r="AF22" s="943" t="str">
        <f t="shared" si="11"/>
        <v/>
      </c>
      <c r="AG22" s="944"/>
      <c r="AH22" s="942" t="str">
        <f>IF(AG22="","",IF($D22="",AG22,IF($D22="CO2e",AG22,AG22*HLOOKUP($E22,Reference!$F$85:$I$105,12,FALSE))))</f>
        <v/>
      </c>
      <c r="AI22" s="943" t="str">
        <f t="shared" si="12"/>
        <v/>
      </c>
      <c r="AJ22" s="944"/>
      <c r="AK22" s="942" t="str">
        <f>IF(AJ22="","",IF($D22="",AJ22,IF($D22="CO2e",AJ22,AJ22*HLOOKUP($E22,Reference!$F$85:$I$105,13,FALSE))))</f>
        <v/>
      </c>
      <c r="AL22" s="943" t="str">
        <f t="shared" si="13"/>
        <v/>
      </c>
      <c r="AM22" s="944"/>
      <c r="AN22" s="942" t="str">
        <f>IF(AM22="","",IF($D22="",AM22,IF($D22="CO2e",AM22,AM22*HLOOKUP($E22,Reference!$F$85:$I$105,14,FALSE))))</f>
        <v/>
      </c>
      <c r="AO22" s="943" t="str">
        <f t="shared" si="14"/>
        <v/>
      </c>
      <c r="AP22" s="944"/>
      <c r="AQ22" s="942" t="str">
        <f>IF(AP22="","",IF($D22="",AP22,IF($D22="CO2e",AP22,AP22*HLOOKUP($E22,Reference!$F$85:$I$105,15,FALSE))))</f>
        <v/>
      </c>
      <c r="AR22" s="943" t="str">
        <f t="shared" si="15"/>
        <v/>
      </c>
      <c r="AS22" s="944"/>
      <c r="AT22" s="942" t="str">
        <f>IF(AS22="","",IF($D22="",AS22,IF($D22="CO2e",AS22,AS22*HLOOKUP($E22,Reference!$F$85:$I$105,16,FALSE))))</f>
        <v/>
      </c>
      <c r="AU22" s="943" t="str">
        <f t="shared" si="16"/>
        <v/>
      </c>
      <c r="AV22" s="944"/>
      <c r="AW22" s="942" t="str">
        <f>IF(AV22="","",IF($D22="",AV22,IF($D22="CO2e",AV22,AV22*HLOOKUP($E22,Reference!$F$85:$I$105,17,FALSE))))</f>
        <v/>
      </c>
      <c r="AX22" s="943" t="str">
        <f t="shared" si="17"/>
        <v/>
      </c>
      <c r="AY22" s="944"/>
      <c r="AZ22" s="942" t="str">
        <f>IF(AY22="","",IF($D22="",AY22,IF($D22="CO2e",AY22,AY22*HLOOKUP($E22,Reference!$F$85:$I$105,18,FALSE))))</f>
        <v/>
      </c>
      <c r="BA22" s="943" t="str">
        <f t="shared" si="18"/>
        <v/>
      </c>
      <c r="BB22" s="944"/>
      <c r="BC22" s="942" t="str">
        <f>IF(BB22="","",IF($D22="",BB22,IF($D22="CO2e",BB22,BB22*HLOOKUP($E22,Reference!$F$85:$I$105,19,FALSE))))</f>
        <v/>
      </c>
      <c r="BD22" s="943" t="str">
        <f t="shared" si="19"/>
        <v/>
      </c>
      <c r="BE22" s="944"/>
      <c r="BF22" s="942" t="str">
        <f>IF(BE22="","",IF($D22="",BE22,IF($D22="CO2e",BE22,BE22*HLOOKUP($E22,Reference!$F$85:$I$105,20,FALSE))))</f>
        <v/>
      </c>
      <c r="BG22" s="945" t="str">
        <f t="shared" si="20"/>
        <v/>
      </c>
      <c r="BH22" s="942"/>
      <c r="BI22" s="942" t="str">
        <f>IF(BH22="","",IF($D22="",BH22,IF($D22="CO2e",BH22,BH22*HLOOKUP($E22,Reference!$F$85:$I$105,6,FALSE))))</f>
        <v/>
      </c>
      <c r="BJ22" s="945" t="str">
        <f t="shared" si="21"/>
        <v/>
      </c>
      <c r="BK22" s="942"/>
      <c r="BL22" s="942" t="str">
        <f>IF(BK22="","",IF($D22="",BK22,IF($D22="CO2e",BK22,BK22*HLOOKUP($E22,Reference!$F$85:$I$105,6,FALSE))))</f>
        <v/>
      </c>
      <c r="BM22" s="945" t="str">
        <f t="shared" si="4"/>
        <v/>
      </c>
      <c r="BN22" s="946"/>
      <c r="BO22" s="938" t="str">
        <f t="shared" si="5"/>
        <v/>
      </c>
      <c r="BP22" s="937">
        <v>0</v>
      </c>
      <c r="BQ22" s="938">
        <f t="shared" si="6"/>
        <v>0</v>
      </c>
      <c r="BR22" s="963">
        <v>2006</v>
      </c>
      <c r="BS22" s="947" t="s">
        <v>756</v>
      </c>
      <c r="BT22" s="948" t="s">
        <v>1196</v>
      </c>
      <c r="BU22" s="949" t="s">
        <v>1148</v>
      </c>
      <c r="BW22" s="888" t="s">
        <v>1195</v>
      </c>
    </row>
    <row r="23" spans="2:75" s="888" customFormat="1">
      <c r="B23" s="929" t="s">
        <v>1245</v>
      </c>
      <c r="C23" s="930" t="s">
        <v>1246</v>
      </c>
      <c r="D23" s="931" t="s">
        <v>960</v>
      </c>
      <c r="E23" s="932" t="s">
        <v>867</v>
      </c>
      <c r="F23" s="933" t="s">
        <v>927</v>
      </c>
      <c r="G23" s="934" t="str">
        <f t="shared" si="0"/>
        <v>/</v>
      </c>
      <c r="H23" s="935" t="s">
        <v>913</v>
      </c>
      <c r="I23" s="936">
        <f>IFERROR(IF(F23="","",VLOOKUP(F23,Reference!$D$137:$F$141,3,FALSE)),"")</f>
        <v>1</v>
      </c>
      <c r="J23" s="937">
        <v>56.1</v>
      </c>
      <c r="K23" s="938">
        <f t="shared" si="1"/>
        <v>56.1</v>
      </c>
      <c r="L23" s="937">
        <v>9.1999999999999998E-2</v>
      </c>
      <c r="M23" s="936">
        <f>IF(L23="","",IF($D23="",L23,IF($D23="CO2e",L23,L23*HLOOKUP($E23,Reference!$F$85:$I$105,4,FALSE))))</f>
        <v>2.2999999999999998</v>
      </c>
      <c r="N23" s="938">
        <f t="shared" si="2"/>
        <v>2.2999999999999998</v>
      </c>
      <c r="O23" s="937">
        <v>3.0000000000000001E-3</v>
      </c>
      <c r="P23" s="936">
        <f>IF(O23="","",IF($D23="",O23,IF($D23="CO2e",O23,O23*HLOOKUP($E23,Reference!$F$85:$I$105,5,FALSE))))</f>
        <v>0.89400000000000002</v>
      </c>
      <c r="Q23" s="938">
        <f t="shared" si="3"/>
        <v>0.89400000000000002</v>
      </c>
      <c r="R23" s="939"/>
      <c r="S23" s="940" t="str">
        <f>IF(R23="","",IF($D23="",R23,IF($D23="CO2e",R23,R23*HLOOKUP($E23,Reference!$F$85:$I$105,7,FALSE))))</f>
        <v/>
      </c>
      <c r="T23" s="941" t="str">
        <f t="shared" si="7"/>
        <v/>
      </c>
      <c r="U23" s="939"/>
      <c r="V23" s="942" t="str">
        <f>IF(U23="","",IF($D23="",U23,IF($D23="CO2e",U23,U23*HLOOKUP($E23,Reference!$F$85:$I$105,8,FALSE))))</f>
        <v/>
      </c>
      <c r="W23" s="943" t="str">
        <f t="shared" si="8"/>
        <v/>
      </c>
      <c r="X23" s="944"/>
      <c r="Y23" s="942" t="str">
        <f>IF(X23="","",IF($D23="",X23,IF($D23="CO2e",X23,X23*HLOOKUP($E23,Reference!$F$85:$I$105,9,FALSE))))</f>
        <v/>
      </c>
      <c r="Z23" s="943" t="str">
        <f t="shared" si="9"/>
        <v/>
      </c>
      <c r="AA23" s="944"/>
      <c r="AB23" s="942" t="str">
        <f>IF(AA23="","",IF($D23="",AA23,IF($D23="CO2e",AA23,AA23*HLOOKUP($E23,Reference!$F$85:$I$105,10,FALSE))))</f>
        <v/>
      </c>
      <c r="AC23" s="943" t="str">
        <f t="shared" si="10"/>
        <v/>
      </c>
      <c r="AD23" s="944"/>
      <c r="AE23" s="942" t="str">
        <f>IF(AD23="","",IF($D23="",AD23,IF($D23="CO2e",AD23,AD23*HLOOKUP($E23,Reference!$F$85:$I$105,11,FALSE))))</f>
        <v/>
      </c>
      <c r="AF23" s="943" t="str">
        <f t="shared" si="11"/>
        <v/>
      </c>
      <c r="AG23" s="944"/>
      <c r="AH23" s="942" t="str">
        <f>IF(AG23="","",IF($D23="",AG23,IF($D23="CO2e",AG23,AG23*HLOOKUP($E23,Reference!$F$85:$I$105,12,FALSE))))</f>
        <v/>
      </c>
      <c r="AI23" s="943" t="str">
        <f t="shared" si="12"/>
        <v/>
      </c>
      <c r="AJ23" s="944"/>
      <c r="AK23" s="942" t="str">
        <f>IF(AJ23="","",IF($D23="",AJ23,IF($D23="CO2e",AJ23,AJ23*HLOOKUP($E23,Reference!$F$85:$I$105,13,FALSE))))</f>
        <v/>
      </c>
      <c r="AL23" s="943" t="str">
        <f t="shared" si="13"/>
        <v/>
      </c>
      <c r="AM23" s="944"/>
      <c r="AN23" s="942" t="str">
        <f>IF(AM23="","",IF($D23="",AM23,IF($D23="CO2e",AM23,AM23*HLOOKUP($E23,Reference!$F$85:$I$105,14,FALSE))))</f>
        <v/>
      </c>
      <c r="AO23" s="943" t="str">
        <f t="shared" si="14"/>
        <v/>
      </c>
      <c r="AP23" s="944"/>
      <c r="AQ23" s="942" t="str">
        <f>IF(AP23="","",IF($D23="",AP23,IF($D23="CO2e",AP23,AP23*HLOOKUP($E23,Reference!$F$85:$I$105,15,FALSE))))</f>
        <v/>
      </c>
      <c r="AR23" s="943" t="str">
        <f t="shared" si="15"/>
        <v/>
      </c>
      <c r="AS23" s="944"/>
      <c r="AT23" s="942" t="str">
        <f>IF(AS23="","",IF($D23="",AS23,IF($D23="CO2e",AS23,AS23*HLOOKUP($E23,Reference!$F$85:$I$105,16,FALSE))))</f>
        <v/>
      </c>
      <c r="AU23" s="943" t="str">
        <f t="shared" si="16"/>
        <v/>
      </c>
      <c r="AV23" s="944"/>
      <c r="AW23" s="942" t="str">
        <f>IF(AV23="","",IF($D23="",AV23,IF($D23="CO2e",AV23,AV23*HLOOKUP($E23,Reference!$F$85:$I$105,17,FALSE))))</f>
        <v/>
      </c>
      <c r="AX23" s="943" t="str">
        <f t="shared" si="17"/>
        <v/>
      </c>
      <c r="AY23" s="944"/>
      <c r="AZ23" s="942" t="str">
        <f>IF(AY23="","",IF($D23="",AY23,IF($D23="CO2e",AY23,AY23*HLOOKUP($E23,Reference!$F$85:$I$105,18,FALSE))))</f>
        <v/>
      </c>
      <c r="BA23" s="943" t="str">
        <f t="shared" si="18"/>
        <v/>
      </c>
      <c r="BB23" s="944"/>
      <c r="BC23" s="942" t="str">
        <f>IF(BB23="","",IF($D23="",BB23,IF($D23="CO2e",BB23,BB23*HLOOKUP($E23,Reference!$F$85:$I$105,19,FALSE))))</f>
        <v/>
      </c>
      <c r="BD23" s="943" t="str">
        <f t="shared" si="19"/>
        <v/>
      </c>
      <c r="BE23" s="944"/>
      <c r="BF23" s="942" t="str">
        <f>IF(BE23="","",IF($D23="",BE23,IF($D23="CO2e",BE23,BE23*HLOOKUP($E23,Reference!$F$85:$I$105,20,FALSE))))</f>
        <v/>
      </c>
      <c r="BG23" s="945" t="str">
        <f t="shared" si="20"/>
        <v/>
      </c>
      <c r="BH23" s="942"/>
      <c r="BI23" s="942" t="str">
        <f>IF(BH23="","",IF($D23="",BH23,IF($D23="CO2e",BH23,BH23*HLOOKUP($E23,Reference!$F$85:$I$105,6,FALSE))))</f>
        <v/>
      </c>
      <c r="BJ23" s="945" t="str">
        <f t="shared" si="21"/>
        <v/>
      </c>
      <c r="BK23" s="942"/>
      <c r="BL23" s="942" t="str">
        <f>IF(BK23="","",IF($D23="",BK23,IF($D23="CO2e",BK23,BK23*HLOOKUP($E23,Reference!$F$85:$I$105,6,FALSE))))</f>
        <v/>
      </c>
      <c r="BM23" s="945" t="str">
        <f t="shared" si="4"/>
        <v/>
      </c>
      <c r="BN23" s="946"/>
      <c r="BO23" s="938" t="str">
        <f t="shared" si="5"/>
        <v/>
      </c>
      <c r="BP23" s="937">
        <v>0</v>
      </c>
      <c r="BQ23" s="938">
        <f t="shared" si="6"/>
        <v>0</v>
      </c>
      <c r="BR23" s="963">
        <v>2006</v>
      </c>
      <c r="BS23" s="947" t="s">
        <v>756</v>
      </c>
      <c r="BT23" s="948" t="s">
        <v>1247</v>
      </c>
      <c r="BU23" s="949" t="s">
        <v>1148</v>
      </c>
    </row>
    <row r="24" spans="2:75" s="888" customFormat="1">
      <c r="B24" s="929" t="s">
        <v>1262</v>
      </c>
      <c r="C24" s="930" t="s">
        <v>1261</v>
      </c>
      <c r="D24" s="931" t="s">
        <v>960</v>
      </c>
      <c r="E24" s="932" t="s">
        <v>867</v>
      </c>
      <c r="F24" s="933" t="s">
        <v>927</v>
      </c>
      <c r="G24" s="934" t="str">
        <f t="shared" si="0"/>
        <v>/</v>
      </c>
      <c r="H24" s="935" t="s">
        <v>913</v>
      </c>
      <c r="I24" s="936">
        <v>1</v>
      </c>
      <c r="J24" s="937">
        <v>77.400000000000006</v>
      </c>
      <c r="K24" s="938">
        <f t="shared" si="1"/>
        <v>77.400000000000006</v>
      </c>
      <c r="L24" s="937">
        <v>3.0000000000000001E-3</v>
      </c>
      <c r="M24" s="936">
        <f>IF(L24="","",IF($D24="",L24,IF($D24="CO2e",L24,L24*HLOOKUP($E24,Reference!$F$85:$I$105,4,FALSE))))</f>
        <v>7.4999999999999997E-2</v>
      </c>
      <c r="N24" s="938">
        <f t="shared" si="2"/>
        <v>7.4999999999999997E-2</v>
      </c>
      <c r="O24" s="937">
        <v>5.9999999999999995E-4</v>
      </c>
      <c r="P24" s="936">
        <f>IF(O24="","",IF($D24="",O24,IF($D24="CO2e",O24,O24*HLOOKUP($E24,Reference!$F$85:$I$105,5,FALSE))))</f>
        <v>0.17879999999999999</v>
      </c>
      <c r="Q24" s="938">
        <f t="shared" si="3"/>
        <v>0.17879999999999999</v>
      </c>
      <c r="R24" s="939"/>
      <c r="S24" s="940" t="s">
        <v>1145</v>
      </c>
      <c r="T24" s="941" t="s">
        <v>1145</v>
      </c>
      <c r="U24" s="939"/>
      <c r="V24" s="942" t="s">
        <v>1145</v>
      </c>
      <c r="W24" s="943" t="s">
        <v>1145</v>
      </c>
      <c r="X24" s="944"/>
      <c r="Y24" s="942" t="s">
        <v>1145</v>
      </c>
      <c r="Z24" s="943" t="s">
        <v>1145</v>
      </c>
      <c r="AA24" s="944"/>
      <c r="AB24" s="942" t="s">
        <v>1145</v>
      </c>
      <c r="AC24" s="943"/>
      <c r="AD24" s="944"/>
      <c r="AE24" s="942"/>
      <c r="AF24" s="943"/>
      <c r="AG24" s="944"/>
      <c r="AH24" s="942"/>
      <c r="AI24" s="943"/>
      <c r="AJ24" s="944"/>
      <c r="AK24" s="942"/>
      <c r="AL24" s="943"/>
      <c r="AM24" s="944"/>
      <c r="AN24" s="942"/>
      <c r="AO24" s="943"/>
      <c r="AP24" s="944"/>
      <c r="AQ24" s="942"/>
      <c r="AR24" s="943"/>
      <c r="AS24" s="944"/>
      <c r="AT24" s="942"/>
      <c r="AU24" s="943"/>
      <c r="AV24" s="944"/>
      <c r="AW24" s="942"/>
      <c r="AX24" s="943"/>
      <c r="AY24" s="944"/>
      <c r="AZ24" s="942"/>
      <c r="BA24" s="943"/>
      <c r="BB24" s="944"/>
      <c r="BC24" s="942"/>
      <c r="BD24" s="943"/>
      <c r="BE24" s="944"/>
      <c r="BF24" s="942"/>
      <c r="BG24" s="945"/>
      <c r="BH24" s="942"/>
      <c r="BI24" s="942"/>
      <c r="BJ24" s="945"/>
      <c r="BK24" s="942"/>
      <c r="BL24" s="942"/>
      <c r="BM24" s="945"/>
      <c r="BN24" s="946"/>
      <c r="BO24" s="938" t="str">
        <f t="shared" si="5"/>
        <v/>
      </c>
      <c r="BP24" s="937">
        <v>0</v>
      </c>
      <c r="BQ24" s="938">
        <f t="shared" si="6"/>
        <v>0</v>
      </c>
      <c r="BR24" s="963">
        <v>2006</v>
      </c>
      <c r="BS24" s="947" t="s">
        <v>756</v>
      </c>
      <c r="BT24" s="948" t="s">
        <v>1263</v>
      </c>
      <c r="BU24" s="949" t="s">
        <v>1148</v>
      </c>
    </row>
    <row r="25" spans="2:75" s="888" customFormat="1">
      <c r="B25" s="929" t="s">
        <v>1269</v>
      </c>
      <c r="C25" s="930" t="s">
        <v>1272</v>
      </c>
      <c r="D25" s="931" t="s">
        <v>960</v>
      </c>
      <c r="E25" s="932" t="s">
        <v>867</v>
      </c>
      <c r="F25" s="933" t="s">
        <v>927</v>
      </c>
      <c r="G25" s="934" t="str">
        <f t="shared" si="0"/>
        <v>/</v>
      </c>
      <c r="H25" s="935" t="s">
        <v>913</v>
      </c>
      <c r="I25" s="936">
        <v>1</v>
      </c>
      <c r="J25" s="937">
        <v>0</v>
      </c>
      <c r="K25" s="938">
        <f t="shared" si="1"/>
        <v>0</v>
      </c>
      <c r="L25" s="937">
        <v>3.8999999999999998E-3</v>
      </c>
      <c r="M25" s="936">
        <f>IF(L25="","",IF($D25="",L25,IF($D25="CO2e",L25,L25*HLOOKUP($E25,Reference!$F$85:$I$105,4,FALSE))))</f>
        <v>9.7499999999999989E-2</v>
      </c>
      <c r="N25" s="938">
        <f t="shared" si="2"/>
        <v>9.7499999999999989E-2</v>
      </c>
      <c r="O25" s="937">
        <v>3.8999999999999998E-3</v>
      </c>
      <c r="P25" s="936">
        <f>IF(O25="","",IF($D25="",O25,IF($D25="CO2e",O25,O25*HLOOKUP($E25,Reference!$F$85:$I$105,5,FALSE))))</f>
        <v>1.1621999999999999</v>
      </c>
      <c r="Q25" s="938">
        <f t="shared" si="3"/>
        <v>1.1621999999999999</v>
      </c>
      <c r="R25" s="939"/>
      <c r="S25" s="940"/>
      <c r="T25" s="941"/>
      <c r="U25" s="939"/>
      <c r="V25" s="942"/>
      <c r="W25" s="943"/>
      <c r="X25" s="944"/>
      <c r="Y25" s="942"/>
      <c r="Z25" s="943"/>
      <c r="AA25" s="944"/>
      <c r="AB25" s="942" t="s">
        <v>1145</v>
      </c>
      <c r="AC25" s="943"/>
      <c r="AD25" s="944"/>
      <c r="AE25" s="942"/>
      <c r="AF25" s="943"/>
      <c r="AG25" s="944"/>
      <c r="AH25" s="942"/>
      <c r="AI25" s="943"/>
      <c r="AJ25" s="944"/>
      <c r="AK25" s="942"/>
      <c r="AL25" s="943"/>
      <c r="AM25" s="944"/>
      <c r="AN25" s="942"/>
      <c r="AO25" s="943"/>
      <c r="AP25" s="944"/>
      <c r="AQ25" s="942"/>
      <c r="AR25" s="943"/>
      <c r="AS25" s="944"/>
      <c r="AT25" s="942"/>
      <c r="AU25" s="943"/>
      <c r="AV25" s="944"/>
      <c r="AW25" s="942"/>
      <c r="AX25" s="943"/>
      <c r="AY25" s="944"/>
      <c r="AZ25" s="942"/>
      <c r="BA25" s="943"/>
      <c r="BB25" s="944"/>
      <c r="BC25" s="942"/>
      <c r="BD25" s="943"/>
      <c r="BE25" s="944"/>
      <c r="BF25" s="942"/>
      <c r="BG25" s="945"/>
      <c r="BH25" s="942"/>
      <c r="BI25" s="942"/>
      <c r="BJ25" s="945"/>
      <c r="BK25" s="942"/>
      <c r="BL25" s="942"/>
      <c r="BM25" s="945"/>
      <c r="BN25" s="946"/>
      <c r="BO25" s="938" t="str">
        <f t="shared" si="5"/>
        <v/>
      </c>
      <c r="BP25" s="937">
        <v>74.099999999999994</v>
      </c>
      <c r="BQ25" s="938">
        <f t="shared" si="6"/>
        <v>74.099999999999994</v>
      </c>
      <c r="BR25" s="963">
        <v>2006</v>
      </c>
      <c r="BS25" s="947" t="s">
        <v>756</v>
      </c>
      <c r="BT25" s="948" t="s">
        <v>1311</v>
      </c>
      <c r="BU25" s="949" t="s">
        <v>1148</v>
      </c>
    </row>
    <row r="26" spans="2:75" s="888" customFormat="1">
      <c r="B26" s="929" t="s">
        <v>1273</v>
      </c>
      <c r="C26" s="930" t="s">
        <v>1274</v>
      </c>
      <c r="D26" s="931" t="s">
        <v>960</v>
      </c>
      <c r="E26" s="932" t="s">
        <v>867</v>
      </c>
      <c r="F26" s="933" t="s">
        <v>927</v>
      </c>
      <c r="G26" s="934" t="str">
        <f t="shared" si="0"/>
        <v>/</v>
      </c>
      <c r="H26" s="935" t="s">
        <v>927</v>
      </c>
      <c r="I26" s="936">
        <v>1</v>
      </c>
      <c r="J26" s="937">
        <v>0</v>
      </c>
      <c r="K26" s="938">
        <f t="shared" si="1"/>
        <v>0</v>
      </c>
      <c r="L26" s="937">
        <f>2/1000</f>
        <v>2E-3</v>
      </c>
      <c r="M26" s="936">
        <f>IF(L26="","",IF($D26="",L26,IF($D26="CO2e",L26,L26*HLOOKUP($E26,Reference!$F$85:$I$105,4,FALSE))))</f>
        <v>0.05</v>
      </c>
      <c r="N26" s="938">
        <f t="shared" si="2"/>
        <v>0.05</v>
      </c>
      <c r="O26" s="937">
        <v>0</v>
      </c>
      <c r="P26" s="936">
        <f>IF(O26="","",IF($D26="",O26,IF($D26="CO2e",O26,O26*HLOOKUP($E26,Reference!$F$85:$I$105,5,FALSE))))</f>
        <v>0</v>
      </c>
      <c r="Q26" s="938">
        <f>IFERROR(IF(P26="","",P26*$I26),"")</f>
        <v>0</v>
      </c>
      <c r="R26" s="939"/>
      <c r="S26" s="940"/>
      <c r="T26" s="941"/>
      <c r="U26" s="939"/>
      <c r="V26" s="942"/>
      <c r="W26" s="943"/>
      <c r="X26" s="944"/>
      <c r="Y26" s="942"/>
      <c r="Z26" s="943"/>
      <c r="AA26" s="944"/>
      <c r="AB26" s="942" t="str">
        <f>IF(AA26="","",IF($D26="",AA26,IF($D26="CO2e",AA26,AA26*HLOOKUP($E26,Reference!$F$85:$I$105,10,FALSE))))</f>
        <v/>
      </c>
      <c r="AC26" s="943" t="str">
        <f t="shared" si="10"/>
        <v/>
      </c>
      <c r="AD26" s="944"/>
      <c r="AE26" s="942" t="str">
        <f>IF(AD26="","",IF($D26="",AD26,IF($D26="CO2e",AD26,AD26*HLOOKUP($E26,Reference!$F$85:$I$105,11,FALSE))))</f>
        <v/>
      </c>
      <c r="AF26" s="943" t="str">
        <f t="shared" si="11"/>
        <v/>
      </c>
      <c r="AG26" s="944"/>
      <c r="AH26" s="942" t="str">
        <f>IF(AG26="","",IF($D26="",AG26,IF($D26="CO2e",AG26,AG26*HLOOKUP($E26,Reference!$F$85:$I$105,12,FALSE))))</f>
        <v/>
      </c>
      <c r="AI26" s="943" t="str">
        <f t="shared" si="12"/>
        <v/>
      </c>
      <c r="AJ26" s="944"/>
      <c r="AK26" s="942" t="str">
        <f>IF(AJ26="","",IF($D26="",AJ26,IF($D26="CO2e",AJ26,AJ26*HLOOKUP($E26,Reference!$F$85:$I$105,13,FALSE))))</f>
        <v/>
      </c>
      <c r="AL26" s="943" t="str">
        <f t="shared" si="13"/>
        <v/>
      </c>
      <c r="AM26" s="944"/>
      <c r="AN26" s="942" t="str">
        <f>IF(AM26="","",IF($D26="",AM26,IF($D26="CO2e",AM26,AM26*HLOOKUP($E26,Reference!$F$85:$I$105,14,FALSE))))</f>
        <v/>
      </c>
      <c r="AO26" s="943" t="str">
        <f t="shared" si="14"/>
        <v/>
      </c>
      <c r="AP26" s="944"/>
      <c r="AQ26" s="942" t="str">
        <f>IF(AP26="","",IF($D26="",AP26,IF($D26="CO2e",AP26,AP26*HLOOKUP($E26,Reference!$F$85:$I$105,15,FALSE))))</f>
        <v/>
      </c>
      <c r="AR26" s="943" t="str">
        <f t="shared" si="15"/>
        <v/>
      </c>
      <c r="AS26" s="944"/>
      <c r="AT26" s="942" t="str">
        <f>IF(AS26="","",IF($D26="",AS26,IF($D26="CO2e",AS26,AS26*HLOOKUP($E26,Reference!$F$85:$I$105,16,FALSE))))</f>
        <v/>
      </c>
      <c r="AU26" s="943" t="str">
        <f t="shared" si="16"/>
        <v/>
      </c>
      <c r="AV26" s="944"/>
      <c r="AW26" s="942" t="str">
        <f>IF(AV26="","",IF($D26="",AV26,IF($D26="CO2e",AV26,AV26*HLOOKUP($E26,Reference!$F$85:$I$105,17,FALSE))))</f>
        <v/>
      </c>
      <c r="AX26" s="943" t="str">
        <f t="shared" si="17"/>
        <v/>
      </c>
      <c r="AY26" s="944"/>
      <c r="AZ26" s="942" t="str">
        <f>IF(AY26="","",IF($D26="",AY26,IF($D26="CO2e",AY26,AY26*HLOOKUP($E26,Reference!$F$85:$I$105,18,FALSE))))</f>
        <v/>
      </c>
      <c r="BA26" s="943" t="str">
        <f t="shared" si="18"/>
        <v/>
      </c>
      <c r="BB26" s="944"/>
      <c r="BC26" s="942" t="str">
        <f>IF(BB26="","",IF($D26="",BB26,IF($D26="CO2e",BB26,BB26*HLOOKUP($E26,Reference!$F$85:$I$105,19,FALSE))))</f>
        <v/>
      </c>
      <c r="BD26" s="943" t="str">
        <f t="shared" si="19"/>
        <v/>
      </c>
      <c r="BE26" s="944"/>
      <c r="BF26" s="942" t="str">
        <f>IF(BE26="","",IF($D26="",BE26,IF($D26="CO2e",BE26,BE26*HLOOKUP($E26,Reference!$F$85:$I$105,20,FALSE))))</f>
        <v/>
      </c>
      <c r="BG26" s="945" t="str">
        <f t="shared" si="20"/>
        <v/>
      </c>
      <c r="BH26" s="942"/>
      <c r="BI26" s="942" t="str">
        <f>IF(BH26="","",IF($D26="",BH26,IF($D26="CO2e",BH26,BH26*HLOOKUP($E26,Reference!$F$85:$I$105,6,FALSE))))</f>
        <v/>
      </c>
      <c r="BJ26" s="945" t="str">
        <f t="shared" si="21"/>
        <v/>
      </c>
      <c r="BK26" s="942"/>
      <c r="BL26" s="942" t="str">
        <f>IF(BK26="","",IF($D26="",BK26,IF($D26="CO2e",BK26,BK26*HLOOKUP($E26,Reference!$F$85:$I$105,6,FALSE))))</f>
        <v/>
      </c>
      <c r="BM26" s="945" t="str">
        <f t="shared" si="4"/>
        <v/>
      </c>
      <c r="BN26" s="946"/>
      <c r="BO26" s="938" t="str">
        <f t="shared" si="5"/>
        <v/>
      </c>
      <c r="BP26" s="937"/>
      <c r="BQ26" s="938" t="str">
        <f t="shared" si="6"/>
        <v/>
      </c>
      <c r="BR26" s="963">
        <v>2006</v>
      </c>
      <c r="BS26" s="947" t="s">
        <v>756</v>
      </c>
      <c r="BT26" s="948" t="s">
        <v>1317</v>
      </c>
      <c r="BU26" s="949" t="s">
        <v>1148</v>
      </c>
    </row>
    <row r="27" spans="2:75" s="888" customFormat="1">
      <c r="B27" s="889"/>
      <c r="C27" s="890"/>
      <c r="D27" s="891"/>
      <c r="E27" s="891"/>
      <c r="F27" s="891"/>
      <c r="G27" s="891"/>
      <c r="H27" s="891"/>
      <c r="I27" s="891"/>
    </row>
    <row r="28" spans="2:75" s="888" customFormat="1">
      <c r="B28" s="952" t="s">
        <v>757</v>
      </c>
      <c r="C28" s="953"/>
      <c r="D28" s="954"/>
      <c r="E28" s="955"/>
      <c r="F28" s="955"/>
      <c r="G28" s="955"/>
      <c r="H28" s="955"/>
      <c r="I28" s="955"/>
    </row>
    <row r="29" spans="2:75" s="888" customFormat="1">
      <c r="B29" s="889"/>
      <c r="C29" s="953"/>
      <c r="D29" s="954"/>
      <c r="E29" s="891"/>
      <c r="F29" s="891"/>
      <c r="G29" s="891"/>
      <c r="H29" s="891"/>
      <c r="I29" s="891"/>
    </row>
    <row r="30" spans="2:75" s="888" customFormat="1">
      <c r="B30" s="889"/>
      <c r="C30" s="890"/>
      <c r="D30" s="891"/>
      <c r="E30" s="891"/>
      <c r="F30" s="891"/>
      <c r="G30" s="891"/>
      <c r="H30" s="891"/>
      <c r="I30" s="891"/>
      <c r="X30" s="956"/>
      <c r="Y30" s="956"/>
      <c r="Z30" s="956"/>
      <c r="AA30" s="956"/>
      <c r="AB30" s="956"/>
    </row>
    <row r="31" spans="2:75" s="888" customFormat="1">
      <c r="B31" s="889"/>
      <c r="C31" s="890"/>
      <c r="D31" s="891"/>
      <c r="E31" s="891"/>
      <c r="F31" s="891"/>
      <c r="G31" s="891"/>
      <c r="H31" s="891"/>
      <c r="I31" s="891"/>
      <c r="X31" s="1078"/>
      <c r="Y31" s="1078"/>
      <c r="Z31" s="957"/>
      <c r="AA31" s="957"/>
      <c r="AB31" s="957"/>
      <c r="AC31" s="957"/>
      <c r="AD31" s="957"/>
      <c r="AE31" s="957"/>
      <c r="AF31" s="957"/>
      <c r="AG31" s="957"/>
      <c r="AH31" s="957"/>
      <c r="AI31" s="957"/>
      <c r="AJ31" s="957"/>
      <c r="AK31" s="957"/>
      <c r="AL31" s="957"/>
      <c r="AM31" s="957"/>
      <c r="AN31" s="957"/>
      <c r="AO31" s="957"/>
      <c r="AP31" s="957"/>
      <c r="AQ31" s="957"/>
      <c r="AR31" s="957"/>
      <c r="AS31" s="957"/>
      <c r="AT31" s="957"/>
      <c r="AU31" s="957"/>
      <c r="AW31" s="957"/>
      <c r="AX31" s="957"/>
      <c r="AY31" s="957"/>
      <c r="AZ31" s="957"/>
      <c r="BA31" s="957"/>
      <c r="BB31" s="957"/>
      <c r="BC31" s="957"/>
      <c r="BD31" s="957"/>
      <c r="BE31" s="957"/>
      <c r="BF31" s="957"/>
      <c r="BG31" s="957"/>
    </row>
    <row r="32" spans="2:75" s="888" customFormat="1">
      <c r="B32" s="889"/>
      <c r="C32" s="890"/>
      <c r="D32" s="891"/>
      <c r="E32" s="891"/>
      <c r="F32" s="891"/>
      <c r="G32" s="891"/>
      <c r="H32" s="891"/>
      <c r="I32" s="891"/>
      <c r="X32" s="1078"/>
      <c r="Y32" s="1078"/>
      <c r="Z32" s="957"/>
      <c r="AA32" s="957"/>
      <c r="AB32" s="957"/>
      <c r="AC32" s="957"/>
      <c r="AD32" s="957"/>
      <c r="AE32" s="957"/>
      <c r="AF32" s="957"/>
      <c r="AG32" s="957"/>
      <c r="AH32" s="957"/>
      <c r="AI32" s="957"/>
      <c r="AJ32" s="957"/>
      <c r="AK32" s="957"/>
      <c r="AL32" s="957"/>
      <c r="AM32" s="957"/>
      <c r="AN32" s="957"/>
      <c r="AO32" s="957"/>
      <c r="AP32" s="957"/>
      <c r="AQ32" s="957"/>
      <c r="AR32" s="957"/>
      <c r="AS32" s="957"/>
      <c r="AT32" s="957"/>
      <c r="AU32" s="957"/>
      <c r="AW32" s="957"/>
      <c r="AX32" s="957"/>
      <c r="AY32" s="957"/>
      <c r="AZ32" s="957"/>
      <c r="BA32" s="957"/>
      <c r="BB32" s="957"/>
      <c r="BC32" s="957"/>
      <c r="BD32" s="957"/>
      <c r="BE32" s="957"/>
      <c r="BF32" s="957"/>
      <c r="BG32" s="957"/>
    </row>
    <row r="33" spans="2:59" s="888" customFormat="1">
      <c r="B33" s="889"/>
      <c r="C33" s="890"/>
      <c r="D33" s="891"/>
      <c r="E33" s="891"/>
      <c r="F33" s="891"/>
      <c r="G33" s="891"/>
      <c r="H33" s="891"/>
      <c r="I33" s="891"/>
      <c r="X33" s="1078"/>
      <c r="Y33" s="1078"/>
      <c r="Z33" s="957"/>
      <c r="AA33" s="957"/>
      <c r="AB33" s="957"/>
      <c r="AC33" s="957"/>
      <c r="AD33" s="957"/>
      <c r="AE33" s="957"/>
      <c r="AF33" s="957"/>
      <c r="AG33" s="957"/>
      <c r="AH33" s="957"/>
      <c r="AI33" s="957"/>
      <c r="AJ33" s="957"/>
      <c r="AK33" s="957"/>
      <c r="AL33" s="957"/>
      <c r="AM33" s="957"/>
      <c r="AN33" s="957"/>
      <c r="AO33" s="957"/>
      <c r="AP33" s="957"/>
      <c r="AQ33" s="957"/>
      <c r="AR33" s="957"/>
      <c r="AS33" s="957"/>
      <c r="AT33" s="957"/>
      <c r="AU33" s="957"/>
      <c r="AW33" s="957"/>
      <c r="AX33" s="957"/>
      <c r="AY33" s="957"/>
      <c r="AZ33" s="957"/>
      <c r="BA33" s="957"/>
      <c r="BB33" s="957"/>
      <c r="BC33" s="957"/>
      <c r="BD33" s="957"/>
      <c r="BE33" s="957"/>
      <c r="BF33" s="957"/>
      <c r="BG33" s="957"/>
    </row>
    <row r="34" spans="2:59" s="888" customFormat="1">
      <c r="B34" s="889"/>
      <c r="C34" s="890"/>
      <c r="D34" s="891"/>
      <c r="E34" s="891"/>
      <c r="F34" s="891"/>
      <c r="G34" s="891"/>
      <c r="H34" s="891"/>
      <c r="I34" s="891"/>
      <c r="X34" s="1078"/>
      <c r="Y34" s="1078"/>
      <c r="Z34" s="957"/>
      <c r="AA34" s="957"/>
      <c r="AB34" s="957"/>
      <c r="AC34" s="957"/>
      <c r="AD34" s="957"/>
      <c r="AE34" s="957"/>
      <c r="AF34" s="957"/>
      <c r="AG34" s="957"/>
      <c r="AH34" s="957"/>
      <c r="AI34" s="957"/>
      <c r="AJ34" s="957"/>
      <c r="AK34" s="957"/>
      <c r="AL34" s="957"/>
      <c r="AM34" s="957"/>
      <c r="AN34" s="957"/>
      <c r="AO34" s="957"/>
      <c r="AP34" s="957"/>
      <c r="AQ34" s="957"/>
      <c r="AR34" s="957"/>
      <c r="AS34" s="957"/>
      <c r="AT34" s="957"/>
      <c r="AU34" s="957"/>
      <c r="AV34" s="957"/>
      <c r="AW34" s="957"/>
      <c r="AX34" s="957"/>
      <c r="AY34" s="957"/>
      <c r="AZ34" s="957"/>
      <c r="BA34" s="957"/>
      <c r="BB34" s="957"/>
      <c r="BC34" s="957"/>
      <c r="BD34" s="957"/>
      <c r="BE34" s="957"/>
      <c r="BF34" s="957"/>
      <c r="BG34" s="957"/>
    </row>
    <row r="35" spans="2:59" s="888" customFormat="1">
      <c r="B35" s="889"/>
      <c r="C35" s="890"/>
      <c r="D35" s="891"/>
      <c r="E35" s="891"/>
      <c r="F35" s="891"/>
      <c r="G35" s="891"/>
      <c r="H35" s="891"/>
      <c r="I35" s="891"/>
      <c r="X35" s="1078"/>
      <c r="Y35" s="1078"/>
      <c r="Z35" s="957"/>
      <c r="AA35" s="957"/>
      <c r="AB35" s="957"/>
      <c r="AC35" s="957"/>
      <c r="AD35" s="957"/>
      <c r="AE35" s="957"/>
      <c r="AF35" s="957"/>
      <c r="AG35" s="957"/>
      <c r="AH35" s="957"/>
      <c r="AI35" s="957"/>
      <c r="AJ35" s="957"/>
      <c r="AK35" s="957"/>
      <c r="AL35" s="957"/>
      <c r="AM35" s="957"/>
      <c r="AN35" s="957"/>
      <c r="AO35" s="957"/>
      <c r="AP35" s="957"/>
      <c r="AQ35" s="957"/>
      <c r="AR35" s="957"/>
      <c r="AS35" s="957"/>
      <c r="AT35" s="957"/>
      <c r="AU35" s="957"/>
      <c r="AV35" s="957"/>
      <c r="AW35" s="957"/>
      <c r="AX35" s="957"/>
      <c r="AY35" s="957"/>
      <c r="AZ35" s="957"/>
      <c r="BA35" s="957"/>
      <c r="BB35" s="957"/>
      <c r="BC35" s="957"/>
      <c r="BD35" s="957"/>
      <c r="BE35" s="957"/>
      <c r="BF35" s="957"/>
      <c r="BG35" s="957"/>
    </row>
    <row r="36" spans="2:59" s="888" customFormat="1">
      <c r="B36" s="889"/>
      <c r="C36" s="890"/>
      <c r="D36" s="891"/>
      <c r="E36" s="891"/>
      <c r="F36" s="891"/>
      <c r="G36" s="891"/>
      <c r="H36" s="891"/>
      <c r="I36" s="891"/>
      <c r="X36" s="1078"/>
      <c r="Y36" s="1078"/>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957"/>
      <c r="AX36" s="957"/>
      <c r="AY36" s="957"/>
      <c r="AZ36" s="957"/>
      <c r="BA36" s="957"/>
      <c r="BB36" s="957"/>
      <c r="BC36" s="957"/>
      <c r="BD36" s="957"/>
      <c r="BE36" s="957"/>
      <c r="BF36" s="957"/>
      <c r="BG36" s="957"/>
    </row>
    <row r="37" spans="2:59" s="888" customFormat="1">
      <c r="B37" s="889"/>
      <c r="C37" s="890"/>
      <c r="D37" s="891"/>
      <c r="E37" s="891"/>
      <c r="F37" s="891"/>
      <c r="G37" s="891"/>
      <c r="H37" s="891"/>
      <c r="I37" s="891"/>
      <c r="X37" s="1078"/>
      <c r="Y37" s="1078"/>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957"/>
      <c r="AX37" s="957"/>
      <c r="AY37" s="957"/>
      <c r="AZ37" s="957"/>
      <c r="BA37" s="957"/>
      <c r="BB37" s="957"/>
      <c r="BC37" s="957"/>
      <c r="BD37" s="957"/>
      <c r="BE37" s="957"/>
      <c r="BF37" s="957"/>
      <c r="BG37" s="957"/>
    </row>
    <row r="38" spans="2:59" s="888" customFormat="1">
      <c r="B38" s="889"/>
      <c r="C38" s="890"/>
      <c r="D38" s="891"/>
      <c r="E38" s="891"/>
      <c r="F38" s="891"/>
      <c r="G38" s="891"/>
      <c r="H38" s="891"/>
      <c r="I38" s="891"/>
      <c r="X38" s="1078"/>
      <c r="Y38" s="1078"/>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957"/>
      <c r="AX38" s="957"/>
      <c r="AY38" s="957"/>
      <c r="AZ38" s="957"/>
      <c r="BA38" s="957"/>
      <c r="BB38" s="957"/>
      <c r="BC38" s="957"/>
      <c r="BD38" s="957"/>
      <c r="BE38" s="957"/>
      <c r="BF38" s="957"/>
      <c r="BG38" s="957"/>
    </row>
    <row r="39" spans="2:59" s="888" customFormat="1">
      <c r="B39" s="889"/>
      <c r="C39" s="890"/>
      <c r="D39" s="891"/>
      <c r="E39" s="891"/>
      <c r="F39" s="891"/>
      <c r="G39" s="891"/>
      <c r="H39" s="891"/>
      <c r="I39" s="891"/>
      <c r="X39" s="1078"/>
      <c r="Y39" s="1078"/>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957"/>
      <c r="AX39" s="957"/>
      <c r="AY39" s="957"/>
      <c r="AZ39" s="957"/>
      <c r="BA39" s="957"/>
      <c r="BB39" s="957"/>
      <c r="BC39" s="957"/>
      <c r="BD39" s="957"/>
      <c r="BE39" s="957"/>
      <c r="BF39" s="957"/>
      <c r="BG39" s="957"/>
    </row>
    <row r="40" spans="2:59" s="888" customFormat="1">
      <c r="B40" s="889"/>
      <c r="C40" s="890"/>
      <c r="D40" s="891"/>
      <c r="E40" s="891"/>
      <c r="F40" s="891"/>
      <c r="G40" s="891"/>
      <c r="H40" s="891"/>
      <c r="I40" s="891"/>
      <c r="X40" s="1078"/>
      <c r="Y40" s="1078"/>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957"/>
      <c r="AX40" s="957"/>
      <c r="AY40" s="957"/>
      <c r="AZ40" s="957"/>
      <c r="BA40" s="957"/>
      <c r="BB40" s="957"/>
      <c r="BC40" s="957"/>
      <c r="BD40" s="957"/>
      <c r="BE40" s="957"/>
      <c r="BF40" s="957"/>
      <c r="BG40" s="957"/>
    </row>
    <row r="41" spans="2:59" s="888" customFormat="1">
      <c r="B41" s="889"/>
      <c r="C41" s="890"/>
      <c r="D41" s="891"/>
      <c r="E41" s="891"/>
      <c r="F41" s="891"/>
      <c r="G41" s="891"/>
      <c r="H41" s="891"/>
      <c r="I41" s="891"/>
      <c r="X41" s="1078"/>
      <c r="Y41" s="1078"/>
      <c r="Z41" s="957"/>
      <c r="AA41" s="957"/>
      <c r="AB41" s="957"/>
      <c r="AC41" s="957"/>
      <c r="AD41" s="957"/>
      <c r="AE41" s="957"/>
      <c r="AF41" s="957"/>
      <c r="AG41" s="957"/>
      <c r="AH41" s="957"/>
      <c r="AI41" s="957"/>
      <c r="AJ41" s="957"/>
      <c r="AK41" s="957"/>
      <c r="AL41" s="957"/>
      <c r="AM41" s="957"/>
      <c r="AN41" s="957"/>
      <c r="AO41" s="957"/>
      <c r="AP41" s="957"/>
      <c r="AQ41" s="957"/>
      <c r="AR41" s="957"/>
      <c r="AS41" s="957"/>
      <c r="AT41" s="957"/>
      <c r="AU41" s="957"/>
      <c r="AV41" s="957"/>
      <c r="AW41" s="957"/>
      <c r="AX41" s="957"/>
      <c r="AY41" s="957"/>
      <c r="AZ41" s="957"/>
      <c r="BA41" s="957"/>
      <c r="BB41" s="957"/>
      <c r="BC41" s="957"/>
      <c r="BD41" s="957"/>
      <c r="BE41" s="957"/>
      <c r="BF41" s="957"/>
      <c r="BG41" s="957"/>
    </row>
    <row r="42" spans="2:59" s="888" customFormat="1">
      <c r="B42" s="889"/>
      <c r="C42" s="890"/>
      <c r="D42" s="891"/>
      <c r="E42" s="891"/>
      <c r="F42" s="891"/>
      <c r="G42" s="891"/>
      <c r="H42" s="891"/>
      <c r="I42" s="891"/>
      <c r="X42" s="1078"/>
      <c r="Y42" s="1078"/>
      <c r="Z42" s="957"/>
      <c r="AA42" s="957"/>
      <c r="AB42" s="957"/>
      <c r="AC42" s="957"/>
      <c r="AD42" s="957"/>
      <c r="AE42" s="957"/>
      <c r="AF42" s="957"/>
      <c r="AG42" s="957"/>
      <c r="AH42" s="957"/>
      <c r="AI42" s="957"/>
      <c r="AJ42" s="957"/>
      <c r="AK42" s="957"/>
      <c r="AL42" s="957"/>
      <c r="AM42" s="957"/>
      <c r="AN42" s="957"/>
      <c r="AO42" s="957"/>
      <c r="AP42" s="957"/>
      <c r="AQ42" s="957"/>
      <c r="AR42" s="957"/>
      <c r="AS42" s="957"/>
      <c r="AT42" s="957"/>
      <c r="AU42" s="957"/>
      <c r="AV42" s="957"/>
      <c r="AW42" s="957"/>
      <c r="AX42" s="957"/>
      <c r="AY42" s="957"/>
      <c r="AZ42" s="957"/>
      <c r="BA42" s="957"/>
      <c r="BB42" s="957"/>
      <c r="BC42" s="957"/>
      <c r="BD42" s="957"/>
      <c r="BE42" s="957"/>
      <c r="BF42" s="957"/>
      <c r="BG42" s="957"/>
    </row>
    <row r="43" spans="2:59" s="888" customFormat="1">
      <c r="B43" s="889"/>
      <c r="C43" s="890"/>
      <c r="D43" s="891"/>
      <c r="E43" s="891"/>
      <c r="F43" s="891"/>
      <c r="G43" s="891"/>
      <c r="H43" s="891"/>
      <c r="I43" s="891"/>
      <c r="X43" s="956"/>
      <c r="Y43" s="956"/>
      <c r="Z43" s="956"/>
      <c r="AA43" s="956"/>
      <c r="AB43" s="956"/>
    </row>
    <row r="44" spans="2:59" s="888" customFormat="1">
      <c r="B44" s="889"/>
      <c r="C44" s="890"/>
      <c r="D44" s="891"/>
      <c r="E44" s="891"/>
      <c r="F44" s="891"/>
      <c r="G44" s="891"/>
      <c r="H44" s="891"/>
      <c r="I44" s="891"/>
      <c r="X44" s="956"/>
      <c r="Y44" s="956"/>
      <c r="Z44" s="956"/>
      <c r="AA44" s="956"/>
      <c r="AB44" s="956"/>
    </row>
    <row r="45" spans="2:59" s="888" customFormat="1">
      <c r="B45" s="889"/>
      <c r="C45" s="890"/>
      <c r="D45" s="891"/>
      <c r="E45" s="891"/>
      <c r="F45" s="891"/>
      <c r="G45" s="891"/>
      <c r="H45" s="891"/>
      <c r="I45" s="891"/>
    </row>
    <row r="46" spans="2:59" s="888" customFormat="1">
      <c r="B46" s="889"/>
      <c r="C46" s="890"/>
      <c r="D46" s="891"/>
      <c r="E46" s="891"/>
      <c r="F46" s="891"/>
      <c r="G46" s="891"/>
      <c r="H46" s="891"/>
      <c r="I46" s="891"/>
    </row>
    <row r="47" spans="2:59" s="888" customFormat="1">
      <c r="B47" s="889"/>
      <c r="C47" s="890"/>
      <c r="D47" s="891"/>
      <c r="E47" s="891"/>
      <c r="F47" s="891"/>
      <c r="G47" s="891"/>
      <c r="H47" s="891"/>
      <c r="I47" s="891"/>
    </row>
    <row r="48" spans="2:59" s="888" customFormat="1">
      <c r="B48" s="889"/>
      <c r="C48" s="890"/>
      <c r="D48" s="891"/>
      <c r="E48" s="891"/>
      <c r="F48" s="891"/>
      <c r="G48" s="891"/>
      <c r="H48" s="891"/>
      <c r="I48" s="891"/>
    </row>
    <row r="49" spans="2:9" s="888" customFormat="1">
      <c r="B49" s="889"/>
      <c r="C49" s="890"/>
      <c r="D49" s="891"/>
      <c r="E49" s="891"/>
      <c r="F49" s="891"/>
      <c r="G49" s="891"/>
      <c r="H49" s="891"/>
      <c r="I49" s="891"/>
    </row>
    <row r="50" spans="2:9" s="888" customFormat="1">
      <c r="B50" s="889"/>
      <c r="C50" s="890"/>
      <c r="D50" s="891"/>
      <c r="E50" s="891"/>
      <c r="F50" s="891"/>
      <c r="G50" s="891"/>
      <c r="H50" s="891"/>
      <c r="I50" s="891"/>
    </row>
    <row r="51" spans="2:9" s="888" customFormat="1">
      <c r="B51" s="889"/>
      <c r="C51" s="890"/>
      <c r="D51" s="891"/>
      <c r="E51" s="891"/>
      <c r="F51" s="891"/>
      <c r="G51" s="891"/>
      <c r="H51" s="891"/>
      <c r="I51" s="891"/>
    </row>
    <row r="52" spans="2:9" s="888" customFormat="1">
      <c r="B52" s="889"/>
      <c r="C52" s="890"/>
      <c r="D52" s="891"/>
      <c r="E52" s="891"/>
      <c r="F52" s="891"/>
      <c r="G52" s="891"/>
      <c r="H52" s="891"/>
      <c r="I52" s="891"/>
    </row>
    <row r="53" spans="2:9" s="888" customFormat="1">
      <c r="B53" s="889"/>
      <c r="C53" s="890"/>
      <c r="D53" s="891"/>
      <c r="E53" s="891"/>
      <c r="F53" s="891"/>
      <c r="G53" s="891"/>
      <c r="H53" s="891"/>
      <c r="I53" s="891"/>
    </row>
    <row r="54" spans="2:9" s="888" customFormat="1">
      <c r="B54" s="889"/>
      <c r="C54" s="890"/>
      <c r="D54" s="891"/>
      <c r="E54" s="891"/>
      <c r="F54" s="891"/>
      <c r="G54" s="891"/>
      <c r="H54" s="891"/>
      <c r="I54" s="891"/>
    </row>
    <row r="55" spans="2:9" s="888" customFormat="1">
      <c r="B55" s="889"/>
      <c r="C55" s="890"/>
      <c r="D55" s="891"/>
      <c r="E55" s="891"/>
      <c r="F55" s="891"/>
      <c r="G55" s="891"/>
      <c r="H55" s="891"/>
      <c r="I55" s="891"/>
    </row>
    <row r="56" spans="2:9" s="888" customFormat="1">
      <c r="B56" s="889"/>
      <c r="C56" s="890"/>
      <c r="D56" s="891"/>
      <c r="E56" s="891"/>
      <c r="F56" s="891"/>
      <c r="G56" s="891"/>
      <c r="H56" s="891"/>
      <c r="I56" s="891"/>
    </row>
    <row r="57" spans="2:9" s="888" customFormat="1">
      <c r="B57" s="889"/>
      <c r="C57" s="890"/>
      <c r="D57" s="891"/>
      <c r="E57" s="891"/>
      <c r="F57" s="891"/>
      <c r="G57" s="891"/>
      <c r="H57" s="891"/>
      <c r="I57" s="891"/>
    </row>
    <row r="58" spans="2:9" s="888" customFormat="1">
      <c r="B58" s="889"/>
      <c r="C58" s="890"/>
      <c r="D58" s="891"/>
      <c r="E58" s="891"/>
      <c r="F58" s="891"/>
      <c r="G58" s="891"/>
      <c r="H58" s="891"/>
      <c r="I58" s="891"/>
    </row>
    <row r="59" spans="2:9" s="888" customFormat="1">
      <c r="B59" s="889"/>
      <c r="C59" s="890"/>
      <c r="D59" s="891"/>
      <c r="E59" s="891"/>
      <c r="F59" s="891"/>
      <c r="G59" s="891"/>
      <c r="H59" s="891"/>
      <c r="I59" s="891"/>
    </row>
    <row r="60" spans="2:9" s="888" customFormat="1">
      <c r="B60" s="889"/>
      <c r="C60" s="890"/>
      <c r="D60" s="891"/>
      <c r="E60" s="891"/>
      <c r="F60" s="891"/>
      <c r="G60" s="891"/>
      <c r="H60" s="891"/>
      <c r="I60" s="891"/>
    </row>
    <row r="61" spans="2:9" s="888" customFormat="1">
      <c r="B61" s="889"/>
      <c r="C61" s="890"/>
      <c r="D61" s="891"/>
      <c r="E61" s="891"/>
      <c r="F61" s="891"/>
      <c r="G61" s="891"/>
      <c r="H61" s="891"/>
      <c r="I61" s="891"/>
    </row>
    <row r="62" spans="2:9" s="888" customFormat="1">
      <c r="B62" s="889"/>
      <c r="C62" s="890"/>
      <c r="D62" s="891"/>
      <c r="E62" s="891"/>
      <c r="F62" s="891"/>
      <c r="G62" s="891"/>
      <c r="H62" s="891"/>
      <c r="I62" s="891"/>
    </row>
    <row r="63" spans="2:9" s="888" customFormat="1">
      <c r="B63" s="889"/>
      <c r="C63" s="890"/>
      <c r="D63" s="891"/>
      <c r="E63" s="891"/>
      <c r="F63" s="891"/>
      <c r="G63" s="891"/>
      <c r="H63" s="891"/>
      <c r="I63" s="891"/>
    </row>
    <row r="64" spans="2:9" s="888" customFormat="1">
      <c r="B64" s="889"/>
      <c r="C64" s="890"/>
      <c r="D64" s="891"/>
      <c r="E64" s="891"/>
      <c r="F64" s="891"/>
      <c r="G64" s="891"/>
      <c r="H64" s="891"/>
      <c r="I64" s="891"/>
    </row>
    <row r="65" spans="2:9" s="888" customFormat="1">
      <c r="B65" s="889"/>
      <c r="C65" s="890"/>
      <c r="D65" s="891"/>
      <c r="E65" s="891"/>
      <c r="F65" s="891"/>
      <c r="G65" s="891"/>
      <c r="H65" s="891"/>
      <c r="I65" s="891"/>
    </row>
    <row r="66" spans="2:9" s="888" customFormat="1">
      <c r="B66" s="889"/>
      <c r="C66" s="890"/>
      <c r="D66" s="891"/>
      <c r="E66" s="891"/>
      <c r="F66" s="891"/>
      <c r="G66" s="891"/>
      <c r="H66" s="891"/>
      <c r="I66" s="891"/>
    </row>
    <row r="67" spans="2:9" s="888" customFormat="1">
      <c r="B67" s="889"/>
      <c r="C67" s="890"/>
      <c r="D67" s="891"/>
      <c r="E67" s="891"/>
      <c r="F67" s="891"/>
      <c r="G67" s="891"/>
      <c r="H67" s="891"/>
      <c r="I67" s="891"/>
    </row>
    <row r="68" spans="2:9" s="888" customFormat="1">
      <c r="B68" s="889"/>
      <c r="C68" s="890"/>
      <c r="D68" s="891"/>
      <c r="E68" s="891"/>
      <c r="F68" s="891"/>
      <c r="G68" s="891"/>
      <c r="H68" s="891"/>
      <c r="I68" s="891"/>
    </row>
    <row r="69" spans="2:9" s="888" customFormat="1">
      <c r="B69" s="889"/>
      <c r="C69" s="890"/>
      <c r="D69" s="891"/>
      <c r="E69" s="891"/>
      <c r="F69" s="891"/>
      <c r="G69" s="891"/>
      <c r="H69" s="891"/>
      <c r="I69" s="891"/>
    </row>
    <row r="70" spans="2:9" s="888" customFormat="1">
      <c r="B70" s="889"/>
      <c r="C70" s="890"/>
      <c r="D70" s="891"/>
      <c r="E70" s="891"/>
      <c r="F70" s="891"/>
      <c r="G70" s="891"/>
      <c r="H70" s="891"/>
      <c r="I70" s="891"/>
    </row>
    <row r="71" spans="2:9" s="888" customFormat="1">
      <c r="B71" s="889"/>
      <c r="C71" s="890"/>
      <c r="D71" s="891"/>
      <c r="E71" s="891"/>
      <c r="F71" s="891"/>
      <c r="G71" s="891"/>
      <c r="H71" s="891"/>
      <c r="I71" s="891"/>
    </row>
    <row r="72" spans="2:9" s="888" customFormat="1">
      <c r="B72" s="889"/>
      <c r="C72" s="890"/>
      <c r="D72" s="891"/>
      <c r="E72" s="891"/>
      <c r="F72" s="891"/>
      <c r="G72" s="891"/>
      <c r="H72" s="891"/>
      <c r="I72" s="891"/>
    </row>
    <row r="73" spans="2:9" s="888" customFormat="1">
      <c r="B73" s="889"/>
      <c r="C73" s="890"/>
      <c r="D73" s="891"/>
      <c r="E73" s="891"/>
      <c r="F73" s="891"/>
      <c r="G73" s="891"/>
      <c r="H73" s="891"/>
      <c r="I73" s="891"/>
    </row>
    <row r="74" spans="2:9" s="888" customFormat="1">
      <c r="B74" s="889"/>
      <c r="C74" s="890"/>
      <c r="D74" s="891"/>
      <c r="E74" s="891"/>
      <c r="F74" s="891"/>
      <c r="G74" s="891"/>
      <c r="H74" s="891"/>
      <c r="I74" s="891"/>
    </row>
    <row r="75" spans="2:9" s="888" customFormat="1">
      <c r="B75" s="889"/>
      <c r="C75" s="890"/>
      <c r="D75" s="891"/>
      <c r="E75" s="891"/>
      <c r="F75" s="891"/>
      <c r="G75" s="891"/>
      <c r="H75" s="891"/>
      <c r="I75" s="891"/>
    </row>
    <row r="76" spans="2:9" s="888" customFormat="1">
      <c r="B76" s="889"/>
      <c r="C76" s="890"/>
      <c r="D76" s="891"/>
      <c r="E76" s="891"/>
      <c r="F76" s="891"/>
      <c r="G76" s="891"/>
      <c r="H76" s="891"/>
      <c r="I76" s="891"/>
    </row>
    <row r="77" spans="2:9" s="888" customFormat="1">
      <c r="B77" s="889"/>
      <c r="C77" s="890"/>
      <c r="D77" s="891"/>
      <c r="E77" s="891"/>
      <c r="F77" s="891"/>
      <c r="G77" s="891"/>
      <c r="H77" s="891"/>
      <c r="I77" s="891"/>
    </row>
    <row r="78" spans="2:9" s="888" customFormat="1">
      <c r="B78" s="889"/>
      <c r="C78" s="890"/>
      <c r="D78" s="891"/>
      <c r="E78" s="891"/>
      <c r="F78" s="891"/>
      <c r="G78" s="891"/>
      <c r="H78" s="891"/>
      <c r="I78" s="891"/>
    </row>
    <row r="79" spans="2:9" s="888" customFormat="1">
      <c r="B79" s="889"/>
      <c r="C79" s="890"/>
      <c r="D79" s="891"/>
      <c r="E79" s="891"/>
      <c r="F79" s="891"/>
      <c r="G79" s="891"/>
      <c r="H79" s="891"/>
      <c r="I79" s="891"/>
    </row>
    <row r="80" spans="2:9" s="888" customFormat="1">
      <c r="B80" s="889"/>
      <c r="C80" s="890"/>
      <c r="D80" s="891"/>
      <c r="E80" s="891"/>
      <c r="F80" s="891"/>
      <c r="G80" s="891"/>
      <c r="H80" s="891"/>
      <c r="I80" s="891"/>
    </row>
    <row r="81" spans="2:9" s="888" customFormat="1">
      <c r="B81" s="889"/>
      <c r="C81" s="890"/>
      <c r="D81" s="891"/>
      <c r="E81" s="891"/>
      <c r="F81" s="891"/>
      <c r="G81" s="891"/>
      <c r="H81" s="891"/>
      <c r="I81" s="891"/>
    </row>
    <row r="82" spans="2:9" s="888" customFormat="1">
      <c r="B82" s="889"/>
      <c r="C82" s="890"/>
      <c r="D82" s="891"/>
      <c r="E82" s="891"/>
      <c r="F82" s="891"/>
      <c r="G82" s="891"/>
      <c r="H82" s="891"/>
      <c r="I82" s="891"/>
    </row>
    <row r="83" spans="2:9" s="888" customFormat="1">
      <c r="B83" s="889"/>
      <c r="C83" s="890"/>
      <c r="D83" s="891"/>
      <c r="E83" s="891"/>
      <c r="F83" s="891"/>
      <c r="G83" s="891"/>
      <c r="H83" s="891"/>
      <c r="I83" s="891"/>
    </row>
    <row r="84" spans="2:9" s="888" customFormat="1">
      <c r="B84" s="889"/>
      <c r="C84" s="890"/>
      <c r="D84" s="891"/>
      <c r="E84" s="891"/>
      <c r="F84" s="891"/>
      <c r="G84" s="891"/>
      <c r="H84" s="891"/>
      <c r="I84" s="891"/>
    </row>
    <row r="85" spans="2:9" s="888" customFormat="1">
      <c r="B85" s="889"/>
      <c r="C85" s="890"/>
      <c r="D85" s="891"/>
      <c r="E85" s="891"/>
      <c r="F85" s="891"/>
      <c r="G85" s="891"/>
      <c r="H85" s="891"/>
      <c r="I85" s="891"/>
    </row>
    <row r="86" spans="2:9" s="888" customFormat="1">
      <c r="B86" s="889"/>
      <c r="C86" s="890"/>
      <c r="D86" s="891"/>
      <c r="E86" s="891"/>
      <c r="F86" s="891"/>
      <c r="G86" s="891"/>
      <c r="H86" s="891"/>
      <c r="I86" s="891"/>
    </row>
    <row r="87" spans="2:9" s="888" customFormat="1">
      <c r="B87" s="889"/>
      <c r="C87" s="890"/>
      <c r="D87" s="891"/>
      <c r="E87" s="891"/>
      <c r="F87" s="891"/>
      <c r="G87" s="891"/>
      <c r="H87" s="891"/>
      <c r="I87" s="891"/>
    </row>
    <row r="88" spans="2:9" s="888" customFormat="1">
      <c r="B88" s="889"/>
      <c r="C88" s="890"/>
      <c r="D88" s="891"/>
      <c r="E88" s="891"/>
      <c r="F88" s="891"/>
      <c r="G88" s="891"/>
      <c r="H88" s="891"/>
      <c r="I88" s="891"/>
    </row>
    <row r="89" spans="2:9" s="888" customFormat="1">
      <c r="B89" s="889"/>
      <c r="C89" s="890"/>
      <c r="D89" s="891"/>
      <c r="E89" s="891"/>
      <c r="F89" s="891"/>
      <c r="G89" s="891"/>
      <c r="H89" s="891"/>
      <c r="I89" s="891"/>
    </row>
    <row r="90" spans="2:9" s="888" customFormat="1">
      <c r="B90" s="889"/>
      <c r="C90" s="890"/>
      <c r="D90" s="891"/>
      <c r="E90" s="891"/>
      <c r="F90" s="891"/>
      <c r="G90" s="891"/>
      <c r="H90" s="891"/>
      <c r="I90" s="891"/>
    </row>
    <row r="91" spans="2:9" s="888" customFormat="1">
      <c r="B91" s="889"/>
      <c r="C91" s="890"/>
      <c r="D91" s="891"/>
      <c r="E91" s="891"/>
      <c r="F91" s="891"/>
      <c r="G91" s="891"/>
      <c r="H91" s="891"/>
      <c r="I91" s="891"/>
    </row>
  </sheetData>
  <mergeCells count="24">
    <mergeCell ref="BU7:BU8"/>
    <mergeCell ref="BT7:BT8"/>
    <mergeCell ref="D7:D8"/>
    <mergeCell ref="J7:BP7"/>
    <mergeCell ref="F7:H8"/>
    <mergeCell ref="I7:I8"/>
    <mergeCell ref="BN4:BN5"/>
    <mergeCell ref="B7:B8"/>
    <mergeCell ref="BS7:BS8"/>
    <mergeCell ref="BR7:BR8"/>
    <mergeCell ref="C7:C8"/>
    <mergeCell ref="E7:E8"/>
    <mergeCell ref="X31:Y31"/>
    <mergeCell ref="X32:Y32"/>
    <mergeCell ref="X33:Y33"/>
    <mergeCell ref="X34:Y34"/>
    <mergeCell ref="X35:Y35"/>
    <mergeCell ref="X41:Y41"/>
    <mergeCell ref="X42:Y42"/>
    <mergeCell ref="X36:Y36"/>
    <mergeCell ref="X37:Y37"/>
    <mergeCell ref="X38:Y38"/>
    <mergeCell ref="X39:Y39"/>
    <mergeCell ref="X40:Y40"/>
  </mergeCells>
  <phoneticPr fontId="10" type="noConversion"/>
  <conditionalFormatting sqref="I11:I23">
    <cfRule type="notContainsBlanks" dxfId="6" priority="7">
      <formula>LEN(TRIM(I11))&gt;0</formula>
    </cfRule>
  </conditionalFormatting>
  <conditionalFormatting sqref="I26">
    <cfRule type="notContainsBlanks" dxfId="5" priority="6">
      <formula>LEN(TRIM(I26))&gt;0</formula>
    </cfRule>
  </conditionalFormatting>
  <conditionalFormatting sqref="I24">
    <cfRule type="notContainsBlanks" dxfId="4" priority="5">
      <formula>LEN(TRIM(I24))&gt;0</formula>
    </cfRule>
  </conditionalFormatting>
  <conditionalFormatting sqref="I25">
    <cfRule type="notContainsBlanks" dxfId="3" priority="4">
      <formula>LEN(TRIM(I25))&gt;0</formula>
    </cfRule>
  </conditionalFormatting>
  <conditionalFormatting sqref="I25">
    <cfRule type="notContainsBlanks" dxfId="2" priority="3">
      <formula>LEN(TRIM(I25))&gt;0</formula>
    </cfRule>
  </conditionalFormatting>
  <conditionalFormatting sqref="I26">
    <cfRule type="notContainsBlanks" dxfId="1" priority="2">
      <formula>LEN(TRIM(I26))&gt;0</formula>
    </cfRule>
  </conditionalFormatting>
  <conditionalFormatting sqref="I26">
    <cfRule type="notContainsBlanks" dxfId="0" priority="1">
      <formula>LEN(TRIM(I26))&gt;0</formula>
    </cfRule>
  </conditionalFormatting>
  <dataValidations count="5">
    <dataValidation type="list" allowBlank="1" showInputMessage="1" showErrorMessage="1" sqref="BS11:BS26">
      <formula1>Scale</formula1>
    </dataValidation>
    <dataValidation type="list" allowBlank="1" showInputMessage="1" showErrorMessage="1" sqref="BU11:BU26">
      <formula1>DataSource</formula1>
    </dataValidation>
    <dataValidation type="list" allowBlank="1" showInputMessage="1" showErrorMessage="1" sqref="E11:E26">
      <formula1>GWP_2</formula1>
    </dataValidation>
    <dataValidation type="list" allowBlank="1" showInputMessage="1" showErrorMessage="1" sqref="D11:D26">
      <formula1>EF_Type</formula1>
    </dataValidation>
    <dataValidation type="list" allowBlank="1" showInputMessage="1" showErrorMessage="1" sqref="F11:F26">
      <formula1>EF_Mass_units</formula1>
    </dataValidation>
  </dataValidations>
  <pageMargins left="0.75" right="0.75" top="1" bottom="1" header="0.5" footer="0.5"/>
  <pageSetup paperSize="9" orientation="portrait" horizontalDpi="4294967292" verticalDpi="4294967292"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249977111117893"/>
  </sheetPr>
  <dimension ref="B2:K64"/>
  <sheetViews>
    <sheetView topLeftCell="A12" workbookViewId="0">
      <selection activeCell="G15" sqref="G15"/>
    </sheetView>
  </sheetViews>
  <sheetFormatPr defaultColWidth="10.875" defaultRowHeight="15.75"/>
  <cols>
    <col min="1" max="1" width="10.875" style="15"/>
    <col min="2" max="2" width="25.5" style="15" customWidth="1"/>
    <col min="3" max="3" width="24.875" style="15" customWidth="1"/>
    <col min="4" max="6" width="3.125" style="15" customWidth="1"/>
    <col min="7" max="7" width="10" style="15" customWidth="1"/>
    <col min="8" max="8" width="10.875" style="15"/>
    <col min="9" max="9" width="11.625" style="15" customWidth="1"/>
    <col min="10" max="10" width="18.625" style="15" customWidth="1"/>
    <col min="11" max="11" width="61.5" style="15" customWidth="1"/>
    <col min="12" max="16384" width="10.875" style="15"/>
  </cols>
  <sheetData>
    <row r="2" spans="2:11" ht="23.25">
      <c r="B2" s="57" t="s">
        <v>1147</v>
      </c>
      <c r="C2" s="57"/>
      <c r="D2" s="589"/>
      <c r="E2" s="589"/>
      <c r="F2" s="589"/>
      <c r="G2" s="589"/>
      <c r="H2" s="55"/>
      <c r="I2" s="55"/>
      <c r="J2" s="55"/>
      <c r="K2" s="55"/>
    </row>
    <row r="3" spans="2:11">
      <c r="B3" s="55"/>
      <c r="C3" s="55"/>
      <c r="D3" s="588"/>
      <c r="E3" s="588"/>
      <c r="F3" s="588"/>
      <c r="G3" s="588"/>
      <c r="H3" s="55"/>
      <c r="I3" s="55"/>
      <c r="J3" s="55"/>
      <c r="K3" s="55"/>
    </row>
    <row r="4" spans="2:11">
      <c r="B4" s="55"/>
      <c r="C4" s="55"/>
      <c r="D4" s="588"/>
      <c r="E4" s="588"/>
      <c r="F4" s="588"/>
      <c r="G4" s="588"/>
      <c r="H4" s="55"/>
      <c r="I4" s="55"/>
      <c r="J4" s="55"/>
      <c r="K4" s="55"/>
    </row>
    <row r="5" spans="2:11">
      <c r="B5" s="55"/>
      <c r="C5" s="55"/>
      <c r="D5" s="588"/>
      <c r="E5" s="588"/>
      <c r="F5" s="588"/>
      <c r="G5" s="588"/>
      <c r="H5" s="55"/>
      <c r="I5" s="55"/>
      <c r="J5" s="55"/>
      <c r="K5" s="55"/>
    </row>
    <row r="6" spans="2:11" ht="16.5" thickBot="1">
      <c r="B6" s="55"/>
      <c r="C6" s="627"/>
      <c r="D6" s="627"/>
      <c r="E6" s="627"/>
      <c r="F6" s="627"/>
      <c r="G6" s="774"/>
      <c r="H6" s="55"/>
      <c r="I6" s="55"/>
      <c r="J6" s="55"/>
      <c r="K6" s="55"/>
    </row>
    <row r="7" spans="2:11" ht="15.75" customHeight="1">
      <c r="B7" s="1104" t="s">
        <v>829</v>
      </c>
      <c r="C7" s="1106" t="s">
        <v>797</v>
      </c>
      <c r="D7" s="1100" t="s">
        <v>173</v>
      </c>
      <c r="E7" s="1108"/>
      <c r="F7" s="1109"/>
      <c r="G7" s="1106" t="s">
        <v>1174</v>
      </c>
      <c r="H7" s="1098" t="s">
        <v>743</v>
      </c>
      <c r="I7" s="1098" t="s">
        <v>742</v>
      </c>
      <c r="J7" s="1100" t="s">
        <v>244</v>
      </c>
      <c r="K7" s="1102" t="s">
        <v>734</v>
      </c>
    </row>
    <row r="8" spans="2:11" ht="16.5" thickBot="1">
      <c r="B8" s="1105"/>
      <c r="C8" s="1107"/>
      <c r="D8" s="1101"/>
      <c r="E8" s="1110"/>
      <c r="F8" s="1111"/>
      <c r="G8" s="1107"/>
      <c r="H8" s="1099"/>
      <c r="I8" s="1099"/>
      <c r="J8" s="1101"/>
      <c r="K8" s="1103"/>
    </row>
    <row r="9" spans="2:11" ht="31.5">
      <c r="B9" s="806" t="s">
        <v>596</v>
      </c>
      <c r="C9" s="450" t="s">
        <v>1171</v>
      </c>
      <c r="D9" s="511" t="s">
        <v>927</v>
      </c>
      <c r="E9" s="519" t="str">
        <f t="shared" ref="E9:E17" si="0">IF(D9="","","/")</f>
        <v>/</v>
      </c>
      <c r="F9" s="520" t="s">
        <v>942</v>
      </c>
      <c r="G9" s="519">
        <v>7.1900000000000002E-4</v>
      </c>
      <c r="H9" s="590">
        <v>2013</v>
      </c>
      <c r="I9" s="590" t="s">
        <v>755</v>
      </c>
      <c r="J9" s="667" t="s">
        <v>1172</v>
      </c>
      <c r="K9" s="808" t="s">
        <v>1170</v>
      </c>
    </row>
    <row r="10" spans="2:11" ht="31.5">
      <c r="B10" s="806" t="s">
        <v>596</v>
      </c>
      <c r="C10" s="451" t="s">
        <v>1175</v>
      </c>
      <c r="D10" s="511" t="s">
        <v>913</v>
      </c>
      <c r="E10" s="519" t="str">
        <f t="shared" si="0"/>
        <v>/</v>
      </c>
      <c r="F10" s="520" t="s">
        <v>927</v>
      </c>
      <c r="G10" s="961">
        <v>4.8000000000000001E-2</v>
      </c>
      <c r="H10" s="591">
        <v>2006</v>
      </c>
      <c r="I10" s="590" t="s">
        <v>756</v>
      </c>
      <c r="J10" s="667" t="s">
        <v>1173</v>
      </c>
      <c r="K10" s="858" t="s">
        <v>1307</v>
      </c>
    </row>
    <row r="11" spans="2:11" ht="31.5">
      <c r="B11" s="805" t="s">
        <v>191</v>
      </c>
      <c r="C11" s="450" t="s">
        <v>1183</v>
      </c>
      <c r="D11" s="511" t="s">
        <v>927</v>
      </c>
      <c r="E11" s="519" t="str">
        <f t="shared" si="0"/>
        <v>/</v>
      </c>
      <c r="F11" s="520" t="s">
        <v>942</v>
      </c>
      <c r="G11" s="961">
        <v>0.73499999999999999</v>
      </c>
      <c r="H11" s="591">
        <v>2013</v>
      </c>
      <c r="I11" s="590" t="s">
        <v>755</v>
      </c>
      <c r="J11" s="667" t="s">
        <v>1188</v>
      </c>
      <c r="K11" s="809" t="s">
        <v>1189</v>
      </c>
    </row>
    <row r="12" spans="2:11" ht="47.25">
      <c r="B12" s="805" t="s">
        <v>191</v>
      </c>
      <c r="C12" s="451" t="s">
        <v>1184</v>
      </c>
      <c r="D12" s="511" t="s">
        <v>913</v>
      </c>
      <c r="E12" s="519" t="str">
        <f t="shared" si="0"/>
        <v>/</v>
      </c>
      <c r="F12" s="520" t="s">
        <v>927</v>
      </c>
      <c r="G12" s="962">
        <v>4.4299999999999999E-2</v>
      </c>
      <c r="H12" s="592">
        <v>2006</v>
      </c>
      <c r="I12" s="590" t="s">
        <v>756</v>
      </c>
      <c r="J12" s="667" t="s">
        <v>1185</v>
      </c>
      <c r="K12" s="858" t="s">
        <v>1307</v>
      </c>
    </row>
    <row r="13" spans="2:11" ht="31.5">
      <c r="B13" s="805" t="s">
        <v>611</v>
      </c>
      <c r="C13" s="451" t="s">
        <v>1236</v>
      </c>
      <c r="D13" s="511" t="s">
        <v>927</v>
      </c>
      <c r="E13" s="519" t="str">
        <f t="shared" si="0"/>
        <v>/</v>
      </c>
      <c r="F13" s="520" t="s">
        <v>942</v>
      </c>
      <c r="G13" s="856">
        <v>0.84499999999999997</v>
      </c>
      <c r="H13" s="591">
        <v>2013</v>
      </c>
      <c r="I13" s="590" t="s">
        <v>755</v>
      </c>
      <c r="J13" s="667" t="s">
        <v>1238</v>
      </c>
      <c r="K13" s="809" t="s">
        <v>1189</v>
      </c>
    </row>
    <row r="14" spans="2:11" ht="31.5">
      <c r="B14" s="805" t="s">
        <v>611</v>
      </c>
      <c r="C14" s="451" t="s">
        <v>1237</v>
      </c>
      <c r="D14" s="511" t="s">
        <v>913</v>
      </c>
      <c r="E14" s="519" t="str">
        <f t="shared" si="0"/>
        <v>/</v>
      </c>
      <c r="F14" s="520" t="s">
        <v>927</v>
      </c>
      <c r="G14" s="965">
        <v>4.2999999999999997E-2</v>
      </c>
      <c r="H14" s="591">
        <v>2006</v>
      </c>
      <c r="I14" s="590" t="s">
        <v>756</v>
      </c>
      <c r="J14" s="667" t="s">
        <v>1239</v>
      </c>
      <c r="K14" s="858" t="s">
        <v>1307</v>
      </c>
    </row>
    <row r="15" spans="2:11" ht="31.5">
      <c r="B15" s="805" t="s">
        <v>1240</v>
      </c>
      <c r="C15" s="451" t="s">
        <v>1241</v>
      </c>
      <c r="D15" s="511" t="s">
        <v>927</v>
      </c>
      <c r="E15" s="519" t="str">
        <f t="shared" si="0"/>
        <v>/</v>
      </c>
      <c r="F15" s="520" t="s">
        <v>942</v>
      </c>
      <c r="G15" s="961">
        <v>7.1900000000000002E-4</v>
      </c>
      <c r="H15" s="591">
        <v>2013</v>
      </c>
      <c r="I15" s="590" t="s">
        <v>755</v>
      </c>
      <c r="J15" s="667" t="s">
        <v>1243</v>
      </c>
      <c r="K15" s="809" t="s">
        <v>1189</v>
      </c>
    </row>
    <row r="16" spans="2:11" ht="31.5">
      <c r="B16" s="805" t="s">
        <v>1240</v>
      </c>
      <c r="C16" s="451" t="s">
        <v>1242</v>
      </c>
      <c r="D16" s="511" t="s">
        <v>913</v>
      </c>
      <c r="E16" s="519" t="str">
        <f t="shared" si="0"/>
        <v>/</v>
      </c>
      <c r="F16" s="520" t="s">
        <v>927</v>
      </c>
      <c r="G16" s="961">
        <v>4.8000000000000001E-2</v>
      </c>
      <c r="H16" s="591">
        <v>2006</v>
      </c>
      <c r="I16" s="590" t="s">
        <v>756</v>
      </c>
      <c r="J16" s="667" t="s">
        <v>1244</v>
      </c>
      <c r="K16" s="858" t="s">
        <v>1307</v>
      </c>
    </row>
    <row r="17" spans="2:11">
      <c r="B17" s="805"/>
      <c r="C17" s="451"/>
      <c r="D17" s="511"/>
      <c r="E17" s="519" t="str">
        <f t="shared" si="0"/>
        <v/>
      </c>
      <c r="F17" s="520"/>
      <c r="G17" s="856"/>
      <c r="H17" s="591"/>
      <c r="I17" s="590"/>
      <c r="J17" s="667"/>
      <c r="K17" s="809"/>
    </row>
    <row r="18" spans="2:11">
      <c r="B18" s="805"/>
      <c r="C18" s="451"/>
      <c r="D18" s="511"/>
      <c r="E18" s="519" t="s">
        <v>1145</v>
      </c>
      <c r="F18" s="520"/>
      <c r="G18" s="856"/>
      <c r="H18" s="591"/>
      <c r="I18" s="590"/>
      <c r="J18" s="667"/>
      <c r="K18" s="809"/>
    </row>
    <row r="19" spans="2:11" ht="16.5" thickBot="1">
      <c r="B19" s="807"/>
      <c r="C19" s="452"/>
      <c r="D19" s="512"/>
      <c r="E19" s="521"/>
      <c r="F19" s="522"/>
      <c r="G19" s="857"/>
      <c r="H19" s="593"/>
      <c r="I19" s="594"/>
      <c r="J19" s="668"/>
      <c r="K19" s="810"/>
    </row>
    <row r="20" spans="2:11">
      <c r="B20" s="55"/>
      <c r="C20" s="55"/>
      <c r="D20" s="588"/>
      <c r="E20" s="588"/>
      <c r="F20" s="588"/>
      <c r="G20" s="588"/>
      <c r="H20" s="55"/>
      <c r="I20" s="55"/>
      <c r="J20" s="55"/>
      <c r="K20" s="55"/>
    </row>
    <row r="21" spans="2:11">
      <c r="B21" s="595" t="s">
        <v>757</v>
      </c>
      <c r="C21" s="595"/>
      <c r="D21" s="596"/>
      <c r="E21" s="596"/>
      <c r="F21" s="596"/>
      <c r="G21" s="596"/>
      <c r="H21" s="55"/>
      <c r="I21" s="55"/>
      <c r="J21" s="55"/>
      <c r="K21" s="55"/>
    </row>
    <row r="22" spans="2:11" ht="23.25">
      <c r="B22" s="722"/>
      <c r="C22" s="595"/>
      <c r="D22" s="588"/>
      <c r="E22" s="588"/>
      <c r="F22" s="588"/>
      <c r="G22" s="588"/>
      <c r="H22" s="55"/>
      <c r="I22" s="55"/>
      <c r="J22" s="55"/>
      <c r="K22" s="55"/>
    </row>
    <row r="23" spans="2:11">
      <c r="B23" s="55"/>
      <c r="C23" s="55"/>
      <c r="D23" s="588"/>
      <c r="E23" s="588"/>
      <c r="F23" s="588"/>
      <c r="G23" s="588"/>
      <c r="H23" s="55"/>
      <c r="I23" s="55"/>
      <c r="J23" s="55"/>
      <c r="K23" s="55"/>
    </row>
    <row r="24" spans="2:11">
      <c r="B24" s="721"/>
      <c r="C24" s="55"/>
      <c r="D24" s="588"/>
      <c r="E24" s="588"/>
      <c r="F24" s="588"/>
      <c r="G24" s="588"/>
      <c r="H24" s="55"/>
      <c r="I24" s="55"/>
      <c r="J24" s="55"/>
      <c r="K24" s="55"/>
    </row>
    <row r="25" spans="2:11">
      <c r="B25" s="55"/>
      <c r="C25" s="55"/>
      <c r="D25" s="588"/>
      <c r="E25" s="588"/>
      <c r="F25" s="588"/>
      <c r="G25" s="588"/>
      <c r="H25" s="55"/>
      <c r="I25" s="55"/>
      <c r="J25" s="55"/>
      <c r="K25" s="55"/>
    </row>
    <row r="26" spans="2:11">
      <c r="B26" s="55"/>
      <c r="C26" s="55"/>
      <c r="D26" s="588"/>
      <c r="E26" s="588"/>
      <c r="F26" s="588"/>
      <c r="G26" s="588"/>
      <c r="H26" s="55"/>
      <c r="I26" s="55"/>
      <c r="J26" s="55"/>
      <c r="K26" s="55"/>
    </row>
    <row r="27" spans="2:11">
      <c r="B27" s="55"/>
      <c r="C27" s="55"/>
      <c r="D27" s="588"/>
      <c r="E27" s="588"/>
      <c r="F27" s="588"/>
      <c r="G27" s="588"/>
      <c r="H27" s="55"/>
      <c r="I27" s="55"/>
      <c r="J27" s="55"/>
      <c r="K27" s="55"/>
    </row>
    <row r="28" spans="2:11">
      <c r="B28" s="55"/>
      <c r="C28" s="55"/>
      <c r="D28" s="588"/>
      <c r="E28" s="588"/>
      <c r="F28" s="588"/>
      <c r="G28" s="588"/>
      <c r="H28" s="55"/>
      <c r="I28" s="55"/>
      <c r="J28" s="55"/>
      <c r="K28" s="55"/>
    </row>
    <row r="29" spans="2:11">
      <c r="B29" s="55"/>
      <c r="C29" s="55"/>
      <c r="D29" s="588"/>
      <c r="E29" s="588"/>
      <c r="F29" s="588"/>
      <c r="G29" s="588"/>
      <c r="H29" s="55"/>
      <c r="I29" s="55"/>
      <c r="J29" s="55"/>
      <c r="K29" s="55"/>
    </row>
    <row r="30" spans="2:11">
      <c r="B30" s="55"/>
      <c r="C30" s="55"/>
      <c r="D30" s="588"/>
      <c r="E30" s="588"/>
      <c r="F30" s="588"/>
      <c r="G30" s="588"/>
      <c r="H30" s="55"/>
      <c r="I30" s="55"/>
      <c r="J30" s="55"/>
      <c r="K30" s="55"/>
    </row>
    <row r="31" spans="2:11">
      <c r="B31" s="55"/>
      <c r="C31" s="55"/>
      <c r="D31" s="588"/>
      <c r="E31" s="588"/>
      <c r="F31" s="588"/>
      <c r="G31" s="588"/>
      <c r="H31" s="55"/>
      <c r="I31" s="55"/>
      <c r="J31" s="55"/>
      <c r="K31" s="55"/>
    </row>
    <row r="32" spans="2:11">
      <c r="B32" s="55"/>
      <c r="C32" s="55"/>
      <c r="D32" s="588"/>
      <c r="E32" s="588"/>
      <c r="F32" s="588"/>
      <c r="G32" s="588"/>
      <c r="H32" s="55"/>
      <c r="I32" s="55"/>
      <c r="J32" s="55"/>
      <c r="K32" s="55"/>
    </row>
    <row r="33" spans="2:11">
      <c r="B33" s="55"/>
      <c r="C33" s="55"/>
      <c r="D33" s="588"/>
      <c r="E33" s="588"/>
      <c r="F33" s="588"/>
      <c r="G33" s="588"/>
      <c r="H33" s="55"/>
      <c r="I33" s="55"/>
      <c r="J33" s="55"/>
      <c r="K33" s="55"/>
    </row>
    <row r="34" spans="2:11">
      <c r="B34" s="55"/>
      <c r="C34" s="55"/>
      <c r="D34" s="588"/>
      <c r="E34" s="588"/>
      <c r="F34" s="588"/>
      <c r="G34" s="588"/>
      <c r="H34" s="55"/>
      <c r="I34" s="55"/>
      <c r="J34" s="55"/>
      <c r="K34" s="55"/>
    </row>
    <row r="35" spans="2:11">
      <c r="B35" s="55"/>
      <c r="C35" s="55"/>
      <c r="D35" s="588"/>
      <c r="E35" s="588"/>
      <c r="F35" s="588"/>
      <c r="G35" s="588"/>
      <c r="H35" s="55"/>
      <c r="I35" s="55"/>
      <c r="J35" s="55"/>
      <c r="K35" s="55"/>
    </row>
    <row r="36" spans="2:11">
      <c r="B36" s="55"/>
      <c r="C36" s="55"/>
      <c r="D36" s="588"/>
      <c r="E36" s="588"/>
      <c r="F36" s="588"/>
      <c r="G36" s="588"/>
      <c r="H36" s="55"/>
      <c r="I36" s="55"/>
      <c r="J36" s="55"/>
      <c r="K36" s="55"/>
    </row>
    <row r="37" spans="2:11">
      <c r="B37" s="55"/>
      <c r="C37" s="55"/>
      <c r="D37" s="588"/>
      <c r="E37" s="588"/>
      <c r="F37" s="588"/>
      <c r="G37" s="588"/>
      <c r="H37" s="55"/>
      <c r="I37" s="55"/>
      <c r="J37" s="55"/>
      <c r="K37" s="55"/>
    </row>
    <row r="38" spans="2:11">
      <c r="B38" s="55"/>
      <c r="C38" s="55"/>
      <c r="D38" s="588"/>
      <c r="E38" s="588"/>
      <c r="F38" s="588"/>
      <c r="G38" s="588"/>
      <c r="H38" s="55"/>
      <c r="I38" s="55"/>
      <c r="J38" s="55"/>
      <c r="K38" s="55"/>
    </row>
    <row r="39" spans="2:11">
      <c r="B39" s="55"/>
      <c r="C39" s="55"/>
      <c r="D39" s="588"/>
      <c r="E39" s="588"/>
      <c r="F39" s="588"/>
      <c r="G39" s="588"/>
      <c r="H39" s="55"/>
      <c r="I39" s="55"/>
      <c r="J39" s="55"/>
      <c r="K39" s="55"/>
    </row>
    <row r="40" spans="2:11">
      <c r="B40" s="55"/>
      <c r="C40" s="55"/>
      <c r="D40" s="588"/>
      <c r="E40" s="588"/>
      <c r="F40" s="588"/>
      <c r="G40" s="588"/>
      <c r="H40" s="55"/>
      <c r="I40" s="55"/>
      <c r="J40" s="55"/>
      <c r="K40" s="55"/>
    </row>
    <row r="41" spans="2:11">
      <c r="B41" s="55"/>
      <c r="C41" s="55"/>
      <c r="D41" s="588"/>
      <c r="E41" s="588"/>
      <c r="F41" s="588"/>
      <c r="G41" s="588"/>
      <c r="H41" s="55"/>
      <c r="I41" s="55"/>
      <c r="J41" s="55"/>
      <c r="K41" s="55"/>
    </row>
    <row r="42" spans="2:11">
      <c r="B42" s="55"/>
      <c r="C42" s="55"/>
      <c r="D42" s="588"/>
      <c r="E42" s="588"/>
      <c r="F42" s="588"/>
      <c r="G42" s="588"/>
      <c r="H42" s="55"/>
      <c r="I42" s="55"/>
      <c r="J42" s="55"/>
      <c r="K42" s="55"/>
    </row>
    <row r="43" spans="2:11">
      <c r="B43" s="55"/>
      <c r="C43" s="55"/>
      <c r="D43" s="588"/>
      <c r="E43" s="588"/>
      <c r="F43" s="588"/>
      <c r="G43" s="588"/>
      <c r="H43" s="55"/>
      <c r="I43" s="55"/>
      <c r="J43" s="55"/>
      <c r="K43" s="55"/>
    </row>
    <row r="44" spans="2:11">
      <c r="B44" s="55"/>
      <c r="C44" s="55"/>
      <c r="D44" s="588"/>
      <c r="E44" s="588"/>
      <c r="F44" s="588"/>
      <c r="G44" s="588"/>
      <c r="H44" s="55"/>
      <c r="I44" s="55"/>
      <c r="J44" s="55"/>
      <c r="K44" s="55"/>
    </row>
    <row r="45" spans="2:11">
      <c r="B45" s="55"/>
      <c r="C45" s="55"/>
      <c r="D45" s="588"/>
      <c r="E45" s="588"/>
      <c r="F45" s="588"/>
      <c r="G45" s="588"/>
      <c r="H45" s="55"/>
      <c r="I45" s="55"/>
      <c r="J45" s="55"/>
      <c r="K45" s="55"/>
    </row>
    <row r="46" spans="2:11">
      <c r="B46" s="55"/>
      <c r="C46" s="55"/>
      <c r="D46" s="588"/>
      <c r="E46" s="588"/>
      <c r="F46" s="588"/>
      <c r="G46" s="588"/>
      <c r="H46" s="55"/>
      <c r="I46" s="55"/>
      <c r="J46" s="55"/>
      <c r="K46" s="55"/>
    </row>
    <row r="47" spans="2:11">
      <c r="B47" s="55"/>
      <c r="C47" s="55"/>
      <c r="D47" s="588"/>
      <c r="E47" s="588"/>
      <c r="F47" s="588"/>
      <c r="G47" s="588"/>
      <c r="H47" s="55"/>
      <c r="I47" s="55"/>
      <c r="J47" s="55"/>
      <c r="K47" s="55"/>
    </row>
    <row r="48" spans="2:11">
      <c r="B48" s="55"/>
      <c r="C48" s="55"/>
      <c r="D48" s="588"/>
      <c r="E48" s="588"/>
      <c r="F48" s="588"/>
      <c r="G48" s="588"/>
      <c r="H48" s="55"/>
      <c r="I48" s="55"/>
      <c r="J48" s="55"/>
      <c r="K48" s="55"/>
    </row>
    <row r="49" spans="2:11">
      <c r="B49" s="55"/>
      <c r="C49" s="55"/>
      <c r="D49" s="588"/>
      <c r="E49" s="588"/>
      <c r="F49" s="588"/>
      <c r="G49" s="588"/>
      <c r="H49" s="55"/>
      <c r="I49" s="55"/>
      <c r="J49" s="55"/>
      <c r="K49" s="55"/>
    </row>
    <row r="50" spans="2:11">
      <c r="B50" s="55"/>
      <c r="C50" s="55"/>
      <c r="D50" s="588"/>
      <c r="E50" s="588"/>
      <c r="F50" s="588"/>
      <c r="G50" s="588"/>
      <c r="H50" s="55"/>
      <c r="I50" s="55"/>
      <c r="J50" s="55"/>
      <c r="K50" s="55"/>
    </row>
    <row r="51" spans="2:11">
      <c r="B51" s="55"/>
      <c r="C51" s="55"/>
      <c r="D51" s="588"/>
      <c r="E51" s="588"/>
      <c r="F51" s="588"/>
      <c r="G51" s="588"/>
      <c r="H51" s="55"/>
      <c r="I51" s="55"/>
      <c r="J51" s="55"/>
      <c r="K51" s="55"/>
    </row>
    <row r="52" spans="2:11">
      <c r="B52" s="55"/>
      <c r="C52" s="55"/>
      <c r="D52" s="588"/>
      <c r="E52" s="588"/>
      <c r="F52" s="588"/>
      <c r="G52" s="588"/>
      <c r="H52" s="55"/>
      <c r="I52" s="55"/>
      <c r="J52" s="55"/>
      <c r="K52" s="55"/>
    </row>
    <row r="53" spans="2:11">
      <c r="B53" s="55"/>
      <c r="C53" s="55"/>
      <c r="D53" s="588"/>
      <c r="E53" s="588"/>
      <c r="F53" s="588"/>
      <c r="G53" s="588"/>
      <c r="H53" s="55"/>
      <c r="I53" s="55"/>
      <c r="J53" s="55"/>
      <c r="K53" s="55"/>
    </row>
    <row r="54" spans="2:11">
      <c r="B54" s="55"/>
      <c r="C54" s="55"/>
      <c r="D54" s="588"/>
      <c r="E54" s="588"/>
      <c r="F54" s="588"/>
      <c r="G54" s="588"/>
      <c r="H54" s="55"/>
      <c r="I54" s="55"/>
      <c r="J54" s="55"/>
      <c r="K54" s="55"/>
    </row>
    <row r="55" spans="2:11">
      <c r="B55" s="55"/>
      <c r="C55" s="55"/>
      <c r="D55" s="588"/>
      <c r="E55" s="588"/>
      <c r="F55" s="588"/>
      <c r="G55" s="588"/>
      <c r="H55" s="55"/>
      <c r="I55" s="55"/>
      <c r="J55" s="55"/>
      <c r="K55" s="55"/>
    </row>
    <row r="56" spans="2:11">
      <c r="B56" s="55"/>
      <c r="C56" s="55"/>
      <c r="D56" s="588"/>
      <c r="E56" s="588"/>
      <c r="F56" s="588"/>
      <c r="G56" s="588"/>
      <c r="H56" s="55"/>
      <c r="I56" s="55"/>
      <c r="J56" s="55"/>
      <c r="K56" s="55"/>
    </row>
    <row r="57" spans="2:11">
      <c r="B57" s="55"/>
      <c r="C57" s="55"/>
      <c r="D57" s="588"/>
      <c r="E57" s="588"/>
      <c r="F57" s="588"/>
      <c r="G57" s="588"/>
      <c r="H57" s="55"/>
      <c r="I57" s="55"/>
      <c r="J57" s="55"/>
      <c r="K57" s="55"/>
    </row>
    <row r="58" spans="2:11">
      <c r="B58" s="55"/>
      <c r="C58" s="55"/>
      <c r="D58" s="588"/>
      <c r="E58" s="588"/>
      <c r="F58" s="588"/>
      <c r="G58" s="588"/>
      <c r="H58" s="55"/>
      <c r="I58" s="55"/>
      <c r="J58" s="55"/>
      <c r="K58" s="55"/>
    </row>
    <row r="59" spans="2:11">
      <c r="B59" s="55"/>
      <c r="C59" s="55"/>
      <c r="D59" s="588"/>
      <c r="E59" s="588"/>
      <c r="F59" s="588"/>
      <c r="G59" s="588"/>
      <c r="H59" s="55"/>
      <c r="I59" s="55"/>
      <c r="J59" s="55"/>
      <c r="K59" s="55"/>
    </row>
    <row r="60" spans="2:11">
      <c r="B60" s="55"/>
      <c r="C60" s="55"/>
      <c r="D60" s="588"/>
      <c r="E60" s="588"/>
      <c r="F60" s="588"/>
      <c r="G60" s="588"/>
      <c r="H60" s="55"/>
      <c r="I60" s="55"/>
      <c r="J60" s="55"/>
      <c r="K60" s="55"/>
    </row>
    <row r="61" spans="2:11">
      <c r="B61" s="55"/>
      <c r="C61" s="55"/>
      <c r="D61" s="588"/>
      <c r="E61" s="588"/>
      <c r="F61" s="588"/>
      <c r="G61" s="588"/>
      <c r="H61" s="55"/>
      <c r="I61" s="55"/>
      <c r="J61" s="55"/>
      <c r="K61" s="55"/>
    </row>
    <row r="62" spans="2:11">
      <c r="B62" s="55"/>
      <c r="C62" s="55"/>
      <c r="D62" s="588"/>
      <c r="E62" s="588"/>
      <c r="F62" s="588"/>
      <c r="G62" s="588"/>
      <c r="H62" s="55"/>
      <c r="I62" s="55"/>
      <c r="J62" s="55"/>
      <c r="K62" s="55"/>
    </row>
    <row r="63" spans="2:11">
      <c r="B63" s="55"/>
      <c r="C63" s="55"/>
      <c r="D63" s="588"/>
      <c r="E63" s="588"/>
      <c r="F63" s="588"/>
      <c r="G63" s="588"/>
      <c r="H63" s="55"/>
      <c r="I63" s="55"/>
      <c r="J63" s="55"/>
      <c r="K63" s="55"/>
    </row>
    <row r="64" spans="2:11">
      <c r="B64" s="55"/>
      <c r="C64" s="55"/>
      <c r="D64" s="588"/>
      <c r="E64" s="588"/>
      <c r="F64" s="588"/>
      <c r="G64" s="588"/>
      <c r="H64" s="55"/>
      <c r="I64" s="55"/>
      <c r="J64" s="55"/>
      <c r="K64" s="55"/>
    </row>
  </sheetData>
  <mergeCells count="8">
    <mergeCell ref="H7:H8"/>
    <mergeCell ref="I7:I8"/>
    <mergeCell ref="J7:J8"/>
    <mergeCell ref="K7:K8"/>
    <mergeCell ref="B7:B8"/>
    <mergeCell ref="C7:C8"/>
    <mergeCell ref="D7:F8"/>
    <mergeCell ref="G7:G8"/>
  </mergeCells>
  <dataValidations count="2">
    <dataValidation type="list" allowBlank="1" showInputMessage="1" showErrorMessage="1" sqref="D9:D19">
      <formula1>EF_Mass_units</formula1>
    </dataValidation>
    <dataValidation type="list" allowBlank="1" showInputMessage="1" showErrorMessage="1" sqref="I9:I19">
      <formula1>Scale</formula1>
    </dataValidation>
  </dataValidations>
  <pageMargins left="0.7" right="0.7" top="0.75" bottom="0.75" header="0.3" footer="0.3"/>
  <pageSetup orientation="portrait"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39997558519241921"/>
    <outlinePr summaryBelow="0" summaryRight="0"/>
    <pageSetUpPr autoPageBreaks="0"/>
  </sheetPr>
  <dimension ref="A1:AT151"/>
  <sheetViews>
    <sheetView showGridLines="0" topLeftCell="A22" zoomScale="80" zoomScaleNormal="80" zoomScalePageLayoutView="80" workbookViewId="0">
      <selection activeCell="AC50" sqref="AC50:AC54"/>
    </sheetView>
  </sheetViews>
  <sheetFormatPr defaultColWidth="11" defaultRowHeight="15.75" outlineLevelCol="1"/>
  <cols>
    <col min="1" max="1" width="8.5" style="24" customWidth="1"/>
    <col min="2" max="2" width="10.875" style="5" customWidth="1"/>
    <col min="3" max="3" width="10.875" style="5"/>
    <col min="4" max="4" width="54.5" style="1" customWidth="1"/>
    <col min="5" max="5" width="30.875" style="842" customWidth="1"/>
    <col min="6" max="6" width="12.875" customWidth="1"/>
    <col min="7" max="7" width="15.875" style="6" customWidth="1"/>
    <col min="8" max="8" width="12.375" style="6" customWidth="1" collapsed="1"/>
    <col min="9" max="11" width="12.375" style="6" hidden="1" customWidth="1" outlineLevel="1"/>
    <col min="12" max="12" width="16.375" style="6" customWidth="1"/>
    <col min="13" max="13" width="34.125" style="799" customWidth="1"/>
    <col min="14" max="14" width="12.875" style="6" customWidth="1" outlineLevel="1"/>
    <col min="15" max="19" width="12.375" style="6" customWidth="1" outlineLevel="1"/>
    <col min="20" max="20" width="24.875" style="6" customWidth="1" collapsed="1"/>
    <col min="21" max="25" width="12.375" style="6" hidden="1" customWidth="1" outlineLevel="1"/>
    <col min="26" max="30" width="12.375" style="684" customWidth="1"/>
    <col min="31" max="32" width="6.125" customWidth="1"/>
    <col min="33" max="33" width="71.875" style="855" customWidth="1"/>
    <col min="34" max="34" width="71.875" style="666" customWidth="1" collapsed="1"/>
    <col min="35" max="35" width="71.875" style="666" hidden="1" customWidth="1" outlineLevel="1"/>
    <col min="36" max="46" width="10.875" style="15"/>
  </cols>
  <sheetData>
    <row r="1" spans="1:46" s="24" customFormat="1" ht="15" customHeight="1">
      <c r="B1" s="27"/>
      <c r="C1" s="27"/>
      <c r="D1" s="28"/>
      <c r="E1" s="817"/>
      <c r="G1" s="29"/>
      <c r="H1" s="29"/>
      <c r="I1" s="29"/>
      <c r="J1" s="29"/>
      <c r="K1" s="29"/>
      <c r="L1" s="29"/>
      <c r="M1" s="843"/>
      <c r="N1" s="29"/>
      <c r="O1" s="29"/>
      <c r="P1" s="29"/>
      <c r="Q1" s="29"/>
      <c r="R1" s="29"/>
      <c r="S1" s="29"/>
      <c r="T1" s="29"/>
      <c r="U1" s="29"/>
      <c r="V1" s="29"/>
      <c r="W1" s="29"/>
      <c r="X1" s="29"/>
      <c r="Y1" s="29"/>
      <c r="Z1" s="673"/>
      <c r="AA1" s="673"/>
      <c r="AB1" s="673"/>
      <c r="AC1" s="673"/>
      <c r="AD1" s="673"/>
      <c r="AG1" s="853"/>
      <c r="AH1" s="661"/>
      <c r="AI1" s="661"/>
    </row>
    <row r="2" spans="1:46" s="22" customFormat="1" ht="23.25">
      <c r="B2" s="17" t="s">
        <v>231</v>
      </c>
      <c r="C2" s="18"/>
      <c r="D2" s="19"/>
      <c r="E2" s="818"/>
      <c r="F2" s="20"/>
      <c r="G2" s="1125" t="s">
        <v>966</v>
      </c>
      <c r="H2" s="1125"/>
      <c r="I2" s="18"/>
      <c r="J2" s="18"/>
      <c r="K2" s="18"/>
      <c r="L2" s="29"/>
      <c r="M2" s="776" t="s">
        <v>966</v>
      </c>
      <c r="N2" s="29"/>
      <c r="O2" s="29"/>
      <c r="P2" s="29"/>
      <c r="Q2" s="29"/>
      <c r="R2" s="29"/>
      <c r="S2" s="29"/>
      <c r="T2" s="18" t="s">
        <v>966</v>
      </c>
      <c r="U2" s="29"/>
      <c r="V2" s="29"/>
      <c r="W2" s="29"/>
      <c r="X2" s="29"/>
      <c r="Y2" s="29"/>
      <c r="Z2" s="30"/>
      <c r="AA2" s="30"/>
      <c r="AB2" s="30"/>
      <c r="AC2" s="30"/>
      <c r="AD2" s="30"/>
      <c r="AE2" s="20"/>
      <c r="AF2" s="20"/>
      <c r="AG2" s="611"/>
      <c r="AH2" s="1136" t="s">
        <v>966</v>
      </c>
      <c r="AI2" s="1136"/>
    </row>
    <row r="3" spans="1:46" s="22" customFormat="1" ht="16.5" thickBot="1">
      <c r="B3" s="18"/>
      <c r="C3" s="18"/>
      <c r="D3" s="19"/>
      <c r="E3" s="818"/>
      <c r="F3" s="20"/>
      <c r="G3" s="18"/>
      <c r="H3" s="18"/>
      <c r="I3" s="18"/>
      <c r="J3" s="18"/>
      <c r="K3" s="18"/>
      <c r="L3" s="18"/>
      <c r="M3" s="776"/>
      <c r="N3" s="29"/>
      <c r="O3" s="29"/>
      <c r="P3" s="29"/>
      <c r="Q3" s="29"/>
      <c r="R3" s="29"/>
      <c r="S3" s="29"/>
      <c r="T3" s="29"/>
      <c r="U3" s="29"/>
      <c r="V3" s="29"/>
      <c r="W3" s="29"/>
      <c r="X3" s="29"/>
      <c r="Y3" s="29"/>
      <c r="Z3" s="30"/>
      <c r="AA3" s="674"/>
      <c r="AB3" s="30"/>
      <c r="AC3" s="30"/>
      <c r="AD3" s="30"/>
      <c r="AE3" s="20"/>
      <c r="AF3" s="20"/>
      <c r="AG3" s="611"/>
      <c r="AH3" s="611"/>
      <c r="AI3" s="611"/>
    </row>
    <row r="4" spans="1:46" s="22" customFormat="1">
      <c r="B4" s="15" t="s">
        <v>1044</v>
      </c>
      <c r="C4" s="18"/>
      <c r="D4" s="19"/>
      <c r="E4" s="818"/>
      <c r="F4" s="20"/>
      <c r="G4" s="1121" t="s">
        <v>968</v>
      </c>
      <c r="H4" s="1122"/>
      <c r="I4" s="529"/>
      <c r="J4" s="529"/>
      <c r="K4" s="530"/>
      <c r="L4" s="527"/>
      <c r="M4" s="1115" t="s">
        <v>974</v>
      </c>
      <c r="N4" s="533"/>
      <c r="O4" s="533"/>
      <c r="P4" s="533"/>
      <c r="Q4" s="533"/>
      <c r="R4" s="533"/>
      <c r="S4" s="534"/>
      <c r="T4" s="1117" t="s">
        <v>976</v>
      </c>
      <c r="U4" s="539"/>
      <c r="V4" s="539"/>
      <c r="W4" s="539"/>
      <c r="X4" s="539"/>
      <c r="Y4" s="540"/>
      <c r="Z4" s="675"/>
      <c r="AA4" s="674"/>
      <c r="AB4" s="30"/>
      <c r="AC4" s="30"/>
      <c r="AD4" s="30"/>
      <c r="AE4" s="20"/>
      <c r="AF4" s="20"/>
      <c r="AG4" s="611"/>
      <c r="AH4" s="1115" t="s">
        <v>850</v>
      </c>
      <c r="AI4" s="1137"/>
      <c r="AJ4" s="601"/>
    </row>
    <row r="5" spans="1:46" s="22" customFormat="1" ht="16.5" thickBot="1">
      <c r="B5" s="18"/>
      <c r="C5" s="18"/>
      <c r="D5" s="19"/>
      <c r="E5" s="818"/>
      <c r="F5" s="20"/>
      <c r="G5" s="1123"/>
      <c r="H5" s="1124"/>
      <c r="I5" s="531"/>
      <c r="J5" s="531"/>
      <c r="K5" s="532"/>
      <c r="L5" s="527"/>
      <c r="M5" s="1116"/>
      <c r="N5" s="535"/>
      <c r="O5" s="535"/>
      <c r="P5" s="535"/>
      <c r="Q5" s="535"/>
      <c r="R5" s="535"/>
      <c r="S5" s="536"/>
      <c r="T5" s="1118"/>
      <c r="U5" s="541"/>
      <c r="V5" s="541"/>
      <c r="W5" s="541"/>
      <c r="X5" s="541"/>
      <c r="Y5" s="542"/>
      <c r="Z5" s="675"/>
      <c r="AA5" s="674"/>
      <c r="AB5" s="30"/>
      <c r="AC5" s="30"/>
      <c r="AD5" s="30"/>
      <c r="AE5" s="20"/>
      <c r="AF5" s="20"/>
      <c r="AG5" s="611"/>
      <c r="AH5" s="1116"/>
      <c r="AI5" s="1138"/>
      <c r="AJ5" s="601"/>
    </row>
    <row r="6" spans="1:46" s="22" customFormat="1" ht="18.75">
      <c r="B6" s="23" t="s">
        <v>230</v>
      </c>
      <c r="C6" s="18"/>
      <c r="D6" s="19"/>
      <c r="E6" s="818"/>
      <c r="F6" s="20"/>
      <c r="G6" s="18"/>
      <c r="H6" s="18"/>
      <c r="I6" s="18"/>
      <c r="J6" s="18"/>
      <c r="K6" s="18"/>
      <c r="L6" s="18"/>
      <c r="M6" s="843"/>
      <c r="N6" s="29"/>
      <c r="O6" s="29"/>
      <c r="P6" s="29"/>
      <c r="Q6" s="29"/>
      <c r="R6" s="29"/>
      <c r="S6" s="29"/>
      <c r="T6" s="29"/>
      <c r="U6" s="29"/>
      <c r="V6" s="29"/>
      <c r="W6" s="29"/>
      <c r="X6" s="29"/>
      <c r="Y6" s="29"/>
      <c r="Z6" s="30"/>
      <c r="AA6" s="674"/>
      <c r="AB6" s="30"/>
      <c r="AC6" s="30"/>
      <c r="AD6" s="30"/>
      <c r="AE6" s="20"/>
      <c r="AF6" s="20"/>
      <c r="AG6" s="611"/>
      <c r="AH6" s="611"/>
      <c r="AI6" s="611"/>
    </row>
    <row r="7" spans="1:46" s="22" customFormat="1" ht="16.5" thickBot="1">
      <c r="B7" s="18"/>
      <c r="C7" s="18"/>
      <c r="D7" s="19"/>
      <c r="E7" s="818"/>
      <c r="F7" s="20"/>
      <c r="G7" s="18"/>
      <c r="H7" s="18"/>
      <c r="I7" s="18"/>
      <c r="J7" s="18"/>
      <c r="K7" s="18"/>
      <c r="L7" s="18"/>
      <c r="M7" s="776"/>
      <c r="N7" s="18"/>
      <c r="O7" s="18"/>
      <c r="P7" s="18"/>
      <c r="Q7" s="18"/>
      <c r="R7" s="18"/>
      <c r="S7" s="18"/>
      <c r="T7" s="18"/>
      <c r="U7" s="18"/>
      <c r="V7" s="18"/>
      <c r="W7" s="18"/>
      <c r="X7" s="18"/>
      <c r="Y7" s="18"/>
      <c r="Z7" s="30"/>
      <c r="AA7" s="30"/>
      <c r="AB7" s="30"/>
      <c r="AC7" s="30"/>
      <c r="AD7" s="30"/>
      <c r="AE7" s="20"/>
      <c r="AF7" s="20"/>
      <c r="AG7" s="611"/>
      <c r="AH7" s="611"/>
      <c r="AI7" s="611"/>
    </row>
    <row r="8" spans="1:46" s="68" customFormat="1" ht="15.95" customHeight="1">
      <c r="A8" s="120"/>
      <c r="B8" s="1139" t="s">
        <v>39</v>
      </c>
      <c r="C8" s="1133" t="s">
        <v>40</v>
      </c>
      <c r="D8" s="1056" t="s">
        <v>245</v>
      </c>
      <c r="E8" s="1144"/>
      <c r="F8" s="1134" t="s">
        <v>300</v>
      </c>
      <c r="G8" s="1141" t="s">
        <v>171</v>
      </c>
      <c r="H8" s="1142"/>
      <c r="I8" s="1130" t="s">
        <v>871</v>
      </c>
      <c r="J8" s="1131"/>
      <c r="K8" s="1132"/>
      <c r="L8" s="1063" t="s">
        <v>305</v>
      </c>
      <c r="M8" s="1063" t="s">
        <v>798</v>
      </c>
      <c r="N8" s="1112" t="s">
        <v>798</v>
      </c>
      <c r="O8" s="1112"/>
      <c r="P8" s="1112"/>
      <c r="Q8" s="1112"/>
      <c r="R8" s="1112"/>
      <c r="S8" s="1113"/>
      <c r="T8" s="1119" t="s">
        <v>967</v>
      </c>
      <c r="U8" s="1114" t="s">
        <v>975</v>
      </c>
      <c r="V8" s="1114"/>
      <c r="W8" s="1114"/>
      <c r="X8" s="1114"/>
      <c r="Y8" s="1114"/>
      <c r="Z8" s="1143" t="s">
        <v>292</v>
      </c>
      <c r="AA8" s="1143"/>
      <c r="AB8" s="1143"/>
      <c r="AC8" s="1143"/>
      <c r="AD8" s="1143"/>
      <c r="AE8" s="1133" t="s">
        <v>43</v>
      </c>
      <c r="AF8" s="1133"/>
      <c r="AG8" s="1128" t="s">
        <v>799</v>
      </c>
      <c r="AH8" s="1073" t="s">
        <v>734</v>
      </c>
      <c r="AI8" s="1126" t="s">
        <v>850</v>
      </c>
      <c r="AJ8" s="67"/>
      <c r="AK8" s="67"/>
      <c r="AL8" s="67"/>
      <c r="AM8" s="67"/>
      <c r="AN8" s="67"/>
      <c r="AO8" s="67"/>
      <c r="AP8" s="67"/>
      <c r="AQ8" s="67"/>
      <c r="AR8" s="67"/>
      <c r="AS8" s="67"/>
      <c r="AT8" s="67"/>
    </row>
    <row r="9" spans="1:46" s="68" customFormat="1" ht="19.5" thickBot="1">
      <c r="A9" s="120"/>
      <c r="B9" s="1140"/>
      <c r="C9" s="1135"/>
      <c r="D9" s="578" t="s">
        <v>246</v>
      </c>
      <c r="E9" s="819" t="s">
        <v>244</v>
      </c>
      <c r="F9" s="1135"/>
      <c r="G9" s="578" t="s">
        <v>172</v>
      </c>
      <c r="H9" s="578" t="s">
        <v>173</v>
      </c>
      <c r="I9" s="528" t="s">
        <v>831</v>
      </c>
      <c r="J9" s="528" t="s">
        <v>832</v>
      </c>
      <c r="K9" s="528" t="s">
        <v>965</v>
      </c>
      <c r="L9" s="1064"/>
      <c r="M9" s="1064"/>
      <c r="N9" s="537" t="s">
        <v>173</v>
      </c>
      <c r="O9" s="538" t="s">
        <v>969</v>
      </c>
      <c r="P9" s="538" t="s">
        <v>970</v>
      </c>
      <c r="Q9" s="538" t="s">
        <v>971</v>
      </c>
      <c r="R9" s="538" t="s">
        <v>972</v>
      </c>
      <c r="S9" s="538" t="s">
        <v>973</v>
      </c>
      <c r="T9" s="1120"/>
      <c r="U9" s="538" t="s">
        <v>969</v>
      </c>
      <c r="V9" s="538" t="s">
        <v>970</v>
      </c>
      <c r="W9" s="538" t="s">
        <v>971</v>
      </c>
      <c r="X9" s="538" t="s">
        <v>972</v>
      </c>
      <c r="Y9" s="538" t="s">
        <v>973</v>
      </c>
      <c r="Z9" s="100" t="s">
        <v>293</v>
      </c>
      <c r="AA9" s="100" t="s">
        <v>294</v>
      </c>
      <c r="AB9" s="100" t="s">
        <v>295</v>
      </c>
      <c r="AC9" s="100" t="s">
        <v>296</v>
      </c>
      <c r="AD9" s="100" t="s">
        <v>297</v>
      </c>
      <c r="AE9" s="578" t="s">
        <v>46</v>
      </c>
      <c r="AF9" s="578" t="s">
        <v>47</v>
      </c>
      <c r="AG9" s="1129"/>
      <c r="AH9" s="1074"/>
      <c r="AI9" s="1127"/>
      <c r="AJ9" s="67"/>
      <c r="AK9" s="67"/>
      <c r="AL9" s="67"/>
      <c r="AM9" s="67"/>
      <c r="AN9" s="67"/>
      <c r="AO9" s="67"/>
      <c r="AP9" s="67"/>
      <c r="AQ9" s="67"/>
      <c r="AR9" s="67"/>
      <c r="AS9" s="67"/>
      <c r="AT9" s="67"/>
    </row>
    <row r="10" spans="1:46" s="74" customFormat="1">
      <c r="A10" s="22"/>
      <c r="B10" s="161" t="s">
        <v>51</v>
      </c>
      <c r="C10" s="598">
        <v>1</v>
      </c>
      <c r="D10" s="188" t="s">
        <v>52</v>
      </c>
      <c r="E10" s="820"/>
      <c r="F10" s="599"/>
      <c r="G10" s="468"/>
      <c r="H10" s="468"/>
      <c r="I10" s="468"/>
      <c r="J10" s="468"/>
      <c r="K10" s="468"/>
      <c r="L10" s="468"/>
      <c r="M10" s="844"/>
      <c r="N10" s="468"/>
      <c r="O10" s="468"/>
      <c r="P10" s="468"/>
      <c r="Q10" s="468"/>
      <c r="R10" s="468"/>
      <c r="S10" s="468"/>
      <c r="T10" s="468"/>
      <c r="U10" s="468"/>
      <c r="V10" s="468"/>
      <c r="W10" s="468"/>
      <c r="X10" s="468"/>
      <c r="Y10" s="468"/>
      <c r="Z10" s="676"/>
      <c r="AA10" s="676"/>
      <c r="AB10" s="676"/>
      <c r="AC10" s="676"/>
      <c r="AD10" s="676"/>
      <c r="AE10" s="468"/>
      <c r="AF10" s="468"/>
      <c r="AG10" s="543"/>
      <c r="AH10" s="603"/>
      <c r="AI10" s="603"/>
      <c r="AJ10" s="69"/>
      <c r="AK10" s="69"/>
      <c r="AL10" s="69"/>
      <c r="AM10" s="69"/>
      <c r="AN10" s="69"/>
      <c r="AO10" s="69"/>
      <c r="AP10" s="69"/>
      <c r="AQ10" s="69"/>
      <c r="AR10" s="69"/>
      <c r="AS10" s="69"/>
      <c r="AT10" s="69"/>
    </row>
    <row r="11" spans="1:46" s="74" customFormat="1" ht="47.25">
      <c r="A11" s="22"/>
      <c r="B11" s="75" t="s">
        <v>51</v>
      </c>
      <c r="C11" s="76">
        <v>1</v>
      </c>
      <c r="D11" s="696" t="s">
        <v>596</v>
      </c>
      <c r="E11" s="821" t="s">
        <v>1113</v>
      </c>
      <c r="F11" s="697"/>
      <c r="G11" s="714">
        <f>1223690000*'NCV&amp;Density'!G9*'NCV&amp;Density'!G10</f>
        <v>42231.989280000002</v>
      </c>
      <c r="H11" s="698" t="s">
        <v>913</v>
      </c>
      <c r="I11" s="79"/>
      <c r="J11" s="79"/>
      <c r="K11" s="79"/>
      <c r="L11" s="79" t="s">
        <v>312</v>
      </c>
      <c r="M11" s="750" t="s">
        <v>1146</v>
      </c>
      <c r="N11" s="508" t="str">
        <f>IFERROR(CONCATENATE("tCO2e/",VLOOKUP($M11,'Emission factors'!$C:$H,6,FALSE)),"")</f>
        <v>tCO2e/TJ</v>
      </c>
      <c r="O11" s="508">
        <f>IFERROR(VLOOKUP($M11,'Emission factors'!$C:$BQ,9,FALSE),"")</f>
        <v>56.1</v>
      </c>
      <c r="P11" s="508">
        <f>IFERROR(VLOOKUP($M11,'Emission factors'!$C:$BQ,12,FALSE),"")</f>
        <v>2.5000000000000001E-2</v>
      </c>
      <c r="Q11" s="508">
        <f>IFERROR(VLOOKUP($M11,'Emission factors'!$C:$BQ,15,FALSE),"")</f>
        <v>2.98E-2</v>
      </c>
      <c r="R11" s="508" t="str">
        <f>IFERROR(VLOOKUP($M11,'Emission factors'!$C:$BQ,65,FALSE),"")</f>
        <v/>
      </c>
      <c r="S11" s="508">
        <f>IFERROR(VLOOKUP($M11,'Emission factors'!$C:$BQ,67,FALSE),"")</f>
        <v>0</v>
      </c>
      <c r="T11" s="79"/>
      <c r="U11" s="715"/>
      <c r="V11" s="715"/>
      <c r="W11" s="715"/>
      <c r="X11" s="79"/>
      <c r="Y11" s="79"/>
      <c r="Z11" s="716">
        <f t="shared" ref="Z11:AB15" si="0">IFERROR(IF(AND($M11="",$T11=""),"",IF($M11="",IF(U11=0,"-",U11),IF(O11=0,"0",$G11*IF($K11="",1,$K11)*O11))),"-")</f>
        <v>2369214.5986080002</v>
      </c>
      <c r="AA11" s="716">
        <f t="shared" si="0"/>
        <v>1055.7997320000002</v>
      </c>
      <c r="AB11" s="716">
        <f t="shared" si="0"/>
        <v>1258.5132805440001</v>
      </c>
      <c r="AC11" s="717">
        <f>IFERROR(IF(AND($M11="",$T11=""),"",IF($M11="",IF(X11="",SUM(U11:W11),IF(X11=0,"0",X11)),IF($R11="",SUM($Z11:$AB11),IF($R11=0,"0",$G11*IF($K11="",1,$K11)*$R11)))),"-")</f>
        <v>2371528.9116205443</v>
      </c>
      <c r="AD11" s="677" t="str">
        <f>IFERROR(IF(AND($M11="",$T11=""),"",IF($M11="",IF(Y11=0,"-",Y11),IF(S11=0,"0",$G11*IF($K11="",1,$K11)*S11))),"-")</f>
        <v>0</v>
      </c>
      <c r="AE11" s="79" t="s">
        <v>183</v>
      </c>
      <c r="AF11" s="170" t="s">
        <v>181</v>
      </c>
      <c r="AG11" s="544" t="s">
        <v>1179</v>
      </c>
      <c r="AH11" s="545" t="s">
        <v>1198</v>
      </c>
      <c r="AI11" s="604"/>
      <c r="AJ11" s="69"/>
      <c r="AK11" s="69"/>
      <c r="AL11" s="69"/>
      <c r="AM11" s="69"/>
      <c r="AN11" s="69"/>
      <c r="AO11" s="69"/>
      <c r="AP11" s="69"/>
      <c r="AQ11" s="69"/>
      <c r="AR11" s="69"/>
      <c r="AS11" s="69"/>
      <c r="AT11" s="69"/>
    </row>
    <row r="12" spans="1:46" s="74" customFormat="1" ht="63">
      <c r="A12" s="52"/>
      <c r="B12" s="75" t="s">
        <v>51</v>
      </c>
      <c r="C12" s="76">
        <v>1</v>
      </c>
      <c r="D12" s="737" t="s">
        <v>614</v>
      </c>
      <c r="E12" s="821" t="s">
        <v>1215</v>
      </c>
      <c r="F12" s="76"/>
      <c r="G12" s="78">
        <v>368.5224334471269</v>
      </c>
      <c r="H12" s="79" t="s">
        <v>913</v>
      </c>
      <c r="I12" s="79"/>
      <c r="J12" s="79"/>
      <c r="K12" s="79"/>
      <c r="L12" s="79" t="s">
        <v>312</v>
      </c>
      <c r="M12" s="612" t="s">
        <v>1225</v>
      </c>
      <c r="N12" s="508" t="str">
        <f>IFERROR(CONCATENATE("tCO2e/",VLOOKUP($M12,'Emission factors'!$C:$H,6,FALSE)),"")</f>
        <v>tCO2e/TJ</v>
      </c>
      <c r="O12" s="508">
        <f>IFERROR(VLOOKUP($M12,'Emission factors'!$C:$BQ,9,FALSE),"")</f>
        <v>63.1</v>
      </c>
      <c r="P12" s="508">
        <f>IFERROR(VLOOKUP($M12,'Emission factors'!$C:$BQ,12,FALSE),"")</f>
        <v>2.5000000000000001E-2</v>
      </c>
      <c r="Q12" s="508">
        <f>IFERROR(VLOOKUP($M12,'Emission factors'!$C:$BQ,15,FALSE),"")</f>
        <v>2.98E-2</v>
      </c>
      <c r="R12" s="508"/>
      <c r="S12" s="508">
        <f>IFERROR(VLOOKUP($M12,'Emission factors'!$C:$BQ,67,FALSE),"")</f>
        <v>0</v>
      </c>
      <c r="T12" s="745"/>
      <c r="U12" s="79"/>
      <c r="V12" s="79"/>
      <c r="W12" s="79"/>
      <c r="X12" s="79"/>
      <c r="Y12" s="79"/>
      <c r="Z12" s="717">
        <f t="shared" si="0"/>
        <v>23253.765550513708</v>
      </c>
      <c r="AA12" s="734">
        <f t="shared" si="0"/>
        <v>9.2130608361781725</v>
      </c>
      <c r="AB12" s="743">
        <f t="shared" si="0"/>
        <v>10.981968516724381</v>
      </c>
      <c r="AC12" s="717">
        <f>IFERROR(IF(AND($M12="",$T12=""),"",IF($M12="",IF(X12="",SUM(U12:W12),IF(X12=0,"0",X12)),IF($R12="",SUM($Z12:$AB12),IF($R12=0,"0",$G12*IF($K12="",1,$K12)*$R12)))),"-")</f>
        <v>23273.960579866609</v>
      </c>
      <c r="AD12" s="741" t="str">
        <f>IFERROR(IF(AND($M12="",$T12=""),"",IF($M12="",IF(Y12=0,"-",Y12),IF(S12=0,"0",$G12*IF($K12="",1,$K12)*S12))),"-")</f>
        <v>0</v>
      </c>
      <c r="AE12" s="79" t="s">
        <v>181</v>
      </c>
      <c r="AF12" s="170" t="s">
        <v>181</v>
      </c>
      <c r="AG12" s="612" t="s">
        <v>1217</v>
      </c>
      <c r="AH12" s="545" t="s">
        <v>1219</v>
      </c>
      <c r="AI12" s="604"/>
      <c r="AJ12" s="69"/>
      <c r="AK12" s="69"/>
      <c r="AL12" s="69"/>
      <c r="AM12" s="69"/>
      <c r="AN12" s="69"/>
      <c r="AO12" s="69"/>
      <c r="AP12" s="69"/>
      <c r="AQ12" s="69"/>
      <c r="AR12" s="69"/>
      <c r="AS12" s="69"/>
      <c r="AT12" s="69"/>
    </row>
    <row r="13" spans="1:46" s="74" customFormat="1" ht="63">
      <c r="A13" s="52"/>
      <c r="B13" s="75" t="s">
        <v>51</v>
      </c>
      <c r="C13" s="76">
        <v>1</v>
      </c>
      <c r="D13" s="737" t="s">
        <v>580</v>
      </c>
      <c r="E13" s="821" t="s">
        <v>1216</v>
      </c>
      <c r="F13" s="76"/>
      <c r="G13" s="738">
        <v>5.4140119414426216E-2</v>
      </c>
      <c r="H13" s="79" t="s">
        <v>913</v>
      </c>
      <c r="I13" s="79"/>
      <c r="J13" s="79"/>
      <c r="K13" s="79"/>
      <c r="L13" s="79" t="s">
        <v>312</v>
      </c>
      <c r="M13" s="612" t="s">
        <v>1228</v>
      </c>
      <c r="N13" s="508" t="str">
        <f>IFERROR(CONCATENATE("tCO2e/",VLOOKUP($M13,'Emission factors'!$C:$H,6,FALSE)),"")</f>
        <v>tCO2e/TJ</v>
      </c>
      <c r="O13" s="508">
        <f>IFERROR(VLOOKUP($M13,'Emission factors'!$C:$BQ,9,FALSE),"")</f>
        <v>71.5</v>
      </c>
      <c r="P13" s="508">
        <f>IFERROR(VLOOKUP($M13,'Emission factors'!$C:$BQ,12,FALSE),"")</f>
        <v>7.4999999999999997E-2</v>
      </c>
      <c r="Q13" s="508">
        <f>IFERROR(VLOOKUP($M13,'Emission factors'!$C:$BQ,15,FALSE),"")</f>
        <v>0.17879999999999999</v>
      </c>
      <c r="R13" s="508"/>
      <c r="S13" s="508">
        <f>IFERROR(VLOOKUP($M13,'Emission factors'!$C:$BQ,67,FALSE),"")</f>
        <v>0</v>
      </c>
      <c r="T13" s="745"/>
      <c r="U13" s="79"/>
      <c r="V13" s="79"/>
      <c r="W13" s="79"/>
      <c r="X13" s="79"/>
      <c r="Y13" s="79"/>
      <c r="Z13" s="740">
        <f>IFERROR(IF(AND($M13="",$T13=""),"",IF($M13="",IF(U13=0,"-",U13),IF(O13=0,"0",$G13*IF($K13="",1,$K13)*O13))),"-")</f>
        <v>3.8710185381314743</v>
      </c>
      <c r="AA13" s="744">
        <f t="shared" si="0"/>
        <v>4.0605089560819662E-3</v>
      </c>
      <c r="AB13" s="743">
        <f t="shared" si="0"/>
        <v>9.680253351299406E-3</v>
      </c>
      <c r="AC13" s="740">
        <f>IFERROR(IF(AND($M13="",$T13=""),"",IF($M13="",IF(X13="",SUM(U13:W13),IF(X13=0,"0",X13)),IF($R13="",SUM($Z13:$AB13),IF($R13=0,"0",$G13*IF($K13="",1,$K13)*$R13)))),"-")</f>
        <v>3.8847593004388559</v>
      </c>
      <c r="AD13" s="741" t="str">
        <f>IFERROR(IF(AND($M13="",$T13=""),"",IF($M13="",IF(Y13=0,"-",Y13),IF(S13=0,"0",$G13*IF($K13="",1,$K13)*S13))),"-")</f>
        <v>0</v>
      </c>
      <c r="AE13" s="79" t="s">
        <v>181</v>
      </c>
      <c r="AF13" s="170" t="s">
        <v>181</v>
      </c>
      <c r="AG13" s="612" t="s">
        <v>1217</v>
      </c>
      <c r="AH13" s="545" t="s">
        <v>1219</v>
      </c>
      <c r="AI13" s="604"/>
      <c r="AJ13" s="69"/>
      <c r="AK13" s="69"/>
      <c r="AL13" s="69"/>
      <c r="AM13" s="69"/>
      <c r="AN13" s="69"/>
      <c r="AO13" s="69"/>
      <c r="AP13" s="69"/>
      <c r="AQ13" s="69"/>
      <c r="AR13" s="69"/>
      <c r="AS13" s="69"/>
      <c r="AT13" s="69"/>
    </row>
    <row r="14" spans="1:46" s="74" customFormat="1" ht="63">
      <c r="A14" s="52"/>
      <c r="B14" s="75" t="s">
        <v>51</v>
      </c>
      <c r="C14" s="76">
        <v>1</v>
      </c>
      <c r="D14" s="737" t="s">
        <v>581</v>
      </c>
      <c r="E14" s="821" t="s">
        <v>1213</v>
      </c>
      <c r="F14" s="76"/>
      <c r="G14" s="738">
        <v>8.7281389124334557E-2</v>
      </c>
      <c r="H14" s="79" t="s">
        <v>913</v>
      </c>
      <c r="I14" s="79"/>
      <c r="J14" s="79"/>
      <c r="K14" s="79"/>
      <c r="L14" s="79" t="s">
        <v>312</v>
      </c>
      <c r="M14" s="612" t="s">
        <v>1231</v>
      </c>
      <c r="N14" s="508" t="str">
        <f>IFERROR(CONCATENATE("tCO2e/",VLOOKUP($M14,'Emission factors'!$C:$H,6,FALSE)),"")</f>
        <v>tCO2e/TJ</v>
      </c>
      <c r="O14" s="508">
        <f>IFERROR(VLOOKUP($M14,'Emission factors'!$C:$BQ,9,FALSE),"")</f>
        <v>0</v>
      </c>
      <c r="P14" s="508">
        <f>IFERROR(VLOOKUP($M14,'Emission factors'!$C:$BQ,12,FALSE),"")</f>
        <v>5</v>
      </c>
      <c r="Q14" s="508">
        <f>IFERROR(VLOOKUP($M14,'Emission factors'!$C:$BQ,15,FALSE),"")</f>
        <v>1.1919999999999999</v>
      </c>
      <c r="R14" s="508"/>
      <c r="S14" s="508">
        <f>IFERROR(VLOOKUP($M14,'Emission factors'!$C:$BQ,67,FALSE),"")</f>
        <v>112</v>
      </c>
      <c r="T14" s="745"/>
      <c r="U14" s="79"/>
      <c r="V14" s="79"/>
      <c r="W14" s="79"/>
      <c r="X14" s="79"/>
      <c r="Y14" s="79"/>
      <c r="Z14" s="742" t="str">
        <f>IFERROR(IF(AND($M14="",$T14=""),"",IF($M14="",IF(U14=0,"-",U14),IF(O14=0,"0",$G14*IF($K14="",1,$K14)*O14))),"-")</f>
        <v>0</v>
      </c>
      <c r="AA14" s="734">
        <f t="shared" si="0"/>
        <v>0.43640694562167281</v>
      </c>
      <c r="AB14" s="743">
        <f t="shared" si="0"/>
        <v>0.10403941583620679</v>
      </c>
      <c r="AC14" s="741">
        <f>IFERROR(IF(AND($M14="",$T14=""),"",IF($M14="",IF(X14="",SUM(U14:W14),IF(X14=0,"0",X14)),IF($R14="",SUM($Z14:$AB14),IF($R14=0,"0",$G14*IF($K14="",1,$K14)*$R14)))),"-")</f>
        <v>0.54044636145787961</v>
      </c>
      <c r="AD14" s="741">
        <f>IFERROR(IF(AND($M14="",$T14=""),"",IF($M14="",IF(Y14=0,"-",Y14),IF(S14=0,"0",$G14*IF($K14="",1,$K14)*S14))),"-")</f>
        <v>9.77551558192547</v>
      </c>
      <c r="AE14" s="79" t="s">
        <v>181</v>
      </c>
      <c r="AF14" s="170" t="s">
        <v>181</v>
      </c>
      <c r="AG14" s="612" t="s">
        <v>1217</v>
      </c>
      <c r="AH14" s="545" t="s">
        <v>1219</v>
      </c>
      <c r="AI14" s="604"/>
      <c r="AJ14" s="69"/>
      <c r="AK14" s="69"/>
      <c r="AL14" s="69"/>
      <c r="AM14" s="69"/>
      <c r="AN14" s="69"/>
      <c r="AO14" s="69"/>
      <c r="AP14" s="69"/>
      <c r="AQ14" s="69"/>
      <c r="AR14" s="69"/>
      <c r="AS14" s="69"/>
      <c r="AT14" s="69"/>
    </row>
    <row r="15" spans="1:46" s="74" customFormat="1" ht="63">
      <c r="A15" s="52"/>
      <c r="B15" s="75" t="s">
        <v>51</v>
      </c>
      <c r="C15" s="76">
        <v>1</v>
      </c>
      <c r="D15" s="737" t="s">
        <v>590</v>
      </c>
      <c r="E15" s="821" t="s">
        <v>1214</v>
      </c>
      <c r="F15" s="76"/>
      <c r="G15" s="739">
        <v>8.6009454437365775E-3</v>
      </c>
      <c r="H15" s="79" t="s">
        <v>913</v>
      </c>
      <c r="I15" s="79"/>
      <c r="J15" s="79"/>
      <c r="K15" s="79"/>
      <c r="L15" s="79" t="s">
        <v>312</v>
      </c>
      <c r="M15" s="612" t="s">
        <v>1232</v>
      </c>
      <c r="N15" s="508" t="str">
        <f>IFERROR(CONCATENATE("tCO2e/",VLOOKUP($M15,'Emission factors'!$C:$H,6,FALSE)),"")</f>
        <v>tCO2e/TJ</v>
      </c>
      <c r="O15" s="508">
        <f>IFERROR(VLOOKUP($M15,'Emission factors'!$C:$BQ,9,FALSE),"")</f>
        <v>0</v>
      </c>
      <c r="P15" s="508">
        <f>IFERROR(VLOOKUP($M15,'Emission factors'!$C:$BQ,12,FALSE),"")</f>
        <v>0.75</v>
      </c>
      <c r="Q15" s="508">
        <f>IFERROR(VLOOKUP($M15,'Emission factors'!$C:$BQ,15,FALSE),"")</f>
        <v>1.1919999999999999</v>
      </c>
      <c r="R15" s="508"/>
      <c r="S15" s="508">
        <f>IFERROR(VLOOKUP($M15,'Emission factors'!$C:$BQ,67,FALSE),"")</f>
        <v>112</v>
      </c>
      <c r="T15" s="745"/>
      <c r="U15" s="79"/>
      <c r="V15" s="79"/>
      <c r="W15" s="79"/>
      <c r="X15" s="79"/>
      <c r="Y15" s="79"/>
      <c r="Z15" s="742" t="str">
        <f>IFERROR(IF(AND($M15="",$T15=""),"",IF($M15="",IF(U15=0,"-",U15),IF(O15=0,"0",$G15*IF($K15="",1,$K15)*O15))),"-")</f>
        <v>0</v>
      </c>
      <c r="AA15" s="734">
        <f t="shared" si="0"/>
        <v>6.4507090828024331E-3</v>
      </c>
      <c r="AB15" s="743">
        <f t="shared" si="0"/>
        <v>1.0252326968934E-2</v>
      </c>
      <c r="AC15" s="742">
        <f>IFERROR(IF(AND($M15="",$T15=""),"",IF($M15="",IF(X15="",SUM(U15:W15),IF(X15=0,"0",X15)),IF($R15="",SUM($Z15:$AB15),IF($R15=0,"0",$G15*IF($K15="",1,$K15)*$R15)))),"-")</f>
        <v>1.6703036051736432E-2</v>
      </c>
      <c r="AD15" s="741">
        <f>IFERROR(IF(AND($M15="",$T15=""),"",IF($M15="",IF(Y15=0,"-",Y15),IF(S15=0,"0",$G15*IF($K15="",1,$K15)*S15))),"-")</f>
        <v>0.96330588969849673</v>
      </c>
      <c r="AE15" s="79" t="s">
        <v>181</v>
      </c>
      <c r="AF15" s="170" t="s">
        <v>181</v>
      </c>
      <c r="AG15" s="612" t="s">
        <v>1217</v>
      </c>
      <c r="AH15" s="545" t="s">
        <v>1219</v>
      </c>
      <c r="AI15" s="604"/>
      <c r="AJ15" s="69"/>
      <c r="AK15" s="69"/>
      <c r="AL15" s="69"/>
      <c r="AM15" s="69"/>
      <c r="AN15" s="69"/>
      <c r="AO15" s="69"/>
      <c r="AP15" s="69"/>
      <c r="AQ15" s="69"/>
      <c r="AR15" s="69"/>
      <c r="AS15" s="69"/>
      <c r="AT15" s="69"/>
    </row>
    <row r="16" spans="1:46" s="74" customFormat="1">
      <c r="A16" s="22"/>
      <c r="B16" s="82" t="s">
        <v>53</v>
      </c>
      <c r="C16" s="83">
        <v>2</v>
      </c>
      <c r="D16" s="84" t="s">
        <v>54</v>
      </c>
      <c r="E16" s="822"/>
      <c r="F16" s="85"/>
      <c r="G16" s="86"/>
      <c r="H16" s="86"/>
      <c r="I16" s="86"/>
      <c r="J16" s="86"/>
      <c r="K16" s="86"/>
      <c r="L16" s="86"/>
      <c r="M16" s="845"/>
      <c r="N16" s="86"/>
      <c r="O16" s="86"/>
      <c r="P16" s="86"/>
      <c r="Q16" s="86"/>
      <c r="R16" s="86"/>
      <c r="S16" s="86"/>
      <c r="T16" s="86"/>
      <c r="U16" s="86"/>
      <c r="V16" s="86"/>
      <c r="W16" s="86"/>
      <c r="X16" s="86"/>
      <c r="Y16" s="86"/>
      <c r="Z16" s="678"/>
      <c r="AA16" s="678"/>
      <c r="AB16" s="678"/>
      <c r="AC16" s="678"/>
      <c r="AD16" s="678"/>
      <c r="AE16" s="73"/>
      <c r="AF16" s="86"/>
      <c r="AG16" s="546"/>
      <c r="AH16" s="605"/>
      <c r="AI16" s="605"/>
      <c r="AJ16" s="69"/>
      <c r="AK16" s="69"/>
      <c r="AL16" s="69"/>
      <c r="AM16" s="69"/>
      <c r="AN16" s="69"/>
      <c r="AO16" s="69"/>
      <c r="AP16" s="69"/>
      <c r="AQ16" s="69"/>
      <c r="AR16" s="69"/>
      <c r="AS16" s="69"/>
      <c r="AT16" s="69"/>
    </row>
    <row r="17" spans="1:46" s="74" customFormat="1" ht="31.5">
      <c r="A17" s="22"/>
      <c r="B17" s="75" t="s">
        <v>53</v>
      </c>
      <c r="C17" s="76">
        <v>2</v>
      </c>
      <c r="D17" s="696" t="s">
        <v>185</v>
      </c>
      <c r="E17" s="823" t="s">
        <v>1060</v>
      </c>
      <c r="F17" s="697"/>
      <c r="G17" s="718">
        <v>4376245.9759999998</v>
      </c>
      <c r="H17" s="697" t="s">
        <v>1061</v>
      </c>
      <c r="I17" s="79"/>
      <c r="J17" s="79"/>
      <c r="K17" s="79"/>
      <c r="L17" s="79" t="s">
        <v>312</v>
      </c>
      <c r="M17" s="750" t="s">
        <v>1152</v>
      </c>
      <c r="N17" s="508" t="str">
        <f>IFERROR(CONCATENATE("tCO2e/",VLOOKUP($M17,'Emission factors'!$C:$H,6,FALSE)),"")</f>
        <v>tCO2e/MWh</v>
      </c>
      <c r="O17" s="775">
        <f>IFERROR(VLOOKUP($M17,'Emission factors'!$C:$BQ,9,FALSE),"")</f>
        <v>0.33164958450222071</v>
      </c>
      <c r="P17" s="775">
        <f>IFERROR(VLOOKUP($M17,'Emission factors'!$C:$BQ,12,FALSE),"")</f>
        <v>2.0350702395489903E-4</v>
      </c>
      <c r="Q17" s="775">
        <f>IFERROR(VLOOKUP($M17,'Emission factors'!$C:$BQ,15,FALSE),"")</f>
        <v>4.401698135050407E-4</v>
      </c>
      <c r="R17" s="508" t="str">
        <f>IFERROR(VLOOKUP($M17,'Emission factors'!$C:$BQ,65,FALSE),"")</f>
        <v/>
      </c>
      <c r="S17" s="508">
        <f>IFERROR(VLOOKUP($M17,'Emission factors'!$C:$BQ,67,FALSE),"")</f>
        <v>0</v>
      </c>
      <c r="T17" s="79"/>
      <c r="U17" s="79"/>
      <c r="V17" s="79"/>
      <c r="W17" s="79"/>
      <c r="X17" s="79"/>
      <c r="Y17" s="79"/>
      <c r="Z17" s="717">
        <f t="shared" ref="Z17:AB18" si="1">IFERROR(IF(AND($M17="",$T17=""),"",IF($M17="",IF(U17=0,"-",U17),IF(O17=0,"0",$G17*IF($K17="",1,$K17)*O17))),"-")</f>
        <v>1451380.1596199153</v>
      </c>
      <c r="AA17" s="717">
        <f t="shared" si="1"/>
        <v>890.59679467036244</v>
      </c>
      <c r="AB17" s="717">
        <f t="shared" si="1"/>
        <v>1926.2913751081046</v>
      </c>
      <c r="AC17" s="717">
        <f>IFERROR(IF(AND($M17="",$T17=""),"",IF($M17="",IF(X17="",SUM(U17:W17),IF(X17=0,"0",X17)),IF($R17="",SUM($Z17:$AB17),IF($R17=0,"0",$G17*IF($K17="",1,$K17)*$R17)))),"-")</f>
        <v>1454197.0477896938</v>
      </c>
      <c r="AD17" s="677" t="str">
        <f>IFERROR(IF(AND($M17="",$T17=""),"",IF($M17="",IF(Y17=0,"-",Y17),IF(S17=0,"0",$G17*IF($K17="",1,$K17)*S17))),"-")</f>
        <v>0</v>
      </c>
      <c r="AE17" s="79" t="s">
        <v>183</v>
      </c>
      <c r="AF17" s="170" t="s">
        <v>182</v>
      </c>
      <c r="AG17" s="544" t="s">
        <v>1178</v>
      </c>
      <c r="AH17" s="545" t="s">
        <v>1199</v>
      </c>
      <c r="AI17" s="604"/>
      <c r="AJ17" s="69"/>
      <c r="AK17" s="69"/>
      <c r="AL17" s="69"/>
      <c r="AM17" s="69"/>
      <c r="AN17" s="69"/>
      <c r="AO17" s="69"/>
      <c r="AP17" s="69"/>
      <c r="AQ17" s="69"/>
      <c r="AR17" s="69"/>
      <c r="AS17" s="69"/>
      <c r="AT17" s="69"/>
    </row>
    <row r="18" spans="1:46" s="74" customFormat="1">
      <c r="A18" s="52"/>
      <c r="B18" s="75" t="s">
        <v>53</v>
      </c>
      <c r="C18" s="76">
        <v>2</v>
      </c>
      <c r="D18" s="699" t="s">
        <v>186</v>
      </c>
      <c r="E18" s="824"/>
      <c r="F18" s="697" t="s">
        <v>177</v>
      </c>
      <c r="G18" s="700"/>
      <c r="H18" s="700"/>
      <c r="I18" s="79"/>
      <c r="J18" s="79"/>
      <c r="K18" s="79"/>
      <c r="L18" s="79"/>
      <c r="M18" s="750"/>
      <c r="N18" s="508" t="str">
        <f>IFERROR(CONCATENATE("tCO2e/",VLOOKUP($M18,'Emission factors'!$C:$H,6,FALSE)),"")</f>
        <v/>
      </c>
      <c r="O18" s="508" t="str">
        <f>IFERROR(VLOOKUP($M18,'Emission factors'!$C:$BQ,9,FALSE),"")</f>
        <v/>
      </c>
      <c r="P18" s="508" t="str">
        <f>IFERROR(VLOOKUP($M18,'Emission factors'!$C:$BQ,12,FALSE),"")</f>
        <v/>
      </c>
      <c r="Q18" s="508" t="str">
        <f>IFERROR(VLOOKUP($M18,'Emission factors'!$C:$BQ,15,FALSE),"")</f>
        <v/>
      </c>
      <c r="R18" s="508" t="str">
        <f>IFERROR(VLOOKUP($M18,'Emission factors'!$C:$BQ,65,FALSE),"")</f>
        <v/>
      </c>
      <c r="S18" s="508" t="str">
        <f>IFERROR(VLOOKUP($M18,'Emission factors'!$C:$BQ,67,FALSE),"")</f>
        <v/>
      </c>
      <c r="T18" s="79"/>
      <c r="U18" s="79"/>
      <c r="V18" s="79"/>
      <c r="W18" s="79"/>
      <c r="X18" s="79"/>
      <c r="Y18" s="79"/>
      <c r="Z18" s="677" t="str">
        <f t="shared" si="1"/>
        <v/>
      </c>
      <c r="AA18" s="677" t="str">
        <f t="shared" si="1"/>
        <v/>
      </c>
      <c r="AB18" s="677" t="str">
        <f t="shared" si="1"/>
        <v/>
      </c>
      <c r="AC18" s="677" t="str">
        <f>IFERROR(IF(AND($M18="",$T18=""),"",IF($M18="",IF(X18="",SUM(U18:W18),IF(X18=0,"0",X18)),IF($R18="",SUM($Z18:$AB18),IF($R18=0,"0",$G18*IF($K18="",1,$K18)*$R18)))),"-")</f>
        <v/>
      </c>
      <c r="AD18" s="677" t="str">
        <f>IFERROR(IF(AND($M18="",$T18=""),"",IF($M18="",IF(Y18=0,"-",Y18),IF(S18=0,"0",$G18*IF($K18="",1,$K18)*S18))),"-")</f>
        <v/>
      </c>
      <c r="AE18" s="79"/>
      <c r="AF18" s="170"/>
      <c r="AG18" s="612" t="s">
        <v>1062</v>
      </c>
      <c r="AH18" s="545"/>
      <c r="AI18" s="604"/>
      <c r="AJ18" s="69"/>
      <c r="AK18" s="69"/>
      <c r="AL18" s="69"/>
      <c r="AM18" s="69"/>
      <c r="AN18" s="69"/>
      <c r="AO18" s="69"/>
      <c r="AP18" s="69"/>
      <c r="AQ18" s="69"/>
      <c r="AR18" s="69"/>
      <c r="AS18" s="69"/>
      <c r="AT18" s="69"/>
    </row>
    <row r="19" spans="1:46" s="74" customFormat="1">
      <c r="A19" s="52"/>
      <c r="B19" s="75" t="s">
        <v>53</v>
      </c>
      <c r="C19" s="76">
        <v>2</v>
      </c>
      <c r="D19" s="699" t="s">
        <v>187</v>
      </c>
      <c r="E19" s="824"/>
      <c r="F19" s="697" t="s">
        <v>177</v>
      </c>
      <c r="G19" s="700"/>
      <c r="H19" s="700"/>
      <c r="I19" s="79"/>
      <c r="J19" s="79"/>
      <c r="K19" s="79"/>
      <c r="L19" s="79"/>
      <c r="M19" s="750"/>
      <c r="N19" s="508" t="str">
        <f>IFERROR(CONCATENATE("tCO2e/",VLOOKUP($M19,'Emission factors'!$C:$H,6,FALSE)),"")</f>
        <v/>
      </c>
      <c r="O19" s="508" t="str">
        <f>IFERROR(VLOOKUP($M19,'Emission factors'!$C:$BQ,9,FALSE),"")</f>
        <v/>
      </c>
      <c r="P19" s="508" t="str">
        <f>IFERROR(VLOOKUP($M19,'Emission factors'!$C:$BQ,12,FALSE),"")</f>
        <v/>
      </c>
      <c r="Q19" s="508" t="str">
        <f>IFERROR(VLOOKUP($M19,'Emission factors'!$C:$BQ,15,FALSE),"")</f>
        <v/>
      </c>
      <c r="R19" s="508" t="str">
        <f>IFERROR(VLOOKUP($M19,'Emission factors'!$C:$BQ,65,FALSE),"")</f>
        <v/>
      </c>
      <c r="S19" s="508" t="str">
        <f>IFERROR(VLOOKUP($M19,'Emission factors'!$C:$BQ,67,FALSE),"")</f>
        <v/>
      </c>
      <c r="T19" s="79"/>
      <c r="U19" s="79"/>
      <c r="V19" s="79"/>
      <c r="W19" s="79"/>
      <c r="X19" s="79"/>
      <c r="Y19" s="79"/>
      <c r="Z19" s="677" t="str">
        <f t="shared" ref="Z19:AB20" si="2">IFERROR(IF(AND($M19="",$T19=""),"",IF($M19="",IF(U19=0,"-",U19),IF(O19=0,"0",$G19*IF($K19="",1,$K19)*O19))),"-")</f>
        <v/>
      </c>
      <c r="AA19" s="677" t="str">
        <f t="shared" si="2"/>
        <v/>
      </c>
      <c r="AB19" s="677" t="str">
        <f t="shared" si="2"/>
        <v/>
      </c>
      <c r="AC19" s="677" t="str">
        <f>IFERROR(IF(AND($M19="",$T19=""),"",IF($M19="",IF(X19="",SUM(U19:W19),IF(X19=0,"0",X19)),IF($R19="",SUM($Z19:$AB19),IF($R19=0,"0",$G19*IF($K19="",1,$K19)*$R19)))),"-")</f>
        <v/>
      </c>
      <c r="AD19" s="677" t="str">
        <f>IFERROR(IF(AND($M19="",$T19=""),"",IF($M19="",IF(Y19=0,"-",Y19),IF(S19=0,"0",$G19*IF($K19="",1,$K19)*S19))),"-")</f>
        <v/>
      </c>
      <c r="AE19" s="79"/>
      <c r="AF19" s="170"/>
      <c r="AG19" s="612" t="s">
        <v>1062</v>
      </c>
      <c r="AH19" s="545"/>
      <c r="AI19" s="604"/>
      <c r="AJ19" s="69"/>
      <c r="AK19" s="69"/>
      <c r="AL19" s="69"/>
      <c r="AM19" s="69"/>
      <c r="AN19" s="69"/>
      <c r="AO19" s="69"/>
      <c r="AP19" s="69"/>
      <c r="AQ19" s="69"/>
      <c r="AR19" s="69"/>
      <c r="AS19" s="69"/>
      <c r="AT19" s="69"/>
    </row>
    <row r="20" spans="1:46" s="74" customFormat="1">
      <c r="A20" s="52"/>
      <c r="B20" s="75" t="s">
        <v>53</v>
      </c>
      <c r="C20" s="76">
        <v>2</v>
      </c>
      <c r="D20" s="699" t="s">
        <v>188</v>
      </c>
      <c r="E20" s="824"/>
      <c r="F20" s="697" t="s">
        <v>177</v>
      </c>
      <c r="G20" s="700"/>
      <c r="H20" s="700"/>
      <c r="I20" s="79"/>
      <c r="J20" s="79"/>
      <c r="K20" s="79"/>
      <c r="L20" s="79"/>
      <c r="M20" s="750"/>
      <c r="N20" s="508" t="str">
        <f>IFERROR(CONCATENATE("tCO2e/",VLOOKUP($M20,'Emission factors'!$C:$H,6,FALSE)),"")</f>
        <v/>
      </c>
      <c r="O20" s="508" t="str">
        <f>IFERROR(VLOOKUP($M20,'Emission factors'!$C:$BQ,9,FALSE),"")</f>
        <v/>
      </c>
      <c r="P20" s="508" t="str">
        <f>IFERROR(VLOOKUP($M20,'Emission factors'!$C:$BQ,12,FALSE),"")</f>
        <v/>
      </c>
      <c r="Q20" s="508" t="str">
        <f>IFERROR(VLOOKUP($M20,'Emission factors'!$C:$BQ,15,FALSE),"")</f>
        <v/>
      </c>
      <c r="R20" s="508" t="str">
        <f>IFERROR(VLOOKUP($M20,'Emission factors'!$C:$BQ,65,FALSE),"")</f>
        <v/>
      </c>
      <c r="S20" s="508" t="str">
        <f>IFERROR(VLOOKUP($M20,'Emission factors'!$C:$BQ,67,FALSE),"")</f>
        <v/>
      </c>
      <c r="T20" s="79"/>
      <c r="U20" s="79"/>
      <c r="V20" s="79"/>
      <c r="W20" s="79"/>
      <c r="X20" s="79"/>
      <c r="Y20" s="79"/>
      <c r="Z20" s="677" t="str">
        <f t="shared" si="2"/>
        <v/>
      </c>
      <c r="AA20" s="677" t="str">
        <f t="shared" si="2"/>
        <v/>
      </c>
      <c r="AB20" s="677" t="str">
        <f t="shared" si="2"/>
        <v/>
      </c>
      <c r="AC20" s="677" t="str">
        <f>IFERROR(IF(AND($M20="",$T20=""),"",IF($M20="",IF(X20="",SUM(U20:W20),IF(X20=0,"0",X20)),IF($R20="",SUM($Z20:$AB20),IF($R20=0,"0",$G20*IF($K20="",1,$K20)*$R20)))),"-")</f>
        <v/>
      </c>
      <c r="AD20" s="677" t="str">
        <f>IFERROR(IF(AND($M20="",$T20=""),"",IF($M20="",IF(Y20=0,"-",Y20),IF(S20=0,"0",$G20*IF($K20="",1,$K20)*S20))),"-")</f>
        <v/>
      </c>
      <c r="AE20" s="79"/>
      <c r="AF20" s="170"/>
      <c r="AG20" s="612" t="s">
        <v>1062</v>
      </c>
      <c r="AH20" s="545"/>
      <c r="AI20" s="604"/>
      <c r="AJ20" s="69"/>
      <c r="AK20" s="69"/>
      <c r="AL20" s="69"/>
      <c r="AM20" s="69"/>
      <c r="AN20" s="69"/>
      <c r="AO20" s="69"/>
      <c r="AP20" s="69"/>
      <c r="AQ20" s="69"/>
      <c r="AR20" s="69"/>
      <c r="AS20" s="69"/>
      <c r="AT20" s="69"/>
    </row>
    <row r="21" spans="1:46" s="74" customFormat="1">
      <c r="A21" s="22"/>
      <c r="B21" s="88" t="s">
        <v>55</v>
      </c>
      <c r="C21" s="89">
        <v>3</v>
      </c>
      <c r="D21" s="90" t="s">
        <v>56</v>
      </c>
      <c r="E21" s="825"/>
      <c r="F21" s="91"/>
      <c r="G21" s="92"/>
      <c r="H21" s="91"/>
      <c r="I21" s="91"/>
      <c r="J21" s="91"/>
      <c r="K21" s="91"/>
      <c r="L21" s="91"/>
      <c r="M21" s="846"/>
      <c r="N21" s="91"/>
      <c r="O21" s="91"/>
      <c r="P21" s="91"/>
      <c r="Q21" s="91"/>
      <c r="R21" s="91"/>
      <c r="S21" s="91"/>
      <c r="T21" s="91"/>
      <c r="U21" s="91"/>
      <c r="V21" s="91"/>
      <c r="W21" s="91"/>
      <c r="X21" s="91"/>
      <c r="Y21" s="91"/>
      <c r="Z21" s="679"/>
      <c r="AA21" s="679"/>
      <c r="AB21" s="679"/>
      <c r="AC21" s="679"/>
      <c r="AD21" s="679"/>
      <c r="AE21" s="91"/>
      <c r="AF21" s="91"/>
      <c r="AG21" s="547"/>
      <c r="AH21" s="606"/>
      <c r="AI21" s="606"/>
      <c r="AJ21" s="69"/>
      <c r="AK21" s="69"/>
      <c r="AL21" s="69"/>
      <c r="AM21" s="69"/>
      <c r="AN21" s="69"/>
      <c r="AO21" s="69"/>
      <c r="AP21" s="69"/>
      <c r="AQ21" s="69"/>
      <c r="AR21" s="69"/>
      <c r="AS21" s="69"/>
      <c r="AT21" s="69"/>
    </row>
    <row r="22" spans="1:46" s="74" customFormat="1" ht="52.5" customHeight="1">
      <c r="A22" s="22"/>
      <c r="B22" s="93" t="s">
        <v>55</v>
      </c>
      <c r="C22" s="94">
        <v>3</v>
      </c>
      <c r="D22" s="696" t="s">
        <v>185</v>
      </c>
      <c r="E22" s="826" t="s">
        <v>1256</v>
      </c>
      <c r="F22" s="76"/>
      <c r="G22" s="719">
        <v>646503.75819919992</v>
      </c>
      <c r="H22" s="79" t="s">
        <v>1061</v>
      </c>
      <c r="I22" s="79"/>
      <c r="J22" s="79"/>
      <c r="K22" s="79"/>
      <c r="L22" s="79" t="s">
        <v>312</v>
      </c>
      <c r="M22" s="750" t="s">
        <v>1152</v>
      </c>
      <c r="N22" s="508" t="str">
        <f>IFERROR(CONCATENATE("tCO2e/",VLOOKUP($M22,'Emission factors'!$C:$H,6,FALSE)),"")</f>
        <v>tCO2e/MWh</v>
      </c>
      <c r="O22" s="508">
        <f>IFERROR(VLOOKUP($M22,'Emission factors'!$C:$BQ,9,FALSE),"")</f>
        <v>0.33164958450222071</v>
      </c>
      <c r="P22" s="508">
        <f>IFERROR(VLOOKUP($M22,'Emission factors'!$C:$BQ,12,FALSE),"")</f>
        <v>2.0350702395489903E-4</v>
      </c>
      <c r="Q22" s="508">
        <f>IFERROR(VLOOKUP($M22,'Emission factors'!$C:$BQ,15,FALSE),"")</f>
        <v>4.401698135050407E-4</v>
      </c>
      <c r="R22" s="508" t="str">
        <f>IFERROR(VLOOKUP($M22,'Emission factors'!$C:$BQ,65,FALSE),"")</f>
        <v/>
      </c>
      <c r="S22" s="508">
        <f>IFERROR(VLOOKUP($M22,'Emission factors'!$C:$BQ,67,FALSE),"")</f>
        <v>0</v>
      </c>
      <c r="T22" s="79"/>
      <c r="U22" s="79"/>
      <c r="V22" s="79"/>
      <c r="W22" s="79"/>
      <c r="X22" s="79"/>
      <c r="Y22" s="79"/>
      <c r="Z22" s="717">
        <f t="shared" ref="Z22:AB23" si="3">IFERROR(IF(AND($M22="",$T22=""),"",IF($M22="",IF(U22=0,"-",U22),IF(O22=0,"0",$G22*IF($K22="",1,$K22)*O22))),"-")</f>
        <v>214412.7027858888</v>
      </c>
      <c r="AA22" s="717">
        <f t="shared" si="3"/>
        <v>131.56805580677684</v>
      </c>
      <c r="AB22" s="717">
        <f t="shared" si="3"/>
        <v>284.57143867684977</v>
      </c>
      <c r="AC22" s="717">
        <f>IFERROR(IF(AND($M22="",$T22=""),"",IF($M22="",IF(X22="",SUM(U22:W22),IF(X22=0,"0",X22)),IF($R22="",SUM($Z22:$AB22),IF($R22=0,"0",$G22*IF($K22="",1,$K22)*$R22)))),"-")</f>
        <v>214828.84228037242</v>
      </c>
      <c r="AD22" s="677" t="str">
        <f>IFERROR(IF(AND($M22="",$T22=""),"",IF($M22="",IF(Y22=0,"-",Y22),IF(S22=0,"0",$G22*IF($K22="",1,$K22)*S22))),"-")</f>
        <v>0</v>
      </c>
      <c r="AE22" s="79" t="s">
        <v>182</v>
      </c>
      <c r="AF22" s="170" t="s">
        <v>182</v>
      </c>
      <c r="AG22" s="544" t="s">
        <v>1255</v>
      </c>
      <c r="AH22" s="545" t="s">
        <v>1208</v>
      </c>
      <c r="AI22" s="604"/>
      <c r="AJ22" s="69"/>
      <c r="AK22" s="69"/>
      <c r="AL22" s="69"/>
      <c r="AM22" s="69"/>
      <c r="AN22" s="69"/>
      <c r="AO22" s="69"/>
      <c r="AP22" s="69"/>
      <c r="AQ22" s="69"/>
      <c r="AR22" s="69"/>
      <c r="AS22" s="69"/>
      <c r="AT22" s="69"/>
    </row>
    <row r="23" spans="1:46" s="74" customFormat="1" ht="15" customHeight="1" thickBot="1">
      <c r="A23" s="52"/>
      <c r="B23" s="96" t="s">
        <v>55</v>
      </c>
      <c r="C23" s="97">
        <v>3</v>
      </c>
      <c r="D23" s="98"/>
      <c r="E23" s="827"/>
      <c r="F23" s="99"/>
      <c r="G23" s="525"/>
      <c r="H23" s="148"/>
      <c r="I23" s="148"/>
      <c r="J23" s="148"/>
      <c r="K23" s="148"/>
      <c r="L23" s="148"/>
      <c r="M23" s="609"/>
      <c r="N23" s="526" t="str">
        <f>IFERROR(CONCATENATE("tCO2e/",VLOOKUP($M23,'Emission factors'!$C:$H,6,FALSE)),"")</f>
        <v/>
      </c>
      <c r="O23" s="526" t="str">
        <f>IFERROR(VLOOKUP($M23,'Emission factors'!$C:$BQ,9,FALSE),"")</f>
        <v/>
      </c>
      <c r="P23" s="526" t="str">
        <f>IFERROR(VLOOKUP($M23,'Emission factors'!$C:$BQ,12,FALSE),"")</f>
        <v/>
      </c>
      <c r="Q23" s="526" t="str">
        <f>IFERROR(VLOOKUP($M23,'Emission factors'!$C:$BQ,15,FALSE),"")</f>
        <v/>
      </c>
      <c r="R23" s="526" t="str">
        <f>IFERROR(VLOOKUP($M23,'Emission factors'!$C:$BQ,65,FALSE),"")</f>
        <v/>
      </c>
      <c r="S23" s="526" t="str">
        <f>IFERROR(VLOOKUP($M23,'Emission factors'!$C:$BQ,67,FALSE),"")</f>
        <v/>
      </c>
      <c r="T23" s="99"/>
      <c r="U23" s="148"/>
      <c r="V23" s="148"/>
      <c r="W23" s="148"/>
      <c r="X23" s="148"/>
      <c r="Y23" s="148"/>
      <c r="Z23" s="680" t="str">
        <f t="shared" si="3"/>
        <v/>
      </c>
      <c r="AA23" s="680" t="str">
        <f t="shared" si="3"/>
        <v/>
      </c>
      <c r="AB23" s="680" t="str">
        <f t="shared" si="3"/>
        <v/>
      </c>
      <c r="AC23" s="680" t="str">
        <f>IFERROR(IF(AND($M23="",$T23=""),"",IF($M23="",IF(X23="",SUM(U23:W23),IF(X23=0,"0",X23)),IF($R23="",SUM($Z23:$AB23),IF($R23=0,"0",$G23*IF($K23="",1,$K23)*$R23)))),"-")</f>
        <v/>
      </c>
      <c r="AD23" s="680" t="str">
        <f>IFERROR(IF(AND($M23="",$T23=""),"",IF($M23="",IF(Y23=0,"-",Y23),IF(S23=0,"0",$G23*IF($K23="",1,$K23)*S23))),"-")</f>
        <v/>
      </c>
      <c r="AE23" s="148"/>
      <c r="AF23" s="600"/>
      <c r="AG23" s="613"/>
      <c r="AH23" s="548"/>
      <c r="AI23" s="607"/>
      <c r="AJ23" s="69"/>
      <c r="AK23" s="69"/>
      <c r="AL23" s="69"/>
      <c r="AM23" s="69"/>
      <c r="AN23" s="69"/>
      <c r="AO23" s="69"/>
      <c r="AP23" s="69"/>
      <c r="AQ23" s="69"/>
      <c r="AR23" s="69"/>
      <c r="AS23" s="69"/>
      <c r="AT23" s="69"/>
    </row>
    <row r="24" spans="1:46" s="24" customFormat="1">
      <c r="B24" s="9"/>
      <c r="C24" s="9"/>
      <c r="D24" s="25"/>
      <c r="E24" s="828"/>
      <c r="F24" s="9"/>
      <c r="G24" s="9"/>
      <c r="H24" s="9"/>
      <c r="I24" s="9"/>
      <c r="J24" s="9"/>
      <c r="K24" s="9"/>
      <c r="L24" s="9"/>
      <c r="M24" s="847"/>
      <c r="N24" s="9"/>
      <c r="O24" s="9"/>
      <c r="P24" s="9"/>
      <c r="Q24" s="9"/>
      <c r="R24" s="9"/>
      <c r="S24" s="9"/>
      <c r="T24" s="9"/>
      <c r="U24" s="9"/>
      <c r="V24" s="9"/>
      <c r="W24" s="9"/>
      <c r="X24" s="9"/>
      <c r="Y24" s="9"/>
      <c r="Z24" s="681"/>
      <c r="AA24" s="681"/>
      <c r="AB24" s="681"/>
      <c r="AC24" s="681"/>
      <c r="AD24" s="681"/>
      <c r="AE24" s="9"/>
      <c r="AF24" s="9"/>
      <c r="AG24" s="614"/>
      <c r="AH24" s="614"/>
      <c r="AI24" s="614"/>
    </row>
    <row r="25" spans="1:46" s="22" customFormat="1" ht="18.75">
      <c r="B25" s="23" t="s">
        <v>232</v>
      </c>
      <c r="C25" s="18"/>
      <c r="D25" s="19"/>
      <c r="E25" s="818"/>
      <c r="F25" s="20"/>
      <c r="G25" s="18"/>
      <c r="H25" s="18"/>
      <c r="I25" s="18"/>
      <c r="J25" s="18"/>
      <c r="K25" s="18"/>
      <c r="L25" s="18"/>
      <c r="M25" s="776"/>
      <c r="N25" s="18"/>
      <c r="O25" s="18"/>
      <c r="P25" s="18"/>
      <c r="Q25" s="18"/>
      <c r="R25" s="18"/>
      <c r="S25" s="18"/>
      <c r="T25" s="18"/>
      <c r="U25" s="18"/>
      <c r="V25" s="18"/>
      <c r="W25" s="18"/>
      <c r="X25" s="18"/>
      <c r="Y25" s="18"/>
      <c r="Z25" s="30"/>
      <c r="AA25" s="30"/>
      <c r="AB25" s="30"/>
      <c r="AC25" s="30"/>
      <c r="AD25" s="30"/>
      <c r="AE25" s="20"/>
      <c r="AF25" s="20"/>
      <c r="AG25" s="611"/>
      <c r="AH25" s="611"/>
      <c r="AI25" s="611"/>
    </row>
    <row r="26" spans="1:46" s="22" customFormat="1" ht="16.5" thickBot="1">
      <c r="B26" s="18"/>
      <c r="C26" s="18"/>
      <c r="D26" s="19"/>
      <c r="E26" s="818"/>
      <c r="F26" s="20"/>
      <c r="G26" s="18"/>
      <c r="H26" s="18"/>
      <c r="I26" s="18"/>
      <c r="J26" s="18"/>
      <c r="K26" s="18"/>
      <c r="L26" s="18"/>
      <c r="M26" s="776"/>
      <c r="N26" s="18"/>
      <c r="O26" s="18"/>
      <c r="P26" s="18"/>
      <c r="Q26" s="18"/>
      <c r="R26" s="18"/>
      <c r="S26" s="18"/>
      <c r="T26" s="18"/>
      <c r="U26" s="18"/>
      <c r="V26" s="18"/>
      <c r="W26" s="18"/>
      <c r="X26" s="18"/>
      <c r="Y26" s="18"/>
      <c r="Z26" s="30"/>
      <c r="AA26" s="30"/>
      <c r="AB26" s="30"/>
      <c r="AC26" s="30"/>
      <c r="AD26" s="30"/>
      <c r="AE26" s="20"/>
      <c r="AF26" s="20"/>
      <c r="AG26" s="611"/>
      <c r="AH26" s="611"/>
      <c r="AI26" s="611"/>
    </row>
    <row r="27" spans="1:46" s="68" customFormat="1" ht="15.95" customHeight="1">
      <c r="A27" s="120"/>
      <c r="B27" s="1139" t="s">
        <v>39</v>
      </c>
      <c r="C27" s="1133" t="s">
        <v>40</v>
      </c>
      <c r="D27" s="1056" t="s">
        <v>245</v>
      </c>
      <c r="E27" s="1144"/>
      <c r="F27" s="1134" t="s">
        <v>300</v>
      </c>
      <c r="G27" s="1141" t="s">
        <v>171</v>
      </c>
      <c r="H27" s="1142"/>
      <c r="I27" s="1130" t="s">
        <v>871</v>
      </c>
      <c r="J27" s="1131"/>
      <c r="K27" s="1132"/>
      <c r="L27" s="1134" t="s">
        <v>305</v>
      </c>
      <c r="M27" s="1063" t="s">
        <v>798</v>
      </c>
      <c r="N27" s="1112" t="s">
        <v>798</v>
      </c>
      <c r="O27" s="1112"/>
      <c r="P27" s="1112"/>
      <c r="Q27" s="1112"/>
      <c r="R27" s="1112"/>
      <c r="S27" s="1113"/>
      <c r="T27" s="1119" t="s">
        <v>967</v>
      </c>
      <c r="U27" s="1114" t="s">
        <v>975</v>
      </c>
      <c r="V27" s="1114"/>
      <c r="W27" s="1114"/>
      <c r="X27" s="1114"/>
      <c r="Y27" s="1114"/>
      <c r="Z27" s="1143" t="s">
        <v>292</v>
      </c>
      <c r="AA27" s="1143"/>
      <c r="AB27" s="1143"/>
      <c r="AC27" s="1143"/>
      <c r="AD27" s="1143"/>
      <c r="AE27" s="1133" t="s">
        <v>43</v>
      </c>
      <c r="AF27" s="1133"/>
      <c r="AG27" s="1128" t="s">
        <v>799</v>
      </c>
      <c r="AH27" s="1073" t="s">
        <v>734</v>
      </c>
      <c r="AI27" s="1126" t="s">
        <v>850</v>
      </c>
      <c r="AJ27" s="67"/>
      <c r="AK27" s="67"/>
      <c r="AL27" s="67"/>
      <c r="AM27" s="67"/>
      <c r="AN27" s="67"/>
      <c r="AO27" s="67"/>
      <c r="AP27" s="67"/>
      <c r="AQ27" s="67"/>
      <c r="AR27" s="67"/>
      <c r="AS27" s="67"/>
      <c r="AT27" s="67"/>
    </row>
    <row r="28" spans="1:46" s="68" customFormat="1" ht="19.5" thickBot="1">
      <c r="A28" s="120"/>
      <c r="B28" s="1140"/>
      <c r="C28" s="1135"/>
      <c r="D28" s="515" t="s">
        <v>246</v>
      </c>
      <c r="E28" s="819" t="s">
        <v>244</v>
      </c>
      <c r="F28" s="1135"/>
      <c r="G28" s="515" t="s">
        <v>172</v>
      </c>
      <c r="H28" s="515" t="s">
        <v>173</v>
      </c>
      <c r="I28" s="528" t="s">
        <v>831</v>
      </c>
      <c r="J28" s="528" t="s">
        <v>832</v>
      </c>
      <c r="K28" s="528" t="s">
        <v>965</v>
      </c>
      <c r="L28" s="1135"/>
      <c r="M28" s="1064"/>
      <c r="N28" s="537" t="s">
        <v>173</v>
      </c>
      <c r="O28" s="538" t="s">
        <v>969</v>
      </c>
      <c r="P28" s="538" t="s">
        <v>970</v>
      </c>
      <c r="Q28" s="538" t="s">
        <v>971</v>
      </c>
      <c r="R28" s="538" t="s">
        <v>972</v>
      </c>
      <c r="S28" s="538" t="s">
        <v>973</v>
      </c>
      <c r="T28" s="1120"/>
      <c r="U28" s="538" t="s">
        <v>969</v>
      </c>
      <c r="V28" s="538" t="s">
        <v>970</v>
      </c>
      <c r="W28" s="538" t="s">
        <v>971</v>
      </c>
      <c r="X28" s="538" t="s">
        <v>972</v>
      </c>
      <c r="Y28" s="538" t="s">
        <v>973</v>
      </c>
      <c r="Z28" s="100" t="s">
        <v>293</v>
      </c>
      <c r="AA28" s="100" t="s">
        <v>294</v>
      </c>
      <c r="AB28" s="100" t="s">
        <v>295</v>
      </c>
      <c r="AC28" s="100" t="s">
        <v>296</v>
      </c>
      <c r="AD28" s="100" t="s">
        <v>297</v>
      </c>
      <c r="AE28" s="515" t="s">
        <v>46</v>
      </c>
      <c r="AF28" s="515" t="s">
        <v>47</v>
      </c>
      <c r="AG28" s="1129"/>
      <c r="AH28" s="1074"/>
      <c r="AI28" s="1127"/>
      <c r="AJ28" s="67"/>
      <c r="AK28" s="67"/>
      <c r="AL28" s="67"/>
      <c r="AM28" s="67"/>
      <c r="AN28" s="67"/>
      <c r="AO28" s="67"/>
      <c r="AP28" s="67"/>
      <c r="AQ28" s="67"/>
      <c r="AR28" s="67"/>
      <c r="AS28" s="67"/>
      <c r="AT28" s="67"/>
    </row>
    <row r="29" spans="1:46" s="74" customFormat="1" ht="14.1" customHeight="1">
      <c r="A29" s="22"/>
      <c r="B29" s="82" t="s">
        <v>59</v>
      </c>
      <c r="C29" s="101">
        <v>1</v>
      </c>
      <c r="D29" s="84" t="s">
        <v>52</v>
      </c>
      <c r="E29" s="822"/>
      <c r="F29" s="599"/>
      <c r="G29" s="468"/>
      <c r="H29" s="468"/>
      <c r="I29" s="468"/>
      <c r="J29" s="468"/>
      <c r="K29" s="468"/>
      <c r="L29" s="468"/>
      <c r="M29" s="844"/>
      <c r="N29" s="468"/>
      <c r="O29" s="468"/>
      <c r="P29" s="468"/>
      <c r="Q29" s="468"/>
      <c r="R29" s="468"/>
      <c r="S29" s="468"/>
      <c r="T29" s="468"/>
      <c r="U29" s="468"/>
      <c r="V29" s="468"/>
      <c r="W29" s="468"/>
      <c r="X29" s="468"/>
      <c r="Y29" s="468"/>
      <c r="Z29" s="676"/>
      <c r="AA29" s="676"/>
      <c r="AB29" s="676"/>
      <c r="AC29" s="676"/>
      <c r="AD29" s="676"/>
      <c r="AE29" s="468"/>
      <c r="AF29" s="468"/>
      <c r="AG29" s="543"/>
      <c r="AH29" s="603"/>
      <c r="AI29" s="603"/>
      <c r="AJ29" s="69"/>
      <c r="AK29" s="69"/>
      <c r="AL29" s="69"/>
      <c r="AM29" s="69"/>
      <c r="AN29" s="69"/>
      <c r="AO29" s="69"/>
      <c r="AP29" s="69"/>
      <c r="AQ29" s="69"/>
      <c r="AR29" s="69"/>
      <c r="AS29" s="69"/>
      <c r="AT29" s="69"/>
    </row>
    <row r="30" spans="1:46" s="74" customFormat="1" ht="55.5" customHeight="1">
      <c r="A30" s="22"/>
      <c r="B30" s="75" t="s">
        <v>59</v>
      </c>
      <c r="C30" s="76">
        <v>1</v>
      </c>
      <c r="D30" s="701" t="s">
        <v>596</v>
      </c>
      <c r="E30" s="829" t="s">
        <v>1063</v>
      </c>
      <c r="F30" s="697"/>
      <c r="G30" s="714">
        <f>260847000*'NCV&amp;Density'!G9*'NCV&amp;Density'!G10</f>
        <v>9002.3516640000016</v>
      </c>
      <c r="H30" s="697" t="s">
        <v>913</v>
      </c>
      <c r="I30" s="79"/>
      <c r="J30" s="79"/>
      <c r="K30" s="79"/>
      <c r="L30" s="79" t="s">
        <v>312</v>
      </c>
      <c r="M30" s="750" t="s">
        <v>1146</v>
      </c>
      <c r="N30" s="508" t="str">
        <f>IFERROR(CONCATENATE("tCO2e/",VLOOKUP($M30,'Emission factors'!$C:$H,6,FALSE)),"")</f>
        <v>tCO2e/TJ</v>
      </c>
      <c r="O30" s="508">
        <f>IFERROR(VLOOKUP($M30,'Emission factors'!$C:$BQ,9,FALSE),"")</f>
        <v>56.1</v>
      </c>
      <c r="P30" s="508">
        <f>IFERROR(VLOOKUP($M30,'Emission factors'!$C:$BQ,12,FALSE),"")</f>
        <v>2.5000000000000001E-2</v>
      </c>
      <c r="Q30" s="508">
        <f>IFERROR(VLOOKUP($M30,'Emission factors'!$C:$BQ,15,FALSE),"")</f>
        <v>2.98E-2</v>
      </c>
      <c r="R30" s="508" t="str">
        <f>IFERROR(VLOOKUP($M30,'Emission factors'!$C:$BQ,65,FALSE),"")</f>
        <v/>
      </c>
      <c r="S30" s="508">
        <f>IFERROR(VLOOKUP($M30,'Emission factors'!$C:$BQ,67,FALSE),"")</f>
        <v>0</v>
      </c>
      <c r="T30" s="79"/>
      <c r="U30" s="79"/>
      <c r="V30" s="79"/>
      <c r="W30" s="79"/>
      <c r="X30" s="79"/>
      <c r="Y30" s="79"/>
      <c r="Z30" s="717">
        <f t="shared" ref="Z30:AB31" si="4">IFERROR(IF(AND($M30="",$T30=""),"",IF($M30="",IF(U30=0,"-",U30),IF(O30=0,"0",$G30*IF($K30="",1,$K30)*O30))),"-")</f>
        <v>505031.92835040012</v>
      </c>
      <c r="AA30" s="717">
        <f t="shared" si="4"/>
        <v>225.05879160000006</v>
      </c>
      <c r="AB30" s="717">
        <f t="shared" si="4"/>
        <v>268.27007958720003</v>
      </c>
      <c r="AC30" s="717">
        <f t="shared" ref="AC30:AC35" si="5">IFERROR(IF(AND($M30="",$T30=""),"",IF($M30="",IF(X30="",SUM(U30:W30),IF(X30=0,"0",X30)),IF($R30="",SUM($Z30:$AB30),IF($R30=0,"0",$G30*IF($K30="",1,$K30)*$R30)))),"-")</f>
        <v>505525.25722158729</v>
      </c>
      <c r="AD30" s="677" t="str">
        <f t="shared" ref="AD30:AD35" si="6">IFERROR(IF(AND($M30="",$T30=""),"",IF($M30="",IF(Y30=0,"-",Y30),IF(S30=0,"0",$G30*IF($K30="",1,$K30)*S30))),"-")</f>
        <v>0</v>
      </c>
      <c r="AE30" s="79" t="s">
        <v>183</v>
      </c>
      <c r="AF30" s="170" t="s">
        <v>181</v>
      </c>
      <c r="AG30" s="544" t="s">
        <v>1180</v>
      </c>
      <c r="AH30" s="545" t="s">
        <v>1198</v>
      </c>
      <c r="AI30" s="604"/>
      <c r="AJ30" s="69"/>
      <c r="AK30" s="69"/>
      <c r="AL30" s="69"/>
      <c r="AM30" s="69"/>
      <c r="AN30" s="69"/>
      <c r="AO30" s="69"/>
      <c r="AP30" s="69"/>
      <c r="AQ30" s="69"/>
      <c r="AR30" s="69"/>
      <c r="AS30" s="69"/>
      <c r="AT30" s="69"/>
    </row>
    <row r="31" spans="1:46" s="74" customFormat="1" ht="63">
      <c r="A31" s="52"/>
      <c r="B31" s="75" t="s">
        <v>59</v>
      </c>
      <c r="C31" s="76">
        <v>1</v>
      </c>
      <c r="D31" s="737" t="s">
        <v>614</v>
      </c>
      <c r="E31" s="830" t="s">
        <v>1221</v>
      </c>
      <c r="F31" s="76"/>
      <c r="G31" s="755">
        <v>2800.2357461488978</v>
      </c>
      <c r="H31" s="76" t="s">
        <v>913</v>
      </c>
      <c r="I31" s="79"/>
      <c r="J31" s="79"/>
      <c r="K31" s="79"/>
      <c r="L31" s="79" t="s">
        <v>312</v>
      </c>
      <c r="M31" s="750" t="s">
        <v>1225</v>
      </c>
      <c r="N31" s="508" t="str">
        <f>IFERROR(CONCATENATE("tCO2e/",VLOOKUP($M31,'Emission factors'!$C:$H,6,FALSE)),"")</f>
        <v>tCO2e/TJ</v>
      </c>
      <c r="O31" s="508">
        <f>IFERROR(VLOOKUP($M31,'Emission factors'!$C:$BQ,9,FALSE),"")</f>
        <v>63.1</v>
      </c>
      <c r="P31" s="508">
        <f>IFERROR(VLOOKUP($M31,'Emission factors'!$C:$BQ,12,FALSE),"")</f>
        <v>2.5000000000000001E-2</v>
      </c>
      <c r="Q31" s="508">
        <f>IFERROR(VLOOKUP($M31,'Emission factors'!$C:$BQ,15,FALSE),"")</f>
        <v>2.98E-2</v>
      </c>
      <c r="R31" s="508" t="str">
        <f>IFERROR(VLOOKUP($M31,'Emission factors'!$C:$BQ,65,FALSE),"")</f>
        <v/>
      </c>
      <c r="S31" s="508">
        <f>IFERROR(VLOOKUP($M31,'Emission factors'!$C:$BQ,67,FALSE),"")</f>
        <v>0</v>
      </c>
      <c r="T31" s="79"/>
      <c r="U31" s="79"/>
      <c r="V31" s="79"/>
      <c r="W31" s="79"/>
      <c r="X31" s="79"/>
      <c r="Y31" s="79"/>
      <c r="Z31" s="717">
        <f t="shared" si="4"/>
        <v>176694.87558199544</v>
      </c>
      <c r="AA31" s="717">
        <f t="shared" si="4"/>
        <v>70.005893653722453</v>
      </c>
      <c r="AB31" s="717">
        <f t="shared" si="4"/>
        <v>83.447025235237149</v>
      </c>
      <c r="AC31" s="717">
        <f t="shared" si="5"/>
        <v>176848.32850088441</v>
      </c>
      <c r="AD31" s="717" t="str">
        <f t="shared" si="6"/>
        <v>0</v>
      </c>
      <c r="AE31" s="79" t="s">
        <v>181</v>
      </c>
      <c r="AF31" s="170" t="s">
        <v>181</v>
      </c>
      <c r="AG31" s="612" t="s">
        <v>1264</v>
      </c>
      <c r="AH31" s="545" t="s">
        <v>1219</v>
      </c>
      <c r="AI31" s="604"/>
      <c r="AJ31" s="69"/>
      <c r="AK31" s="69"/>
      <c r="AL31" s="69"/>
      <c r="AM31" s="69"/>
      <c r="AN31" s="69"/>
      <c r="AO31" s="69"/>
      <c r="AP31" s="69"/>
      <c r="AQ31" s="69"/>
      <c r="AR31" s="69"/>
      <c r="AS31" s="69"/>
      <c r="AT31" s="69"/>
    </row>
    <row r="32" spans="1:46" s="74" customFormat="1" ht="63">
      <c r="A32" s="52"/>
      <c r="B32" s="75" t="s">
        <v>59</v>
      </c>
      <c r="C32" s="76">
        <v>1</v>
      </c>
      <c r="D32" s="737" t="s">
        <v>619</v>
      </c>
      <c r="E32" s="830" t="s">
        <v>1259</v>
      </c>
      <c r="F32" s="76"/>
      <c r="G32" s="755">
        <v>1394.2596392958947</v>
      </c>
      <c r="H32" s="76" t="s">
        <v>913</v>
      </c>
      <c r="I32" s="79"/>
      <c r="J32" s="79"/>
      <c r="K32" s="79"/>
      <c r="L32" s="79" t="s">
        <v>312</v>
      </c>
      <c r="M32" s="750" t="s">
        <v>1160</v>
      </c>
      <c r="N32" s="508" t="str">
        <f>IFERROR(CONCATENATE("tCO2e/",VLOOKUP($M32,'Emission factors'!$C:$H,6,FALSE)),"")</f>
        <v>tCO2e/TJ</v>
      </c>
      <c r="O32" s="508">
        <f>IFERROR(VLOOKUP($M32,'Emission factors'!$C:$BQ,9,FALSE),"")</f>
        <v>74.099999999999994</v>
      </c>
      <c r="P32" s="508">
        <f>IFERROR(VLOOKUP($M32,'Emission factors'!$C:$BQ,12,FALSE),"")</f>
        <v>7.4999999999999997E-2</v>
      </c>
      <c r="Q32" s="508">
        <f>IFERROR(VLOOKUP($M32,'Emission factors'!$C:$BQ,15,FALSE),"")</f>
        <v>0.17879999999999999</v>
      </c>
      <c r="R32" s="508" t="str">
        <f>IFERROR(VLOOKUP($M32,'Emission factors'!$C:$BQ,65,FALSE),"")</f>
        <v/>
      </c>
      <c r="S32" s="508">
        <f>IFERROR(VLOOKUP($M32,'Emission factors'!$C:$BQ,67,FALSE),"")</f>
        <v>0</v>
      </c>
      <c r="T32" s="79"/>
      <c r="U32" s="79"/>
      <c r="V32" s="79"/>
      <c r="W32" s="79"/>
      <c r="X32" s="79"/>
      <c r="Y32" s="79"/>
      <c r="Z32" s="717">
        <f t="shared" ref="Z32:AB35" si="7">IFERROR(IF(AND($M32="",$T32=""),"",IF($M32="",IF(U32=0,"-",U32),IF(O32=0,"0",$G32*IF($K32="",1,$K32)*O32))),"-")</f>
        <v>103314.63927182578</v>
      </c>
      <c r="AA32" s="717">
        <f t="shared" si="7"/>
        <v>104.5694729471921</v>
      </c>
      <c r="AB32" s="717">
        <f t="shared" si="7"/>
        <v>249.29362350610594</v>
      </c>
      <c r="AC32" s="717">
        <f t="shared" si="5"/>
        <v>103668.50236827908</v>
      </c>
      <c r="AD32" s="717" t="str">
        <f t="shared" si="6"/>
        <v>0</v>
      </c>
      <c r="AE32" s="79" t="s">
        <v>181</v>
      </c>
      <c r="AF32" s="170" t="s">
        <v>181</v>
      </c>
      <c r="AG32" s="612" t="s">
        <v>1264</v>
      </c>
      <c r="AH32" s="545" t="s">
        <v>1219</v>
      </c>
      <c r="AI32" s="604"/>
      <c r="AJ32" s="69"/>
      <c r="AK32" s="69"/>
      <c r="AL32" s="69"/>
      <c r="AM32" s="69"/>
      <c r="AN32" s="69"/>
      <c r="AO32" s="69"/>
      <c r="AP32" s="69"/>
      <c r="AQ32" s="69"/>
      <c r="AR32" s="69"/>
      <c r="AS32" s="69"/>
      <c r="AT32" s="69"/>
    </row>
    <row r="33" spans="1:46" s="74" customFormat="1" ht="63">
      <c r="A33" s="52"/>
      <c r="B33" s="75" t="s">
        <v>59</v>
      </c>
      <c r="C33" s="76">
        <v>1</v>
      </c>
      <c r="D33" s="737" t="s">
        <v>595</v>
      </c>
      <c r="E33" s="830" t="s">
        <v>1260</v>
      </c>
      <c r="F33" s="76"/>
      <c r="G33" s="755">
        <v>679.55511831228489</v>
      </c>
      <c r="H33" s="76" t="s">
        <v>913</v>
      </c>
      <c r="I33" s="79"/>
      <c r="J33" s="79"/>
      <c r="K33" s="79"/>
      <c r="L33" s="79" t="s">
        <v>312</v>
      </c>
      <c r="M33" s="750" t="s">
        <v>1261</v>
      </c>
      <c r="N33" s="508" t="str">
        <f>IFERROR(CONCATENATE("tCO2e/",VLOOKUP($M33,'Emission factors'!$C:$H,6,FALSE)),"")</f>
        <v>tCO2e/TJ</v>
      </c>
      <c r="O33" s="508">
        <f>IFERROR(VLOOKUP($M33,'Emission factors'!$C:$BQ,9,FALSE),"")</f>
        <v>77.400000000000006</v>
      </c>
      <c r="P33" s="508">
        <f>IFERROR(VLOOKUP($M33,'Emission factors'!$C:$BQ,12,FALSE),"")</f>
        <v>7.4999999999999997E-2</v>
      </c>
      <c r="Q33" s="508">
        <f>IFERROR(VLOOKUP($M33,'Emission factors'!$C:$BQ,15,FALSE),"")</f>
        <v>0.17879999999999999</v>
      </c>
      <c r="R33" s="508" t="str">
        <f>IFERROR(VLOOKUP($M33,'Emission factors'!$C:$BQ,65,FALSE),"")</f>
        <v/>
      </c>
      <c r="S33" s="508">
        <f>IFERROR(VLOOKUP($M33,'Emission factors'!$C:$BQ,67,FALSE),"")</f>
        <v>0</v>
      </c>
      <c r="T33" s="79"/>
      <c r="U33" s="79"/>
      <c r="V33" s="79"/>
      <c r="W33" s="79"/>
      <c r="X33" s="79"/>
      <c r="Y33" s="79"/>
      <c r="Z33" s="717">
        <f t="shared" si="7"/>
        <v>52597.566157370857</v>
      </c>
      <c r="AA33" s="717">
        <f t="shared" si="7"/>
        <v>50.966633873421365</v>
      </c>
      <c r="AB33" s="717">
        <f t="shared" si="7"/>
        <v>121.50445515423652</v>
      </c>
      <c r="AC33" s="717">
        <f t="shared" si="5"/>
        <v>52770.037246398519</v>
      </c>
      <c r="AD33" s="717" t="str">
        <f t="shared" si="6"/>
        <v>0</v>
      </c>
      <c r="AE33" s="79" t="s">
        <v>181</v>
      </c>
      <c r="AF33" s="170" t="s">
        <v>181</v>
      </c>
      <c r="AG33" s="612" t="s">
        <v>1264</v>
      </c>
      <c r="AH33" s="545" t="s">
        <v>1219</v>
      </c>
      <c r="AI33" s="604"/>
      <c r="AJ33" s="69"/>
      <c r="AK33" s="69"/>
      <c r="AL33" s="69"/>
      <c r="AM33" s="69"/>
      <c r="AN33" s="69"/>
      <c r="AO33" s="69"/>
      <c r="AP33" s="69"/>
      <c r="AQ33" s="69"/>
      <c r="AR33" s="69"/>
      <c r="AS33" s="69"/>
      <c r="AT33" s="69"/>
    </row>
    <row r="34" spans="1:46" s="74" customFormat="1" ht="63">
      <c r="A34" s="52"/>
      <c r="B34" s="75" t="s">
        <v>59</v>
      </c>
      <c r="C34" s="76">
        <v>1</v>
      </c>
      <c r="D34" s="737" t="s">
        <v>590</v>
      </c>
      <c r="E34" s="830" t="s">
        <v>1223</v>
      </c>
      <c r="F34" s="76"/>
      <c r="G34" s="755">
        <v>749.85392365493499</v>
      </c>
      <c r="H34" s="76" t="s">
        <v>913</v>
      </c>
      <c r="I34" s="79"/>
      <c r="J34" s="79"/>
      <c r="K34" s="79"/>
      <c r="L34" s="79" t="s">
        <v>312</v>
      </c>
      <c r="M34" s="750" t="s">
        <v>1232</v>
      </c>
      <c r="N34" s="508" t="str">
        <f>IFERROR(CONCATENATE("tCO2e/",VLOOKUP($M34,'Emission factors'!$C:$H,6,FALSE)),"")</f>
        <v>tCO2e/TJ</v>
      </c>
      <c r="O34" s="508">
        <f>IFERROR(VLOOKUP($M34,'Emission factors'!$C:$BQ,9,FALSE),"")</f>
        <v>0</v>
      </c>
      <c r="P34" s="508">
        <f>IFERROR(VLOOKUP($M34,'Emission factors'!$C:$BQ,12,FALSE),"")</f>
        <v>0.75</v>
      </c>
      <c r="Q34" s="508">
        <f>IFERROR(VLOOKUP($M34,'Emission factors'!$C:$BQ,15,FALSE),"")</f>
        <v>1.1919999999999999</v>
      </c>
      <c r="R34" s="508" t="str">
        <f>IFERROR(VLOOKUP($M34,'Emission factors'!$C:$BQ,65,FALSE),"")</f>
        <v/>
      </c>
      <c r="S34" s="508">
        <f>IFERROR(VLOOKUP($M34,'Emission factors'!$C:$BQ,67,FALSE),"")</f>
        <v>112</v>
      </c>
      <c r="T34" s="79"/>
      <c r="U34" s="79"/>
      <c r="V34" s="79"/>
      <c r="W34" s="79"/>
      <c r="X34" s="79"/>
      <c r="Y34" s="79"/>
      <c r="Z34" s="717" t="str">
        <f t="shared" si="7"/>
        <v>0</v>
      </c>
      <c r="AA34" s="717">
        <f t="shared" si="7"/>
        <v>562.39044274120124</v>
      </c>
      <c r="AB34" s="717">
        <f t="shared" si="7"/>
        <v>893.8258769966825</v>
      </c>
      <c r="AC34" s="717">
        <f t="shared" si="5"/>
        <v>1456.2163197378836</v>
      </c>
      <c r="AD34" s="717">
        <f t="shared" si="6"/>
        <v>83983.639449352719</v>
      </c>
      <c r="AE34" s="79" t="s">
        <v>181</v>
      </c>
      <c r="AF34" s="170" t="s">
        <v>181</v>
      </c>
      <c r="AG34" s="612" t="s">
        <v>1264</v>
      </c>
      <c r="AH34" s="545" t="s">
        <v>1219</v>
      </c>
      <c r="AI34" s="604"/>
      <c r="AJ34" s="69"/>
      <c r="AK34" s="69"/>
      <c r="AL34" s="69"/>
      <c r="AM34" s="69"/>
      <c r="AN34" s="69"/>
      <c r="AO34" s="69"/>
      <c r="AP34" s="69"/>
      <c r="AQ34" s="69"/>
      <c r="AR34" s="69"/>
      <c r="AS34" s="69"/>
      <c r="AT34" s="69"/>
    </row>
    <row r="35" spans="1:46" s="74" customFormat="1" ht="63">
      <c r="A35" s="52"/>
      <c r="B35" s="75" t="s">
        <v>59</v>
      </c>
      <c r="C35" s="76">
        <v>1</v>
      </c>
      <c r="D35" s="737" t="s">
        <v>581</v>
      </c>
      <c r="E35" s="830" t="s">
        <v>1222</v>
      </c>
      <c r="F35" s="76"/>
      <c r="G35" s="755">
        <v>1042.7656125826438</v>
      </c>
      <c r="H35" s="76" t="s">
        <v>913</v>
      </c>
      <c r="I35" s="79"/>
      <c r="J35" s="79"/>
      <c r="K35" s="79"/>
      <c r="L35" s="79" t="s">
        <v>312</v>
      </c>
      <c r="M35" s="750" t="s">
        <v>1231</v>
      </c>
      <c r="N35" s="508" t="str">
        <f>IFERROR(CONCATENATE("tCO2e/",VLOOKUP($M35,'Emission factors'!$C:$H,6,FALSE)),"")</f>
        <v>tCO2e/TJ</v>
      </c>
      <c r="O35" s="508">
        <f>IFERROR(VLOOKUP($M35,'Emission factors'!$C:$BQ,9,FALSE),"")</f>
        <v>0</v>
      </c>
      <c r="P35" s="508">
        <f>IFERROR(VLOOKUP($M35,'Emission factors'!$C:$BQ,12,FALSE),"")</f>
        <v>5</v>
      </c>
      <c r="Q35" s="508">
        <f>IFERROR(VLOOKUP($M35,'Emission factors'!$C:$BQ,15,FALSE),"")</f>
        <v>1.1919999999999999</v>
      </c>
      <c r="R35" s="508" t="str">
        <f>IFERROR(VLOOKUP($M35,'Emission factors'!$C:$BQ,65,FALSE),"")</f>
        <v/>
      </c>
      <c r="S35" s="508">
        <f>IFERROR(VLOOKUP($M35,'Emission factors'!$C:$BQ,67,FALSE),"")</f>
        <v>112</v>
      </c>
      <c r="T35" s="79"/>
      <c r="U35" s="79"/>
      <c r="V35" s="79"/>
      <c r="W35" s="79"/>
      <c r="X35" s="79"/>
      <c r="Y35" s="79"/>
      <c r="Z35" s="717" t="str">
        <f t="shared" si="7"/>
        <v>0</v>
      </c>
      <c r="AA35" s="717">
        <f t="shared" si="7"/>
        <v>5213.8280629132187</v>
      </c>
      <c r="AB35" s="717">
        <f t="shared" si="7"/>
        <v>1242.9766101985115</v>
      </c>
      <c r="AC35" s="717">
        <f t="shared" si="5"/>
        <v>6456.8046731117302</v>
      </c>
      <c r="AD35" s="717">
        <f t="shared" si="6"/>
        <v>116789.74860925612</v>
      </c>
      <c r="AE35" s="79" t="s">
        <v>181</v>
      </c>
      <c r="AF35" s="170" t="s">
        <v>181</v>
      </c>
      <c r="AG35" s="612" t="s">
        <v>1264</v>
      </c>
      <c r="AH35" s="545" t="s">
        <v>1219</v>
      </c>
      <c r="AI35" s="604"/>
      <c r="AJ35" s="69"/>
      <c r="AK35" s="69"/>
      <c r="AL35" s="69"/>
      <c r="AM35" s="69"/>
      <c r="AN35" s="69"/>
      <c r="AO35" s="69"/>
      <c r="AP35" s="69"/>
      <c r="AQ35" s="69"/>
      <c r="AR35" s="69"/>
      <c r="AS35" s="69"/>
      <c r="AT35" s="69"/>
    </row>
    <row r="36" spans="1:46" s="74" customFormat="1">
      <c r="A36" s="22"/>
      <c r="B36" s="82" t="s">
        <v>60</v>
      </c>
      <c r="C36" s="101">
        <v>2</v>
      </c>
      <c r="D36" s="84" t="s">
        <v>54</v>
      </c>
      <c r="E36" s="822"/>
      <c r="F36" s="102"/>
      <c r="G36" s="103"/>
      <c r="H36" s="86"/>
      <c r="I36" s="86"/>
      <c r="J36" s="86"/>
      <c r="K36" s="86"/>
      <c r="L36" s="86"/>
      <c r="M36" s="845"/>
      <c r="N36" s="86"/>
      <c r="O36" s="86"/>
      <c r="P36" s="86"/>
      <c r="Q36" s="86"/>
      <c r="R36" s="86"/>
      <c r="S36" s="86"/>
      <c r="T36" s="86"/>
      <c r="U36" s="86"/>
      <c r="V36" s="86"/>
      <c r="W36" s="86"/>
      <c r="X36" s="86"/>
      <c r="Y36" s="86"/>
      <c r="Z36" s="678"/>
      <c r="AA36" s="678"/>
      <c r="AB36" s="678"/>
      <c r="AC36" s="678"/>
      <c r="AD36" s="678"/>
      <c r="AE36" s="73"/>
      <c r="AF36" s="86"/>
      <c r="AG36" s="546"/>
      <c r="AH36" s="605"/>
      <c r="AI36" s="605"/>
      <c r="AJ36" s="69"/>
      <c r="AK36" s="69"/>
      <c r="AL36" s="69"/>
      <c r="AM36" s="69"/>
      <c r="AN36" s="69"/>
      <c r="AO36" s="69"/>
      <c r="AP36" s="69"/>
      <c r="AQ36" s="69"/>
      <c r="AR36" s="69"/>
      <c r="AS36" s="69"/>
      <c r="AT36" s="69"/>
    </row>
    <row r="37" spans="1:46" s="74" customFormat="1" ht="78.75">
      <c r="A37" s="22"/>
      <c r="B37" s="75" t="s">
        <v>60</v>
      </c>
      <c r="C37" s="76">
        <v>2</v>
      </c>
      <c r="D37" s="701" t="s">
        <v>185</v>
      </c>
      <c r="E37" s="831" t="s">
        <v>1114</v>
      </c>
      <c r="F37" s="697"/>
      <c r="G37" s="718">
        <v>6245477.4582091523</v>
      </c>
      <c r="H37" s="697" t="s">
        <v>1061</v>
      </c>
      <c r="I37" s="79"/>
      <c r="J37" s="79"/>
      <c r="K37" s="79"/>
      <c r="L37" s="79" t="s">
        <v>312</v>
      </c>
      <c r="M37" s="750" t="s">
        <v>1152</v>
      </c>
      <c r="N37" s="508" t="str">
        <f>IFERROR(CONCATENATE("tCO2e/",VLOOKUP($M37,'Emission factors'!$C:$H,6,FALSE)),"")</f>
        <v>tCO2e/MWh</v>
      </c>
      <c r="O37" s="775">
        <f>IFERROR(VLOOKUP($M37,'Emission factors'!$C:$BQ,9,FALSE),"")</f>
        <v>0.33164958450222071</v>
      </c>
      <c r="P37" s="864">
        <f>IFERROR(VLOOKUP($M37,'Emission factors'!$C:$BQ,12,FALSE),"")</f>
        <v>2.0350702395489903E-4</v>
      </c>
      <c r="Q37" s="864">
        <f>IFERROR(VLOOKUP($M37,'Emission factors'!$C:$BQ,15,FALSE),"")</f>
        <v>4.401698135050407E-4</v>
      </c>
      <c r="R37" s="508" t="str">
        <f>IFERROR(VLOOKUP($M37,'Emission factors'!$C:$BQ,65,FALSE),"")</f>
        <v/>
      </c>
      <c r="S37" s="508">
        <f>IFERROR(VLOOKUP($M37,'Emission factors'!$C:$BQ,67,FALSE),"")</f>
        <v>0</v>
      </c>
      <c r="T37" s="79"/>
      <c r="U37" s="79"/>
      <c r="V37" s="79"/>
      <c r="W37" s="79"/>
      <c r="X37" s="79"/>
      <c r="Y37" s="79"/>
      <c r="Z37" s="677">
        <f t="shared" ref="Z37:AB38" si="8">IFERROR(IF(AND($M37="",$T37=""),"",IF($M37="",IF(U37=0,"-",U37),IF(O37=0,"0",$G37*IF($K37="",1,$K37)*O37))),"-")</f>
        <v>2071310.004033051</v>
      </c>
      <c r="AA37" s="677">
        <f t="shared" si="8"/>
        <v>1270.9985306975518</v>
      </c>
      <c r="AB37" s="677">
        <f t="shared" si="8"/>
        <v>2749.0706480298581</v>
      </c>
      <c r="AC37" s="677">
        <f>IFERROR(IF(AND($M37="",$T37=""),"",IF($M37="",IF(X37="",SUM(U37:W37),IF(X37=0,"0",X37)),IF($R37="",SUM($Z37:$AB37),IF($R37=0,"0",$G37*IF($K37="",1,$K37)*$R37)))),"-")</f>
        <v>2075330.0732117784</v>
      </c>
      <c r="AD37" s="677" t="str">
        <f>IFERROR(IF(AND($M37="",$T37=""),"",IF($M37="",IF(Y37=0,"-",Y37),IF(S37=0,"0",$G37*IF($K37="",1,$K37)*S37))),"-")</f>
        <v>0</v>
      </c>
      <c r="AE37" s="79" t="s">
        <v>183</v>
      </c>
      <c r="AF37" s="170" t="s">
        <v>182</v>
      </c>
      <c r="AG37" s="544" t="s">
        <v>1115</v>
      </c>
      <c r="AH37" s="545" t="s">
        <v>1199</v>
      </c>
      <c r="AI37" s="604"/>
      <c r="AJ37" s="69"/>
      <c r="AK37" s="69"/>
      <c r="AL37" s="69"/>
      <c r="AM37" s="69"/>
      <c r="AN37" s="69"/>
      <c r="AO37" s="69"/>
      <c r="AP37" s="69"/>
      <c r="AQ37" s="69"/>
      <c r="AR37" s="69"/>
      <c r="AS37" s="69"/>
      <c r="AT37" s="69"/>
    </row>
    <row r="38" spans="1:46" s="74" customFormat="1">
      <c r="A38" s="52"/>
      <c r="B38" s="75" t="s">
        <v>60</v>
      </c>
      <c r="C38" s="76">
        <v>2</v>
      </c>
      <c r="D38" s="701" t="s">
        <v>186</v>
      </c>
      <c r="E38" s="831"/>
      <c r="F38" s="697" t="s">
        <v>177</v>
      </c>
      <c r="G38" s="702"/>
      <c r="H38" s="697"/>
      <c r="I38" s="79"/>
      <c r="J38" s="79"/>
      <c r="K38" s="79"/>
      <c r="L38" s="79"/>
      <c r="M38" s="750"/>
      <c r="N38" s="508" t="str">
        <f>IFERROR(CONCATENATE("tCO2e/",VLOOKUP($M38,'Emission factors'!$C:$H,6,FALSE)),"")</f>
        <v/>
      </c>
      <c r="O38" s="508" t="str">
        <f>IFERROR(VLOOKUP($M38,'Emission factors'!$C:$BQ,9,FALSE),"")</f>
        <v/>
      </c>
      <c r="P38" s="508" t="str">
        <f>IFERROR(VLOOKUP($M38,'Emission factors'!$C:$BQ,12,FALSE),"")</f>
        <v/>
      </c>
      <c r="Q38" s="508" t="str">
        <f>IFERROR(VLOOKUP($M38,'Emission factors'!$C:$BQ,15,FALSE),"")</f>
        <v/>
      </c>
      <c r="R38" s="508" t="str">
        <f>IFERROR(VLOOKUP($M38,'Emission factors'!$C:$BQ,65,FALSE),"")</f>
        <v/>
      </c>
      <c r="S38" s="508" t="str">
        <f>IFERROR(VLOOKUP($M38,'Emission factors'!$C:$BQ,67,FALSE),"")</f>
        <v/>
      </c>
      <c r="T38" s="79"/>
      <c r="U38" s="79"/>
      <c r="V38" s="79"/>
      <c r="W38" s="79"/>
      <c r="X38" s="79"/>
      <c r="Y38" s="79"/>
      <c r="Z38" s="677" t="str">
        <f t="shared" si="8"/>
        <v/>
      </c>
      <c r="AA38" s="677" t="str">
        <f t="shared" si="8"/>
        <v/>
      </c>
      <c r="AB38" s="677" t="str">
        <f t="shared" si="8"/>
        <v/>
      </c>
      <c r="AC38" s="677" t="str">
        <f>IFERROR(IF(AND($M38="",$T38=""),"",IF($M38="",IF(X38="",SUM(U38:W38),IF(X38=0,"0",X38)),IF($R38="",SUM($Z38:$AB38),IF($R38=0,"0",$G38*IF($K38="",1,$K38)*$R38)))),"-")</f>
        <v/>
      </c>
      <c r="AD38" s="677" t="str">
        <f>IFERROR(IF(AND($M38="",$T38=""),"",IF($M38="",IF(Y38=0,"-",Y38),IF(S38=0,"0",$G38*IF($K38="",1,$K38)*S38))),"-")</f>
        <v/>
      </c>
      <c r="AE38" s="79"/>
      <c r="AF38" s="170"/>
      <c r="AG38" s="612" t="s">
        <v>1062</v>
      </c>
      <c r="AH38" s="545"/>
      <c r="AI38" s="604"/>
      <c r="AJ38" s="69"/>
      <c r="AK38" s="69"/>
      <c r="AL38" s="69"/>
      <c r="AM38" s="69"/>
      <c r="AN38" s="69"/>
      <c r="AO38" s="69"/>
      <c r="AP38" s="69"/>
      <c r="AQ38" s="69"/>
      <c r="AR38" s="69"/>
      <c r="AS38" s="69"/>
      <c r="AT38" s="69"/>
    </row>
    <row r="39" spans="1:46" s="74" customFormat="1">
      <c r="A39" s="52"/>
      <c r="B39" s="75" t="s">
        <v>60</v>
      </c>
      <c r="C39" s="76">
        <v>2</v>
      </c>
      <c r="D39" s="701" t="s">
        <v>187</v>
      </c>
      <c r="E39" s="831"/>
      <c r="F39" s="697" t="s">
        <v>177</v>
      </c>
      <c r="G39" s="702"/>
      <c r="H39" s="697"/>
      <c r="I39" s="79"/>
      <c r="J39" s="79"/>
      <c r="K39" s="79"/>
      <c r="L39" s="79"/>
      <c r="M39" s="750"/>
      <c r="N39" s="508" t="str">
        <f>IFERROR(CONCATENATE("tCO2e/",VLOOKUP($M39,'Emission factors'!$C:$H,6,FALSE)),"")</f>
        <v/>
      </c>
      <c r="O39" s="508" t="str">
        <f>IFERROR(VLOOKUP($M39,'Emission factors'!$C:$BQ,9,FALSE),"")</f>
        <v/>
      </c>
      <c r="P39" s="508" t="str">
        <f>IFERROR(VLOOKUP($M39,'Emission factors'!$C:$BQ,12,FALSE),"")</f>
        <v/>
      </c>
      <c r="Q39" s="508" t="str">
        <f>IFERROR(VLOOKUP($M39,'Emission factors'!$C:$BQ,15,FALSE),"")</f>
        <v/>
      </c>
      <c r="R39" s="508" t="str">
        <f>IFERROR(VLOOKUP($M39,'Emission factors'!$C:$BQ,65,FALSE),"")</f>
        <v/>
      </c>
      <c r="S39" s="508" t="str">
        <f>IFERROR(VLOOKUP($M39,'Emission factors'!$C:$BQ,67,FALSE),"")</f>
        <v/>
      </c>
      <c r="T39" s="79"/>
      <c r="U39" s="79"/>
      <c r="V39" s="79"/>
      <c r="W39" s="79"/>
      <c r="X39" s="79"/>
      <c r="Y39" s="79"/>
      <c r="Z39" s="677" t="str">
        <f t="shared" ref="Z39:AB40" si="9">IFERROR(IF(AND($M39="",$T39=""),"",IF($M39="",IF(U39=0,"-",U39),IF(O39=0,"0",$G39*IF($K39="",1,$K39)*O39))),"-")</f>
        <v/>
      </c>
      <c r="AA39" s="677" t="str">
        <f t="shared" si="9"/>
        <v/>
      </c>
      <c r="AB39" s="677" t="str">
        <f t="shared" si="9"/>
        <v/>
      </c>
      <c r="AC39" s="677" t="str">
        <f>IFERROR(IF(AND($M39="",$T39=""),"",IF($M39="",IF(X39="",SUM(U39:W39),IF(X39=0,"0",X39)),IF($R39="",SUM($Z39:$AB39),IF($R39=0,"0",$G39*IF($K39="",1,$K39)*$R39)))),"-")</f>
        <v/>
      </c>
      <c r="AD39" s="677" t="str">
        <f>IFERROR(IF(AND($M39="",$T39=""),"",IF($M39="",IF(Y39=0,"-",Y39),IF(S39=0,"0",$G39*IF($K39="",1,$K39)*S39))),"-")</f>
        <v/>
      </c>
      <c r="AE39" s="79"/>
      <c r="AF39" s="170"/>
      <c r="AG39" s="612" t="s">
        <v>1062</v>
      </c>
      <c r="AH39" s="545"/>
      <c r="AI39" s="604"/>
      <c r="AJ39" s="69"/>
      <c r="AK39" s="69"/>
      <c r="AL39" s="69"/>
      <c r="AM39" s="69"/>
      <c r="AN39" s="69"/>
      <c r="AO39" s="69"/>
      <c r="AP39" s="69"/>
      <c r="AQ39" s="69"/>
      <c r="AR39" s="69"/>
      <c r="AS39" s="69"/>
      <c r="AT39" s="69"/>
    </row>
    <row r="40" spans="1:46" s="74" customFormat="1">
      <c r="A40" s="52"/>
      <c r="B40" s="75" t="s">
        <v>60</v>
      </c>
      <c r="C40" s="76">
        <v>2</v>
      </c>
      <c r="D40" s="701" t="s">
        <v>188</v>
      </c>
      <c r="E40" s="831"/>
      <c r="F40" s="697" t="s">
        <v>177</v>
      </c>
      <c r="G40" s="702"/>
      <c r="H40" s="697"/>
      <c r="I40" s="79"/>
      <c r="J40" s="79"/>
      <c r="K40" s="79"/>
      <c r="L40" s="79"/>
      <c r="M40" s="750"/>
      <c r="N40" s="508" t="str">
        <f>IFERROR(CONCATENATE("tCO2e/",VLOOKUP($M40,'Emission factors'!$C:$H,6,FALSE)),"")</f>
        <v/>
      </c>
      <c r="O40" s="508" t="str">
        <f>IFERROR(VLOOKUP($M40,'Emission factors'!$C:$BQ,9,FALSE),"")</f>
        <v/>
      </c>
      <c r="P40" s="508" t="str">
        <f>IFERROR(VLOOKUP($M40,'Emission factors'!$C:$BQ,12,FALSE),"")</f>
        <v/>
      </c>
      <c r="Q40" s="508" t="str">
        <f>IFERROR(VLOOKUP($M40,'Emission factors'!$C:$BQ,15,FALSE),"")</f>
        <v/>
      </c>
      <c r="R40" s="508" t="str">
        <f>IFERROR(VLOOKUP($M40,'Emission factors'!$C:$BQ,65,FALSE),"")</f>
        <v/>
      </c>
      <c r="S40" s="508" t="str">
        <f>IFERROR(VLOOKUP($M40,'Emission factors'!$C:$BQ,67,FALSE),"")</f>
        <v/>
      </c>
      <c r="T40" s="79"/>
      <c r="U40" s="79"/>
      <c r="V40" s="79"/>
      <c r="W40" s="79"/>
      <c r="X40" s="79"/>
      <c r="Y40" s="79"/>
      <c r="Z40" s="677" t="str">
        <f t="shared" si="9"/>
        <v/>
      </c>
      <c r="AA40" s="677" t="str">
        <f t="shared" si="9"/>
        <v/>
      </c>
      <c r="AB40" s="677" t="str">
        <f t="shared" si="9"/>
        <v/>
      </c>
      <c r="AC40" s="677" t="str">
        <f>IFERROR(IF(AND($M40="",$T40=""),"",IF($M40="",IF(X40="",SUM(U40:W40),IF(X40=0,"0",X40)),IF($R40="",SUM($Z40:$AB40),IF($R40=0,"0",$G40*IF($K40="",1,$K40)*$R40)))),"-")</f>
        <v/>
      </c>
      <c r="AD40" s="677" t="str">
        <f>IFERROR(IF(AND($M40="",$T40=""),"",IF($M40="",IF(Y40=0,"-",Y40),IF(S40=0,"0",$G40*IF($K40="",1,$K40)*S40))),"-")</f>
        <v/>
      </c>
      <c r="AE40" s="79"/>
      <c r="AF40" s="170"/>
      <c r="AG40" s="612" t="s">
        <v>1062</v>
      </c>
      <c r="AH40" s="545"/>
      <c r="AI40" s="604"/>
      <c r="AJ40" s="69"/>
      <c r="AK40" s="69"/>
      <c r="AL40" s="69"/>
      <c r="AM40" s="69"/>
      <c r="AN40" s="69"/>
      <c r="AO40" s="69"/>
      <c r="AP40" s="69"/>
      <c r="AQ40" s="69"/>
      <c r="AR40" s="69"/>
      <c r="AS40" s="69"/>
      <c r="AT40" s="69"/>
    </row>
    <row r="41" spans="1:46" s="74" customFormat="1">
      <c r="A41" s="22"/>
      <c r="B41" s="105" t="s">
        <v>61</v>
      </c>
      <c r="C41" s="106">
        <v>3</v>
      </c>
      <c r="D41" s="90" t="s">
        <v>56</v>
      </c>
      <c r="E41" s="825"/>
      <c r="F41" s="703"/>
      <c r="G41" s="92"/>
      <c r="H41" s="91"/>
      <c r="I41" s="91"/>
      <c r="J41" s="91"/>
      <c r="K41" s="91"/>
      <c r="L41" s="91"/>
      <c r="M41" s="846"/>
      <c r="N41" s="91"/>
      <c r="O41" s="91"/>
      <c r="P41" s="91"/>
      <c r="Q41" s="91"/>
      <c r="R41" s="91"/>
      <c r="S41" s="91"/>
      <c r="T41" s="91"/>
      <c r="U41" s="91"/>
      <c r="V41" s="91"/>
      <c r="W41" s="91"/>
      <c r="X41" s="91"/>
      <c r="Y41" s="91"/>
      <c r="Z41" s="679"/>
      <c r="AA41" s="679"/>
      <c r="AB41" s="679"/>
      <c r="AC41" s="679"/>
      <c r="AD41" s="679"/>
      <c r="AE41" s="91"/>
      <c r="AF41" s="91"/>
      <c r="AG41" s="547"/>
      <c r="AH41" s="606"/>
      <c r="AI41" s="606"/>
      <c r="AJ41" s="69"/>
      <c r="AK41" s="69"/>
      <c r="AL41" s="69"/>
      <c r="AM41" s="69"/>
      <c r="AN41" s="69"/>
      <c r="AO41" s="69"/>
      <c r="AP41" s="69"/>
      <c r="AQ41" s="69"/>
      <c r="AR41" s="69"/>
      <c r="AS41" s="69"/>
      <c r="AT41" s="69"/>
    </row>
    <row r="42" spans="1:46" s="74" customFormat="1" ht="94.5">
      <c r="A42" s="22"/>
      <c r="B42" s="75" t="s">
        <v>61</v>
      </c>
      <c r="C42" s="76">
        <v>3</v>
      </c>
      <c r="D42" s="701" t="s">
        <v>185</v>
      </c>
      <c r="E42" s="826" t="s">
        <v>1256</v>
      </c>
      <c r="F42" s="697"/>
      <c r="G42" s="718">
        <v>765692.62996253336</v>
      </c>
      <c r="H42" s="697" t="s">
        <v>1061</v>
      </c>
      <c r="I42" s="79"/>
      <c r="J42" s="79"/>
      <c r="K42" s="79"/>
      <c r="L42" s="79" t="s">
        <v>312</v>
      </c>
      <c r="M42" s="750" t="s">
        <v>1152</v>
      </c>
      <c r="N42" s="508" t="str">
        <f>IFERROR(CONCATENATE("tCO2e/",VLOOKUP($M42,'Emission factors'!$C:$H,6,FALSE)),"")</f>
        <v>tCO2e/MWh</v>
      </c>
      <c r="O42" s="508">
        <f>IFERROR(VLOOKUP($M42,'Emission factors'!$C:$BQ,9,FALSE),"")</f>
        <v>0.33164958450222071</v>
      </c>
      <c r="P42" s="508">
        <f>IFERROR(VLOOKUP($M42,'Emission factors'!$C:$BQ,12,FALSE),"")</f>
        <v>2.0350702395489903E-4</v>
      </c>
      <c r="Q42" s="508">
        <f>IFERROR(VLOOKUP($M42,'Emission factors'!$C:$BQ,15,FALSE),"")</f>
        <v>4.401698135050407E-4</v>
      </c>
      <c r="R42" s="508" t="str">
        <f>IFERROR(VLOOKUP($M42,'Emission factors'!$C:$BQ,65,FALSE),"")</f>
        <v/>
      </c>
      <c r="S42" s="508">
        <f>IFERROR(VLOOKUP($M42,'Emission factors'!$C:$BQ,67,FALSE),"")</f>
        <v>0</v>
      </c>
      <c r="T42" s="79"/>
      <c r="U42" s="79"/>
      <c r="V42" s="79"/>
      <c r="W42" s="79"/>
      <c r="X42" s="79"/>
      <c r="Y42" s="79"/>
      <c r="Z42" s="677">
        <f t="shared" ref="Z42:AB43" si="10">IFERROR(IF(AND($M42="",$T42=""),"",IF($M42="",IF(U42=0,"-",U42),IF(O42=0,"0",$G42*IF($K42="",1,$K42)*O42))),"-")</f>
        <v>253941.64258348683</v>
      </c>
      <c r="AA42" s="677">
        <f t="shared" si="10"/>
        <v>155.82382838787493</v>
      </c>
      <c r="AB42" s="677">
        <f t="shared" si="10"/>
        <v>337.03478213279243</v>
      </c>
      <c r="AC42" s="677">
        <f>IFERROR(IF(AND($M42="",$T42=""),"",IF($M42="",IF(X42="",SUM(U42:W42),IF(X42=0,"0",X42)),IF($R42="",SUM($Z42:$AB42),IF($R42=0,"0",$G42*IF($K42="",1,$K42)*$R42)))),"-")</f>
        <v>254434.50119400752</v>
      </c>
      <c r="AD42" s="677" t="str">
        <f>IFERROR(IF(AND($M42="",$T42=""),"",IF($M42="",IF(Y42=0,"-",Y42),IF(S42=0,"0",$G42*IF($K42="",1,$K42)*S42))),"-")</f>
        <v>0</v>
      </c>
      <c r="AE42" s="79" t="s">
        <v>182</v>
      </c>
      <c r="AF42" s="170" t="s">
        <v>182</v>
      </c>
      <c r="AG42" s="544" t="s">
        <v>1255</v>
      </c>
      <c r="AH42" s="545" t="s">
        <v>1208</v>
      </c>
      <c r="AI42" s="604"/>
      <c r="AJ42" s="69"/>
      <c r="AK42" s="69"/>
      <c r="AL42" s="69"/>
      <c r="AM42" s="69"/>
      <c r="AN42" s="69"/>
      <c r="AO42" s="69"/>
      <c r="AP42" s="69"/>
      <c r="AQ42" s="69"/>
      <c r="AR42" s="69"/>
      <c r="AS42" s="69"/>
      <c r="AT42" s="69"/>
    </row>
    <row r="43" spans="1:46" s="74" customFormat="1" ht="16.5" thickBot="1">
      <c r="A43" s="52"/>
      <c r="B43" s="107" t="s">
        <v>61</v>
      </c>
      <c r="C43" s="99">
        <v>3</v>
      </c>
      <c r="D43" s="98"/>
      <c r="E43" s="832"/>
      <c r="F43" s="99"/>
      <c r="G43" s="525"/>
      <c r="H43" s="148"/>
      <c r="I43" s="148"/>
      <c r="J43" s="148"/>
      <c r="K43" s="148"/>
      <c r="L43" s="148"/>
      <c r="M43" s="609"/>
      <c r="N43" s="526" t="str">
        <f>IFERROR(CONCATENATE("tCO2e/",VLOOKUP($M43,'Emission factors'!$C:$H,6,FALSE)),"")</f>
        <v/>
      </c>
      <c r="O43" s="526" t="str">
        <f>IFERROR(VLOOKUP($M43,'Emission factors'!$C:$BQ,9,FALSE),"")</f>
        <v/>
      </c>
      <c r="P43" s="526" t="str">
        <f>IFERROR(VLOOKUP($M43,'Emission factors'!$C:$BQ,12,FALSE),"")</f>
        <v/>
      </c>
      <c r="Q43" s="526" t="str">
        <f>IFERROR(VLOOKUP($M43,'Emission factors'!$C:$BQ,15,FALSE),"")</f>
        <v/>
      </c>
      <c r="R43" s="526" t="str">
        <f>IFERROR(VLOOKUP($M43,'Emission factors'!$C:$BQ,65,FALSE),"")</f>
        <v/>
      </c>
      <c r="S43" s="526" t="str">
        <f>IFERROR(VLOOKUP($M43,'Emission factors'!$C:$BQ,67,FALSE),"")</f>
        <v/>
      </c>
      <c r="T43" s="99"/>
      <c r="U43" s="148"/>
      <c r="V43" s="148"/>
      <c r="W43" s="148"/>
      <c r="X43" s="148"/>
      <c r="Y43" s="148"/>
      <c r="Z43" s="680" t="str">
        <f t="shared" si="10"/>
        <v/>
      </c>
      <c r="AA43" s="680" t="str">
        <f t="shared" si="10"/>
        <v/>
      </c>
      <c r="AB43" s="680" t="str">
        <f t="shared" si="10"/>
        <v/>
      </c>
      <c r="AC43" s="680" t="str">
        <f>IFERROR(IF(AND($M43="",$T43=""),"",IF($M43="",IF(X43="",SUM(U43:W43),IF(X43=0,"0",X43)),IF($R43="",SUM($Z43:$AB43),IF($R43=0,"0",$G43*IF($K43="",1,$K43)*$R43)))),"-")</f>
        <v/>
      </c>
      <c r="AD43" s="680" t="str">
        <f>IFERROR(IF(AND($M43="",$T43=""),"",IF($M43="",IF(Y43=0,"-",Y43),IF(S43=0,"0",$G43*IF($K43="",1,$K43)*S43))),"-")</f>
        <v/>
      </c>
      <c r="AE43" s="148"/>
      <c r="AF43" s="600"/>
      <c r="AG43" s="613"/>
      <c r="AH43" s="548"/>
      <c r="AI43" s="607"/>
      <c r="AJ43" s="69"/>
      <c r="AK43" s="69"/>
      <c r="AL43" s="69"/>
      <c r="AM43" s="69"/>
      <c r="AN43" s="69"/>
      <c r="AO43" s="69"/>
      <c r="AP43" s="69"/>
      <c r="AQ43" s="69"/>
      <c r="AR43" s="69"/>
      <c r="AS43" s="69"/>
      <c r="AT43" s="69"/>
    </row>
    <row r="44" spans="1:46" s="24" customFormat="1">
      <c r="B44" s="7"/>
      <c r="C44" s="7"/>
      <c r="D44" s="25"/>
      <c r="E44" s="828"/>
      <c r="F44" s="9"/>
      <c r="G44" s="10"/>
      <c r="H44" s="7"/>
      <c r="I44" s="7"/>
      <c r="J44" s="7"/>
      <c r="K44" s="7"/>
      <c r="L44" s="7"/>
      <c r="M44" s="848"/>
      <c r="N44" s="7"/>
      <c r="O44" s="7"/>
      <c r="P44" s="7"/>
      <c r="Q44" s="7"/>
      <c r="R44" s="7"/>
      <c r="S44" s="7"/>
      <c r="T44" s="7"/>
      <c r="U44" s="7"/>
      <c r="V44" s="7"/>
      <c r="W44" s="7"/>
      <c r="X44" s="7"/>
      <c r="Y44" s="7"/>
      <c r="Z44" s="681"/>
      <c r="AA44" s="681"/>
      <c r="AB44" s="681"/>
      <c r="AC44" s="681"/>
      <c r="AD44" s="681"/>
      <c r="AE44" s="9"/>
      <c r="AF44" s="9"/>
      <c r="AG44" s="614"/>
      <c r="AH44" s="614"/>
      <c r="AI44" s="614"/>
    </row>
    <row r="45" spans="1:46" s="22" customFormat="1" ht="18.75">
      <c r="B45" s="23" t="s">
        <v>235</v>
      </c>
      <c r="C45" s="18"/>
      <c r="D45" s="19"/>
      <c r="E45" s="818"/>
      <c r="F45" s="20"/>
      <c r="G45" s="18"/>
      <c r="H45" s="18"/>
      <c r="I45" s="18"/>
      <c r="J45" s="18"/>
      <c r="K45" s="18"/>
      <c r="L45" s="18"/>
      <c r="M45" s="776"/>
      <c r="N45" s="18"/>
      <c r="O45" s="18"/>
      <c r="P45" s="18"/>
      <c r="Q45" s="18"/>
      <c r="R45" s="18"/>
      <c r="S45" s="18"/>
      <c r="T45" s="18"/>
      <c r="U45" s="18"/>
      <c r="V45" s="18"/>
      <c r="W45" s="18"/>
      <c r="X45" s="18"/>
      <c r="Y45" s="18"/>
      <c r="Z45" s="30"/>
      <c r="AA45" s="30"/>
      <c r="AB45" s="30"/>
      <c r="AC45" s="30"/>
      <c r="AD45" s="30"/>
      <c r="AE45" s="20"/>
      <c r="AF45" s="20"/>
      <c r="AG45" s="611"/>
      <c r="AH45" s="611"/>
      <c r="AI45" s="611"/>
    </row>
    <row r="46" spans="1:46" s="22" customFormat="1" ht="16.5" thickBot="1">
      <c r="B46" s="18"/>
      <c r="C46" s="18"/>
      <c r="D46" s="19"/>
      <c r="E46" s="818"/>
      <c r="F46" s="20"/>
      <c r="G46" s="18"/>
      <c r="H46" s="18"/>
      <c r="I46" s="18"/>
      <c r="J46" s="18"/>
      <c r="K46" s="18"/>
      <c r="L46" s="18"/>
      <c r="M46" s="776"/>
      <c r="N46" s="18"/>
      <c r="O46" s="18"/>
      <c r="P46" s="18"/>
      <c r="Q46" s="18"/>
      <c r="R46" s="18"/>
      <c r="S46" s="18"/>
      <c r="T46" s="18"/>
      <c r="U46" s="18"/>
      <c r="V46" s="18"/>
      <c r="W46" s="18"/>
      <c r="X46" s="18"/>
      <c r="Y46" s="18"/>
      <c r="Z46" s="30"/>
      <c r="AA46" s="30"/>
      <c r="AB46" s="30"/>
      <c r="AC46" s="30"/>
      <c r="AD46" s="30"/>
      <c r="AE46" s="20"/>
      <c r="AF46" s="20"/>
      <c r="AG46" s="611"/>
      <c r="AH46" s="611"/>
      <c r="AI46" s="611"/>
    </row>
    <row r="47" spans="1:46" s="68" customFormat="1" ht="15.95" customHeight="1">
      <c r="A47" s="120"/>
      <c r="B47" s="1139" t="s">
        <v>39</v>
      </c>
      <c r="C47" s="1133" t="s">
        <v>40</v>
      </c>
      <c r="D47" s="1056" t="s">
        <v>245</v>
      </c>
      <c r="E47" s="1144"/>
      <c r="F47" s="1134" t="s">
        <v>300</v>
      </c>
      <c r="G47" s="1141" t="s">
        <v>171</v>
      </c>
      <c r="H47" s="1142"/>
      <c r="I47" s="1130" t="s">
        <v>871</v>
      </c>
      <c r="J47" s="1131"/>
      <c r="K47" s="1132"/>
      <c r="L47" s="1134" t="s">
        <v>305</v>
      </c>
      <c r="M47" s="1063" t="s">
        <v>798</v>
      </c>
      <c r="N47" s="1112" t="s">
        <v>798</v>
      </c>
      <c r="O47" s="1112"/>
      <c r="P47" s="1112"/>
      <c r="Q47" s="1112"/>
      <c r="R47" s="1112"/>
      <c r="S47" s="1113"/>
      <c r="T47" s="1119" t="s">
        <v>967</v>
      </c>
      <c r="U47" s="1114" t="s">
        <v>975</v>
      </c>
      <c r="V47" s="1114"/>
      <c r="W47" s="1114"/>
      <c r="X47" s="1114"/>
      <c r="Y47" s="1114"/>
      <c r="Z47" s="1143" t="s">
        <v>292</v>
      </c>
      <c r="AA47" s="1143"/>
      <c r="AB47" s="1143"/>
      <c r="AC47" s="1143"/>
      <c r="AD47" s="1143"/>
      <c r="AE47" s="1133" t="s">
        <v>43</v>
      </c>
      <c r="AF47" s="1133"/>
      <c r="AG47" s="1128" t="s">
        <v>799</v>
      </c>
      <c r="AH47" s="1073" t="s">
        <v>734</v>
      </c>
      <c r="AI47" s="1126" t="s">
        <v>850</v>
      </c>
      <c r="AJ47" s="67"/>
      <c r="AK47" s="67"/>
      <c r="AL47" s="67"/>
      <c r="AM47" s="67"/>
      <c r="AN47" s="67"/>
      <c r="AO47" s="67"/>
      <c r="AP47" s="67"/>
      <c r="AQ47" s="67"/>
      <c r="AR47" s="67"/>
      <c r="AS47" s="67"/>
      <c r="AT47" s="67"/>
    </row>
    <row r="48" spans="1:46" s="68" customFormat="1" ht="19.5" thickBot="1">
      <c r="A48" s="120"/>
      <c r="B48" s="1140"/>
      <c r="C48" s="1135"/>
      <c r="D48" s="515" t="s">
        <v>246</v>
      </c>
      <c r="E48" s="819" t="s">
        <v>244</v>
      </c>
      <c r="F48" s="1135"/>
      <c r="G48" s="515" t="s">
        <v>172</v>
      </c>
      <c r="H48" s="515" t="s">
        <v>173</v>
      </c>
      <c r="I48" s="528" t="s">
        <v>831</v>
      </c>
      <c r="J48" s="528" t="s">
        <v>832</v>
      </c>
      <c r="K48" s="528" t="s">
        <v>965</v>
      </c>
      <c r="L48" s="1135"/>
      <c r="M48" s="1064"/>
      <c r="N48" s="537" t="s">
        <v>173</v>
      </c>
      <c r="O48" s="538" t="s">
        <v>969</v>
      </c>
      <c r="P48" s="538" t="s">
        <v>970</v>
      </c>
      <c r="Q48" s="538" t="s">
        <v>971</v>
      </c>
      <c r="R48" s="538" t="s">
        <v>972</v>
      </c>
      <c r="S48" s="538" t="s">
        <v>973</v>
      </c>
      <c r="T48" s="1120"/>
      <c r="U48" s="538" t="s">
        <v>969</v>
      </c>
      <c r="V48" s="538" t="s">
        <v>970</v>
      </c>
      <c r="W48" s="538" t="s">
        <v>971</v>
      </c>
      <c r="X48" s="538" t="s">
        <v>972</v>
      </c>
      <c r="Y48" s="538" t="s">
        <v>973</v>
      </c>
      <c r="Z48" s="100" t="s">
        <v>293</v>
      </c>
      <c r="AA48" s="100" t="s">
        <v>294</v>
      </c>
      <c r="AB48" s="100" t="s">
        <v>295</v>
      </c>
      <c r="AC48" s="100" t="s">
        <v>296</v>
      </c>
      <c r="AD48" s="100" t="s">
        <v>297</v>
      </c>
      <c r="AE48" s="515" t="s">
        <v>46</v>
      </c>
      <c r="AF48" s="515" t="s">
        <v>47</v>
      </c>
      <c r="AG48" s="1129"/>
      <c r="AH48" s="1074"/>
      <c r="AI48" s="1127"/>
      <c r="AJ48" s="67"/>
      <c r="AK48" s="67"/>
      <c r="AL48" s="67"/>
      <c r="AM48" s="67"/>
      <c r="AN48" s="67"/>
      <c r="AO48" s="67"/>
      <c r="AP48" s="67"/>
      <c r="AQ48" s="67"/>
      <c r="AR48" s="67"/>
      <c r="AS48" s="67"/>
      <c r="AT48" s="67"/>
    </row>
    <row r="49" spans="1:46" s="74" customFormat="1">
      <c r="A49" s="22"/>
      <c r="B49" s="82" t="s">
        <v>63</v>
      </c>
      <c r="C49" s="101">
        <v>1</v>
      </c>
      <c r="D49" s="84" t="s">
        <v>52</v>
      </c>
      <c r="E49" s="822"/>
      <c r="F49" s="599"/>
      <c r="G49" s="468"/>
      <c r="H49" s="468"/>
      <c r="I49" s="468"/>
      <c r="J49" s="468"/>
      <c r="K49" s="468"/>
      <c r="L49" s="468"/>
      <c r="M49" s="844"/>
      <c r="N49" s="468"/>
      <c r="O49" s="468"/>
      <c r="P49" s="468"/>
      <c r="Q49" s="468"/>
      <c r="R49" s="468"/>
      <c r="S49" s="468"/>
      <c r="T49" s="468"/>
      <c r="U49" s="468"/>
      <c r="V49" s="468"/>
      <c r="W49" s="468"/>
      <c r="X49" s="468"/>
      <c r="Y49" s="468"/>
      <c r="Z49" s="676"/>
      <c r="AA49" s="676"/>
      <c r="AB49" s="676"/>
      <c r="AC49" s="676"/>
      <c r="AD49" s="676"/>
      <c r="AE49" s="468"/>
      <c r="AF49" s="468"/>
      <c r="AG49" s="543"/>
      <c r="AH49" s="603"/>
      <c r="AI49" s="603"/>
      <c r="AJ49" s="69"/>
      <c r="AK49" s="69"/>
      <c r="AL49" s="69"/>
      <c r="AM49" s="69"/>
      <c r="AN49" s="69"/>
      <c r="AO49" s="69"/>
      <c r="AP49" s="69"/>
      <c r="AQ49" s="69"/>
      <c r="AR49" s="69"/>
      <c r="AS49" s="69"/>
      <c r="AT49" s="69"/>
    </row>
    <row r="50" spans="1:46" s="22" customFormat="1" ht="47.25">
      <c r="B50" s="108" t="s">
        <v>63</v>
      </c>
      <c r="C50" s="79">
        <v>1</v>
      </c>
      <c r="D50" s="77" t="s">
        <v>596</v>
      </c>
      <c r="E50" s="833" t="s">
        <v>1064</v>
      </c>
      <c r="F50" s="76"/>
      <c r="G50" s="719">
        <f>96701000*'NCV&amp;Density'!G9*'NCV&amp;Density'!G10</f>
        <v>3337.344912</v>
      </c>
      <c r="H50" s="79" t="s">
        <v>913</v>
      </c>
      <c r="I50" s="79"/>
      <c r="J50" s="79"/>
      <c r="K50" s="79"/>
      <c r="L50" s="79" t="s">
        <v>312</v>
      </c>
      <c r="M50" s="750" t="s">
        <v>1146</v>
      </c>
      <c r="N50" s="508" t="str">
        <f>IFERROR(CONCATENATE("tCO2e/",VLOOKUP($M50,'Emission factors'!$C:$H,6,FALSE)),"")</f>
        <v>tCO2e/TJ</v>
      </c>
      <c r="O50" s="508">
        <f>IFERROR(VLOOKUP($M50,'Emission factors'!$C:$BQ,9,FALSE),"")</f>
        <v>56.1</v>
      </c>
      <c r="P50" s="508">
        <f>IFERROR(VLOOKUP($M50,'Emission factors'!$C:$BQ,12,FALSE),"")</f>
        <v>2.5000000000000001E-2</v>
      </c>
      <c r="Q50" s="508">
        <f>IFERROR(VLOOKUP($M50,'Emission factors'!$C:$BQ,15,FALSE),"")</f>
        <v>2.98E-2</v>
      </c>
      <c r="R50" s="508" t="str">
        <f>IFERROR(VLOOKUP($M50,'Emission factors'!$C:$BQ,65,FALSE),"")</f>
        <v/>
      </c>
      <c r="S50" s="508">
        <f>IFERROR(VLOOKUP($M50,'Emission factors'!$C:$BQ,67,FALSE),"")</f>
        <v>0</v>
      </c>
      <c r="T50" s="79"/>
      <c r="U50" s="78"/>
      <c r="V50" s="79"/>
      <c r="W50" s="79"/>
      <c r="X50" s="79"/>
      <c r="Y50" s="79"/>
      <c r="Z50" s="717">
        <f t="shared" ref="Z50:AB51" si="11">IFERROR(IF(AND($M50="",$T50=""),"",IF($M50="",IF(U50=0,"-",U50),IF(O50=0,"0",$G50*IF($K50="",1,$K50)*O50))),"-")</f>
        <v>187225.04956320001</v>
      </c>
      <c r="AA50" s="717">
        <f t="shared" si="11"/>
        <v>83.433622800000009</v>
      </c>
      <c r="AB50" s="717">
        <f t="shared" si="11"/>
        <v>99.452878377600001</v>
      </c>
      <c r="AC50" s="717">
        <f>IFERROR(IF(AND($M50="",$T50=""),"",IF($M50="",IF(X50="",SUM(U50:W50),IF(X50=0,"0",X50)),IF($R50="",SUM($Z50:$AB50),IF($R50=0,"0",$G50*IF($K50="",1,$K50)*$R50)))),"-")</f>
        <v>187407.9360643776</v>
      </c>
      <c r="AD50" s="717" t="str">
        <f>IFERROR(IF(AND($M50="",$T50=""),"",IF($M50="",IF(Y50=0,"-",Y50),IF(S50=0,"0",$G50*IF($K50="",1,$K50)*S50))),"-")</f>
        <v>0</v>
      </c>
      <c r="AE50" s="79" t="s">
        <v>183</v>
      </c>
      <c r="AF50" s="170" t="s">
        <v>181</v>
      </c>
      <c r="AG50" s="544" t="s">
        <v>1181</v>
      </c>
      <c r="AH50" s="545" t="s">
        <v>1198</v>
      </c>
      <c r="AI50" s="604"/>
    </row>
    <row r="51" spans="1:46" s="22" customFormat="1" ht="63">
      <c r="A51" s="52"/>
      <c r="B51" s="75" t="s">
        <v>63</v>
      </c>
      <c r="C51" s="76">
        <v>1</v>
      </c>
      <c r="D51" s="77" t="s">
        <v>614</v>
      </c>
      <c r="E51" s="830" t="s">
        <v>1265</v>
      </c>
      <c r="F51" s="76"/>
      <c r="G51" s="719">
        <v>1117.3514908041918</v>
      </c>
      <c r="H51" s="79" t="s">
        <v>913</v>
      </c>
      <c r="I51" s="79"/>
      <c r="J51" s="79"/>
      <c r="K51" s="79"/>
      <c r="L51" s="79" t="s">
        <v>312</v>
      </c>
      <c r="M51" s="750" t="s">
        <v>1225</v>
      </c>
      <c r="N51" s="508" t="str">
        <f>IFERROR(CONCATENATE("tCO2e/",VLOOKUP($M51,'Emission factors'!$C:$H,6,FALSE)),"")</f>
        <v>tCO2e/TJ</v>
      </c>
      <c r="O51" s="508">
        <f>IFERROR(VLOOKUP($M51,'Emission factors'!$C:$BQ,9,FALSE),"")</f>
        <v>63.1</v>
      </c>
      <c r="P51" s="508">
        <f>IFERROR(VLOOKUP($M51,'Emission factors'!$C:$BQ,12,FALSE),"")</f>
        <v>2.5000000000000001E-2</v>
      </c>
      <c r="Q51" s="508">
        <f>IFERROR(VLOOKUP($M51,'Emission factors'!$C:$BQ,15,FALSE),"")</f>
        <v>2.98E-2</v>
      </c>
      <c r="R51" s="508" t="str">
        <f>IFERROR(VLOOKUP($M51,'Emission factors'!$C:$BQ,65,FALSE),"")</f>
        <v/>
      </c>
      <c r="S51" s="508">
        <f>IFERROR(VLOOKUP($M51,'Emission factors'!$C:$BQ,67,FALSE),"")</f>
        <v>0</v>
      </c>
      <c r="T51" s="79"/>
      <c r="U51" s="78"/>
      <c r="V51" s="79"/>
      <c r="W51" s="79"/>
      <c r="X51" s="79"/>
      <c r="Y51" s="79"/>
      <c r="Z51" s="717">
        <f t="shared" si="11"/>
        <v>70504.879069744507</v>
      </c>
      <c r="AA51" s="717">
        <f t="shared" si="11"/>
        <v>27.933787270104798</v>
      </c>
      <c r="AB51" s="717">
        <f t="shared" si="11"/>
        <v>33.297074425964915</v>
      </c>
      <c r="AC51" s="717">
        <f>IFERROR(IF(AND($M51="",$T51=""),"",IF($M51="",IF(X51="",SUM(U51:W51),IF(X51=0,"0",X51)),IF($R51="",SUM($Z51:$AB51),IF($R51=0,"0",$G51*IF($K51="",1,$K51)*$R51)))),"-")</f>
        <v>70566.109931440573</v>
      </c>
      <c r="AD51" s="717" t="str">
        <f>IFERROR(IF(AND($M51="",$T51=""),"",IF($M51="",IF(Y51=0,"-",Y51),IF(S51=0,"0",$G51*IF($K51="",1,$K51)*S51))),"-")</f>
        <v>0</v>
      </c>
      <c r="AE51" s="79" t="s">
        <v>181</v>
      </c>
      <c r="AF51" s="170" t="s">
        <v>181</v>
      </c>
      <c r="AG51" s="612" t="s">
        <v>1285</v>
      </c>
      <c r="AH51" s="545" t="s">
        <v>1219</v>
      </c>
      <c r="AI51" s="604"/>
    </row>
    <row r="52" spans="1:46" s="22" customFormat="1" ht="63">
      <c r="A52" s="52"/>
      <c r="B52" s="75" t="s">
        <v>63</v>
      </c>
      <c r="C52" s="76">
        <v>1</v>
      </c>
      <c r="D52" s="77" t="s">
        <v>619</v>
      </c>
      <c r="E52" s="830" t="s">
        <v>1266</v>
      </c>
      <c r="F52" s="76"/>
      <c r="G52" s="719">
        <v>607.14533061962948</v>
      </c>
      <c r="H52" s="79" t="s">
        <v>913</v>
      </c>
      <c r="I52" s="79"/>
      <c r="J52" s="79"/>
      <c r="K52" s="79"/>
      <c r="L52" s="79" t="s">
        <v>312</v>
      </c>
      <c r="M52" s="750" t="s">
        <v>1160</v>
      </c>
      <c r="N52" s="508" t="str">
        <f>IFERROR(CONCATENATE("tCO2e/",VLOOKUP($M52,'Emission factors'!$C:$H,6,FALSE)),"")</f>
        <v>tCO2e/TJ</v>
      </c>
      <c r="O52" s="508">
        <f>IFERROR(VLOOKUP($M52,'Emission factors'!$C:$BQ,9,FALSE),"")</f>
        <v>74.099999999999994</v>
      </c>
      <c r="P52" s="508">
        <f>IFERROR(VLOOKUP($M52,'Emission factors'!$C:$BQ,12,FALSE),"")</f>
        <v>7.4999999999999997E-2</v>
      </c>
      <c r="Q52" s="508">
        <f>IFERROR(VLOOKUP($M52,'Emission factors'!$C:$BQ,15,FALSE),"")</f>
        <v>0.17879999999999999</v>
      </c>
      <c r="R52" s="508" t="str">
        <f>IFERROR(VLOOKUP($M52,'Emission factors'!$C:$BQ,65,FALSE),"")</f>
        <v/>
      </c>
      <c r="S52" s="508">
        <f>IFERROR(VLOOKUP($M52,'Emission factors'!$C:$BQ,67,FALSE),"")</f>
        <v>0</v>
      </c>
      <c r="T52" s="79"/>
      <c r="U52" s="78"/>
      <c r="V52" s="79"/>
      <c r="W52" s="79"/>
      <c r="X52" s="79"/>
      <c r="Y52" s="79"/>
      <c r="Z52" s="717">
        <f t="shared" ref="Z52:AB54" si="12">IFERROR(IF(AND($M52="",$T52=""),"",IF($M52="",IF(U52=0,"-",U52),IF(O52=0,"0",$G52*IF($K52="",1,$K52)*O52))),"-")</f>
        <v>44989.468998914541</v>
      </c>
      <c r="AA52" s="717">
        <f t="shared" si="12"/>
        <v>45.535899796472208</v>
      </c>
      <c r="AB52" s="717">
        <f t="shared" si="12"/>
        <v>108.55758511478975</v>
      </c>
      <c r="AC52" s="717">
        <f>IFERROR(IF(AND($M52="",$T52=""),"",IF($M52="",IF(X52="",SUM(U52:W52),IF(X52=0,"0",X52)),IF($R52="",SUM($Z52:$AB52),IF($R52=0,"0",$G52*IF($K52="",1,$K52)*$R52)))),"-")</f>
        <v>45143.562483825801</v>
      </c>
      <c r="AD52" s="717" t="str">
        <f>IFERROR(IF(AND($M52="",$T52=""),"",IF($M52="",IF(Y52=0,"-",Y52),IF(S52=0,"0",$G52*IF($K52="",1,$K52)*S52))),"-")</f>
        <v>0</v>
      </c>
      <c r="AE52" s="79" t="s">
        <v>181</v>
      </c>
      <c r="AF52" s="170" t="s">
        <v>181</v>
      </c>
      <c r="AG52" s="612" t="s">
        <v>1285</v>
      </c>
      <c r="AH52" s="545" t="s">
        <v>1219</v>
      </c>
      <c r="AI52" s="604"/>
    </row>
    <row r="53" spans="1:46" s="22" customFormat="1" ht="63">
      <c r="A53" s="52"/>
      <c r="B53" s="75" t="s">
        <v>63</v>
      </c>
      <c r="C53" s="76">
        <v>1</v>
      </c>
      <c r="D53" s="77" t="s">
        <v>595</v>
      </c>
      <c r="E53" s="830" t="s">
        <v>1267</v>
      </c>
      <c r="F53" s="76"/>
      <c r="G53" s="719">
        <v>852.04428750821933</v>
      </c>
      <c r="H53" s="79" t="s">
        <v>913</v>
      </c>
      <c r="I53" s="79"/>
      <c r="J53" s="79"/>
      <c r="K53" s="79"/>
      <c r="L53" s="79" t="s">
        <v>312</v>
      </c>
      <c r="M53" s="750" t="s">
        <v>1261</v>
      </c>
      <c r="N53" s="508" t="str">
        <f>IFERROR(CONCATENATE("tCO2e/",VLOOKUP($M53,'Emission factors'!$C:$H,6,FALSE)),"")</f>
        <v>tCO2e/TJ</v>
      </c>
      <c r="O53" s="508">
        <f>IFERROR(VLOOKUP($M53,'Emission factors'!$C:$BQ,9,FALSE),"")</f>
        <v>77.400000000000006</v>
      </c>
      <c r="P53" s="508">
        <f>IFERROR(VLOOKUP($M53,'Emission factors'!$C:$BQ,12,FALSE),"")</f>
        <v>7.4999999999999997E-2</v>
      </c>
      <c r="Q53" s="508">
        <f>IFERROR(VLOOKUP($M53,'Emission factors'!$C:$BQ,15,FALSE),"")</f>
        <v>0.17879999999999999</v>
      </c>
      <c r="R53" s="508" t="str">
        <f>IFERROR(VLOOKUP($M53,'Emission factors'!$C:$BQ,65,FALSE),"")</f>
        <v/>
      </c>
      <c r="S53" s="508">
        <f>IFERROR(VLOOKUP($M53,'Emission factors'!$C:$BQ,67,FALSE),"")</f>
        <v>0</v>
      </c>
      <c r="T53" s="79"/>
      <c r="U53" s="78"/>
      <c r="V53" s="79"/>
      <c r="W53" s="79"/>
      <c r="X53" s="79"/>
      <c r="Y53" s="79"/>
      <c r="Z53" s="717">
        <f t="shared" si="12"/>
        <v>65948.227853136181</v>
      </c>
      <c r="AA53" s="717">
        <f t="shared" si="12"/>
        <v>63.90332156311645</v>
      </c>
      <c r="AB53" s="717">
        <f t="shared" si="12"/>
        <v>152.3455186064696</v>
      </c>
      <c r="AC53" s="717">
        <f>IFERROR(IF(AND($M53="",$T53=""),"",IF($M53="",IF(X53="",SUM(U53:W53),IF(X53=0,"0",X53)),IF($R53="",SUM($Z53:$AB53),IF($R53=0,"0",$G53*IF($K53="",1,$K53)*$R53)))),"-")</f>
        <v>66164.476693305769</v>
      </c>
      <c r="AD53" s="717" t="str">
        <f>IFERROR(IF(AND($M53="",$T53=""),"",IF($M53="",IF(Y53=0,"-",Y53),IF(S53=0,"0",$G53*IF($K53="",1,$K53)*S53))),"-")</f>
        <v>0</v>
      </c>
      <c r="AE53" s="79" t="s">
        <v>181</v>
      </c>
      <c r="AF53" s="170" t="s">
        <v>181</v>
      </c>
      <c r="AG53" s="612" t="s">
        <v>1285</v>
      </c>
      <c r="AH53" s="545" t="s">
        <v>1219</v>
      </c>
      <c r="AI53" s="604"/>
    </row>
    <row r="54" spans="1:46" s="22" customFormat="1" ht="63">
      <c r="A54" s="52"/>
      <c r="B54" s="75" t="s">
        <v>63</v>
      </c>
      <c r="C54" s="76">
        <v>1</v>
      </c>
      <c r="D54" s="77" t="s">
        <v>590</v>
      </c>
      <c r="E54" s="830" t="s">
        <v>1268</v>
      </c>
      <c r="F54" s="76"/>
      <c r="G54" s="719">
        <v>658.16594663808564</v>
      </c>
      <c r="H54" s="79" t="s">
        <v>913</v>
      </c>
      <c r="I54" s="79"/>
      <c r="J54" s="79"/>
      <c r="K54" s="79"/>
      <c r="L54" s="79" t="s">
        <v>312</v>
      </c>
      <c r="M54" s="750" t="s">
        <v>1232</v>
      </c>
      <c r="N54" s="508" t="str">
        <f>IFERROR(CONCATENATE("tCO2e/",VLOOKUP($M54,'Emission factors'!$C:$H,6,FALSE)),"")</f>
        <v>tCO2e/TJ</v>
      </c>
      <c r="O54" s="508">
        <f>IFERROR(VLOOKUP($M54,'Emission factors'!$C:$BQ,9,FALSE),"")</f>
        <v>0</v>
      </c>
      <c r="P54" s="508">
        <f>IFERROR(VLOOKUP($M54,'Emission factors'!$C:$BQ,12,FALSE),"")</f>
        <v>0.75</v>
      </c>
      <c r="Q54" s="508">
        <f>IFERROR(VLOOKUP($M54,'Emission factors'!$C:$BQ,15,FALSE),"")</f>
        <v>1.1919999999999999</v>
      </c>
      <c r="R54" s="508" t="str">
        <f>IFERROR(VLOOKUP($M54,'Emission factors'!$C:$BQ,65,FALSE),"")</f>
        <v/>
      </c>
      <c r="S54" s="508">
        <f>IFERROR(VLOOKUP($M54,'Emission factors'!$C:$BQ,67,FALSE),"")</f>
        <v>112</v>
      </c>
      <c r="T54" s="79"/>
      <c r="U54" s="78"/>
      <c r="V54" s="79"/>
      <c r="W54" s="79"/>
      <c r="X54" s="79"/>
      <c r="Y54" s="79"/>
      <c r="Z54" s="717" t="str">
        <f t="shared" si="12"/>
        <v>0</v>
      </c>
      <c r="AA54" s="717">
        <f t="shared" si="12"/>
        <v>493.62445997856423</v>
      </c>
      <c r="AB54" s="717">
        <f t="shared" si="12"/>
        <v>784.53380839259808</v>
      </c>
      <c r="AC54" s="717">
        <f>IFERROR(IF(AND($M54="",$T54=""),"",IF($M54="",IF(X54="",SUM(U54:W54),IF(X54=0,"0",X54)),IF($R54="",SUM($Z54:$AB54),IF($R54=0,"0",$G54*IF($K54="",1,$K54)*$R54)))),"-")</f>
        <v>1278.1582683711622</v>
      </c>
      <c r="AD54" s="717">
        <f>IFERROR(IF(AND($M54="",$T54=""),"",IF($M54="",IF(Y54=0,"-",Y54),IF(S54=0,"0",$G54*IF($K54="",1,$K54)*S54))),"-")</f>
        <v>73714.586023465585</v>
      </c>
      <c r="AE54" s="79" t="s">
        <v>181</v>
      </c>
      <c r="AF54" s="170" t="s">
        <v>181</v>
      </c>
      <c r="AG54" s="612" t="s">
        <v>1285</v>
      </c>
      <c r="AH54" s="545" t="s">
        <v>1219</v>
      </c>
      <c r="AI54" s="604"/>
    </row>
    <row r="55" spans="1:46" s="74" customFormat="1">
      <c r="A55" s="22"/>
      <c r="B55" s="82" t="s">
        <v>64</v>
      </c>
      <c r="C55" s="101">
        <v>2</v>
      </c>
      <c r="D55" s="84" t="s">
        <v>54</v>
      </c>
      <c r="E55" s="822"/>
      <c r="F55" s="85"/>
      <c r="G55" s="86"/>
      <c r="H55" s="86"/>
      <c r="I55" s="86"/>
      <c r="J55" s="86"/>
      <c r="K55" s="86"/>
      <c r="L55" s="86"/>
      <c r="M55" s="845"/>
      <c r="N55" s="86"/>
      <c r="O55" s="86"/>
      <c r="P55" s="86"/>
      <c r="Q55" s="86"/>
      <c r="R55" s="86"/>
      <c r="S55" s="86"/>
      <c r="T55" s="86"/>
      <c r="U55" s="678"/>
      <c r="V55" s="86"/>
      <c r="W55" s="86"/>
      <c r="X55" s="86"/>
      <c r="Y55" s="86"/>
      <c r="Z55" s="678"/>
      <c r="AA55" s="678"/>
      <c r="AB55" s="678"/>
      <c r="AC55" s="678"/>
      <c r="AD55" s="678"/>
      <c r="AE55" s="73"/>
      <c r="AF55" s="86"/>
      <c r="AG55" s="546"/>
      <c r="AH55" s="605"/>
      <c r="AI55" s="605"/>
      <c r="AJ55" s="69"/>
      <c r="AK55" s="69"/>
      <c r="AL55" s="69"/>
      <c r="AM55" s="69"/>
      <c r="AN55" s="69"/>
      <c r="AO55" s="69"/>
      <c r="AP55" s="69"/>
      <c r="AQ55" s="69"/>
      <c r="AR55" s="69"/>
      <c r="AS55" s="69"/>
      <c r="AT55" s="69"/>
    </row>
    <row r="56" spans="1:46" s="22" customFormat="1" ht="31.5">
      <c r="B56" s="108" t="s">
        <v>64</v>
      </c>
      <c r="C56" s="79">
        <v>1</v>
      </c>
      <c r="D56" s="104" t="s">
        <v>185</v>
      </c>
      <c r="E56" s="833" t="s">
        <v>1065</v>
      </c>
      <c r="F56" s="76"/>
      <c r="G56" s="719">
        <v>1112075.8970000001</v>
      </c>
      <c r="H56" s="79" t="s">
        <v>1061</v>
      </c>
      <c r="I56" s="79"/>
      <c r="J56" s="79"/>
      <c r="K56" s="79"/>
      <c r="L56" s="79" t="s">
        <v>312</v>
      </c>
      <c r="M56" s="750" t="s">
        <v>1152</v>
      </c>
      <c r="N56" s="508" t="str">
        <f>IFERROR(CONCATENATE("tCO2e/",VLOOKUP($M56,'Emission factors'!$C:$H,6,FALSE)),"")</f>
        <v>tCO2e/MWh</v>
      </c>
      <c r="O56" s="863">
        <f>IFERROR(VLOOKUP($M56,'Emission factors'!$C:$BQ,9,FALSE),"")</f>
        <v>0.33164958450222071</v>
      </c>
      <c r="P56" s="775">
        <f>IFERROR(VLOOKUP($M56,'Emission factors'!$C:$BQ,12,FALSE),"")</f>
        <v>2.0350702395489903E-4</v>
      </c>
      <c r="Q56" s="775">
        <f>IFERROR(VLOOKUP($M56,'Emission factors'!$C:$BQ,15,FALSE),"")</f>
        <v>4.401698135050407E-4</v>
      </c>
      <c r="R56" s="508" t="str">
        <f>IFERROR(VLOOKUP($M56,'Emission factors'!$C:$BQ,65,FALSE),"")</f>
        <v/>
      </c>
      <c r="S56" s="508">
        <f>IFERROR(VLOOKUP($M56,'Emission factors'!$C:$BQ,67,FALSE),"")</f>
        <v>0</v>
      </c>
      <c r="T56" s="79"/>
      <c r="U56" s="78"/>
      <c r="V56" s="79"/>
      <c r="W56" s="79"/>
      <c r="X56" s="79"/>
      <c r="Y56" s="79"/>
      <c r="Z56" s="717">
        <f t="shared" ref="Z56:AB57" si="13">IFERROR(IF(AND($M56="",$T56=""),"",IF($M56="",IF(U56=0,"-",U56),IF(O56=0,"0",$G56*IF($K56="",1,$K56)*O56))),"-")</f>
        <v>368819.50917498441</v>
      </c>
      <c r="AA56" s="717">
        <f t="shared" si="13"/>
        <v>226.31525621044486</v>
      </c>
      <c r="AB56" s="717">
        <f t="shared" si="13"/>
        <v>489.50224018594088</v>
      </c>
      <c r="AC56" s="717">
        <f>IFERROR(IF(AND($M56="",$T56=""),"",IF($M56="",IF(X56="",SUM(U56:W56),IF(X56=0,"0",X56)),IF($R56="",SUM($Z56:$AB56),IF($R56=0,"0",$G56*IF($K56="",1,$K56)*$R56)))),"-")</f>
        <v>369535.32667138078</v>
      </c>
      <c r="AD56" s="677" t="str">
        <f>IFERROR(IF(AND($M56="",$T56=""),"",IF($M56="",IF(Y56=0,"-",Y56),IF(S56=0,"0",$G56*IF($K56="",1,$K56)*S56))),"-")</f>
        <v>0</v>
      </c>
      <c r="AE56" s="79" t="s">
        <v>183</v>
      </c>
      <c r="AF56" s="170" t="s">
        <v>182</v>
      </c>
      <c r="AG56" s="544" t="s">
        <v>1115</v>
      </c>
      <c r="AH56" s="545" t="s">
        <v>1199</v>
      </c>
      <c r="AI56" s="604"/>
    </row>
    <row r="57" spans="1:46" s="22" customFormat="1">
      <c r="A57" s="52"/>
      <c r="B57" s="75" t="s">
        <v>64</v>
      </c>
      <c r="C57" s="76">
        <v>1</v>
      </c>
      <c r="D57" s="104" t="s">
        <v>186</v>
      </c>
      <c r="E57" s="834"/>
      <c r="F57" s="76" t="s">
        <v>177</v>
      </c>
      <c r="G57" s="78"/>
      <c r="H57" s="79"/>
      <c r="I57" s="79"/>
      <c r="J57" s="79"/>
      <c r="K57" s="79"/>
      <c r="L57" s="79"/>
      <c r="M57" s="750"/>
      <c r="N57" s="508" t="str">
        <f>IFERROR(CONCATENATE("tCO2e/",VLOOKUP($M57,'Emission factors'!$C:$H,6,FALSE)),"")</f>
        <v/>
      </c>
      <c r="O57" s="508" t="str">
        <f>IFERROR(VLOOKUP($M57,'Emission factors'!$C:$BQ,9,FALSE),"")</f>
        <v/>
      </c>
      <c r="P57" s="508" t="str">
        <f>IFERROR(VLOOKUP($M57,'Emission factors'!$C:$BQ,12,FALSE),"")</f>
        <v/>
      </c>
      <c r="Q57" s="508" t="str">
        <f>IFERROR(VLOOKUP($M57,'Emission factors'!$C:$BQ,15,FALSE),"")</f>
        <v/>
      </c>
      <c r="R57" s="508" t="str">
        <f>IFERROR(VLOOKUP($M57,'Emission factors'!$C:$BQ,65,FALSE),"")</f>
        <v/>
      </c>
      <c r="S57" s="508" t="str">
        <f>IFERROR(VLOOKUP($M57,'Emission factors'!$C:$BQ,67,FALSE),"")</f>
        <v/>
      </c>
      <c r="T57" s="79"/>
      <c r="U57" s="79"/>
      <c r="V57" s="79"/>
      <c r="W57" s="79"/>
      <c r="X57" s="79"/>
      <c r="Y57" s="79"/>
      <c r="Z57" s="677" t="str">
        <f t="shared" si="13"/>
        <v/>
      </c>
      <c r="AA57" s="677" t="str">
        <f t="shared" si="13"/>
        <v/>
      </c>
      <c r="AB57" s="677" t="str">
        <f t="shared" si="13"/>
        <v/>
      </c>
      <c r="AC57" s="677" t="str">
        <f>IFERROR(IF(AND($M57="",$T57=""),"",IF($M57="",IF(X57="",SUM(U57:W57),IF(X57=0,"0",X57)),IF($R57="",SUM($Z57:$AB57),IF($R57=0,"0",$G57*IF($K57="",1,$K57)*$R57)))),"-")</f>
        <v/>
      </c>
      <c r="AD57" s="677" t="str">
        <f>IFERROR(IF(AND($M57="",$T57=""),"",IF($M57="",IF(Y57=0,"-",Y57),IF(S57=0,"0",$G57*IF($K57="",1,$K57)*S57))),"-")</f>
        <v/>
      </c>
      <c r="AE57" s="79"/>
      <c r="AF57" s="170"/>
      <c r="AG57" s="612" t="s">
        <v>1062</v>
      </c>
      <c r="AH57" s="545"/>
      <c r="AI57" s="604"/>
    </row>
    <row r="58" spans="1:46" s="22" customFormat="1">
      <c r="A58" s="52"/>
      <c r="B58" s="75" t="s">
        <v>64</v>
      </c>
      <c r="C58" s="76">
        <v>1</v>
      </c>
      <c r="D58" s="104" t="s">
        <v>187</v>
      </c>
      <c r="E58" s="834"/>
      <c r="F58" s="76" t="s">
        <v>177</v>
      </c>
      <c r="G58" s="78"/>
      <c r="H58" s="79"/>
      <c r="I58" s="79"/>
      <c r="J58" s="79"/>
      <c r="K58" s="79"/>
      <c r="L58" s="79"/>
      <c r="M58" s="750"/>
      <c r="N58" s="508" t="str">
        <f>IFERROR(CONCATENATE("tCO2e/",VLOOKUP($M58,'Emission factors'!$C:$H,6,FALSE)),"")</f>
        <v/>
      </c>
      <c r="O58" s="508" t="str">
        <f>IFERROR(VLOOKUP($M58,'Emission factors'!$C:$BQ,9,FALSE),"")</f>
        <v/>
      </c>
      <c r="P58" s="508" t="str">
        <f>IFERROR(VLOOKUP($M58,'Emission factors'!$C:$BQ,12,FALSE),"")</f>
        <v/>
      </c>
      <c r="Q58" s="508" t="str">
        <f>IFERROR(VLOOKUP($M58,'Emission factors'!$C:$BQ,15,FALSE),"")</f>
        <v/>
      </c>
      <c r="R58" s="508" t="str">
        <f>IFERROR(VLOOKUP($M58,'Emission factors'!$C:$BQ,65,FALSE),"")</f>
        <v/>
      </c>
      <c r="S58" s="508" t="str">
        <f>IFERROR(VLOOKUP($M58,'Emission factors'!$C:$BQ,67,FALSE),"")</f>
        <v/>
      </c>
      <c r="T58" s="79"/>
      <c r="U58" s="79"/>
      <c r="V58" s="79"/>
      <c r="W58" s="79"/>
      <c r="X58" s="79"/>
      <c r="Y58" s="79"/>
      <c r="Z58" s="677" t="str">
        <f t="shared" ref="Z58:AB59" si="14">IFERROR(IF(AND($M58="",$T58=""),"",IF($M58="",IF(U58=0,"-",U58),IF(O58=0,"0",$G58*IF($K58="",1,$K58)*O58))),"-")</f>
        <v/>
      </c>
      <c r="AA58" s="677" t="str">
        <f t="shared" si="14"/>
        <v/>
      </c>
      <c r="AB58" s="677" t="str">
        <f t="shared" si="14"/>
        <v/>
      </c>
      <c r="AC58" s="677" t="str">
        <f>IFERROR(IF(AND($M58="",$T58=""),"",IF($M58="",IF(X58="",SUM(U58:W58),IF(X58=0,"0",X58)),IF($R58="",SUM($Z58:$AB58),IF($R58=0,"0",$G58*IF($K58="",1,$K58)*$R58)))),"-")</f>
        <v/>
      </c>
      <c r="AD58" s="677" t="str">
        <f>IFERROR(IF(AND($M58="",$T58=""),"",IF($M58="",IF(Y58=0,"-",Y58),IF(S58=0,"0",$G58*IF($K58="",1,$K58)*S58))),"-")</f>
        <v/>
      </c>
      <c r="AE58" s="79"/>
      <c r="AF58" s="170"/>
      <c r="AG58" s="612" t="s">
        <v>1062</v>
      </c>
      <c r="AH58" s="545"/>
      <c r="AI58" s="604"/>
    </row>
    <row r="59" spans="1:46" s="22" customFormat="1">
      <c r="A59" s="52"/>
      <c r="B59" s="75" t="s">
        <v>64</v>
      </c>
      <c r="C59" s="76">
        <v>1</v>
      </c>
      <c r="D59" s="104" t="s">
        <v>188</v>
      </c>
      <c r="E59" s="834"/>
      <c r="F59" s="76" t="s">
        <v>177</v>
      </c>
      <c r="G59" s="78"/>
      <c r="H59" s="79"/>
      <c r="I59" s="79"/>
      <c r="J59" s="79"/>
      <c r="K59" s="79"/>
      <c r="L59" s="79"/>
      <c r="M59" s="750"/>
      <c r="N59" s="508" t="str">
        <f>IFERROR(CONCATENATE("tCO2e/",VLOOKUP($M59,'Emission factors'!$C:$H,6,FALSE)),"")</f>
        <v/>
      </c>
      <c r="O59" s="508" t="str">
        <f>IFERROR(VLOOKUP($M59,'Emission factors'!$C:$BQ,9,FALSE),"")</f>
        <v/>
      </c>
      <c r="P59" s="508" t="str">
        <f>IFERROR(VLOOKUP($M59,'Emission factors'!$C:$BQ,12,FALSE),"")</f>
        <v/>
      </c>
      <c r="Q59" s="508" t="str">
        <f>IFERROR(VLOOKUP($M59,'Emission factors'!$C:$BQ,15,FALSE),"")</f>
        <v/>
      </c>
      <c r="R59" s="508" t="str">
        <f>IFERROR(VLOOKUP($M59,'Emission factors'!$C:$BQ,65,FALSE),"")</f>
        <v/>
      </c>
      <c r="S59" s="508" t="str">
        <f>IFERROR(VLOOKUP($M59,'Emission factors'!$C:$BQ,67,FALSE),"")</f>
        <v/>
      </c>
      <c r="T59" s="79"/>
      <c r="U59" s="79"/>
      <c r="V59" s="79"/>
      <c r="W59" s="79"/>
      <c r="X59" s="79"/>
      <c r="Y59" s="79"/>
      <c r="Z59" s="677" t="str">
        <f t="shared" si="14"/>
        <v/>
      </c>
      <c r="AA59" s="677" t="str">
        <f t="shared" si="14"/>
        <v/>
      </c>
      <c r="AB59" s="677" t="str">
        <f t="shared" si="14"/>
        <v/>
      </c>
      <c r="AC59" s="677" t="str">
        <f>IFERROR(IF(AND($M59="",$T59=""),"",IF($M59="",IF(X59="",SUM(U59:W59),IF(X59=0,"0",X59)),IF($R59="",SUM($Z59:$AB59),IF($R59=0,"0",$G59*IF($K59="",1,$K59)*$R59)))),"-")</f>
        <v/>
      </c>
      <c r="AD59" s="677" t="str">
        <f>IFERROR(IF(AND($M59="",$T59=""),"",IF($M59="",IF(Y59=0,"-",Y59),IF(S59=0,"0",$G59*IF($K59="",1,$K59)*S59))),"-")</f>
        <v/>
      </c>
      <c r="AE59" s="79"/>
      <c r="AF59" s="170"/>
      <c r="AG59" s="612" t="s">
        <v>1062</v>
      </c>
      <c r="AH59" s="545"/>
      <c r="AI59" s="604"/>
    </row>
    <row r="60" spans="1:46" s="74" customFormat="1">
      <c r="A60" s="22"/>
      <c r="B60" s="105" t="s">
        <v>65</v>
      </c>
      <c r="C60" s="106">
        <v>3</v>
      </c>
      <c r="D60" s="90" t="s">
        <v>56</v>
      </c>
      <c r="E60" s="825"/>
      <c r="F60" s="91"/>
      <c r="G60" s="92"/>
      <c r="H60" s="91"/>
      <c r="I60" s="91"/>
      <c r="J60" s="91"/>
      <c r="K60" s="91"/>
      <c r="L60" s="91"/>
      <c r="M60" s="846"/>
      <c r="N60" s="91"/>
      <c r="O60" s="91"/>
      <c r="P60" s="91"/>
      <c r="Q60" s="91"/>
      <c r="R60" s="91"/>
      <c r="S60" s="91"/>
      <c r="T60" s="91"/>
      <c r="U60" s="91"/>
      <c r="V60" s="91"/>
      <c r="W60" s="91"/>
      <c r="X60" s="91"/>
      <c r="Y60" s="91"/>
      <c r="Z60" s="679"/>
      <c r="AA60" s="679"/>
      <c r="AB60" s="679"/>
      <c r="AC60" s="679"/>
      <c r="AD60" s="679"/>
      <c r="AE60" s="91"/>
      <c r="AF60" s="91"/>
      <c r="AG60" s="547"/>
      <c r="AH60" s="606"/>
      <c r="AI60" s="606"/>
      <c r="AJ60" s="69"/>
      <c r="AK60" s="69"/>
      <c r="AL60" s="69"/>
      <c r="AM60" s="69"/>
      <c r="AN60" s="69"/>
      <c r="AO60" s="69"/>
      <c r="AP60" s="69"/>
      <c r="AQ60" s="69"/>
      <c r="AR60" s="69"/>
      <c r="AS60" s="69"/>
      <c r="AT60" s="69"/>
    </row>
    <row r="61" spans="1:46" s="74" customFormat="1" ht="94.5">
      <c r="A61" s="22"/>
      <c r="B61" s="75" t="s">
        <v>65</v>
      </c>
      <c r="C61" s="76">
        <v>1</v>
      </c>
      <c r="D61" s="104" t="s">
        <v>185</v>
      </c>
      <c r="E61" s="826" t="s">
        <v>1256</v>
      </c>
      <c r="F61" s="76"/>
      <c r="G61" s="719">
        <v>148276.77420400002</v>
      </c>
      <c r="H61" s="79" t="s">
        <v>1061</v>
      </c>
      <c r="I61" s="79"/>
      <c r="J61" s="79"/>
      <c r="K61" s="79"/>
      <c r="L61" s="79" t="s">
        <v>312</v>
      </c>
      <c r="M61" s="750" t="s">
        <v>1152</v>
      </c>
      <c r="N61" s="508" t="str">
        <f>IFERROR(CONCATENATE("tCO2e/",VLOOKUP($M61,'Emission factors'!$C:$H,6,FALSE)),"")</f>
        <v>tCO2e/MWh</v>
      </c>
      <c r="O61" s="508">
        <f>IFERROR(VLOOKUP($M61,'Emission factors'!$C:$BQ,9,FALSE),"")</f>
        <v>0.33164958450222071</v>
      </c>
      <c r="P61" s="508">
        <f>IFERROR(VLOOKUP($M61,'Emission factors'!$C:$BQ,12,FALSE),"")</f>
        <v>2.0350702395489903E-4</v>
      </c>
      <c r="Q61" s="508">
        <f>IFERROR(VLOOKUP($M61,'Emission factors'!$C:$BQ,15,FALSE),"")</f>
        <v>4.401698135050407E-4</v>
      </c>
      <c r="R61" s="508" t="str">
        <f>IFERROR(VLOOKUP($M61,'Emission factors'!$C:$BQ,65,FALSE),"")</f>
        <v/>
      </c>
      <c r="S61" s="508">
        <f>IFERROR(VLOOKUP($M61,'Emission factors'!$C:$BQ,67,FALSE),"")</f>
        <v>0</v>
      </c>
      <c r="T61" s="79"/>
      <c r="U61" s="79"/>
      <c r="V61" s="79"/>
      <c r="W61" s="79"/>
      <c r="X61" s="79"/>
      <c r="Y61" s="79"/>
      <c r="Z61" s="717">
        <f t="shared" ref="Z61:AB62" si="15">IFERROR(IF(AND($M61="",$T61=""),"",IF($M61="",IF(U61=0,"-",U61),IF(O61=0,"0",$G61*IF($K61="",1,$K61)*O61))),"-")</f>
        <v>49175.930556086205</v>
      </c>
      <c r="AA61" s="717">
        <f t="shared" si="15"/>
        <v>30.175365039888586</v>
      </c>
      <c r="AB61" s="717">
        <f t="shared" si="15"/>
        <v>65.266960048503719</v>
      </c>
      <c r="AC61" s="717">
        <f>IFERROR(IF(AND($M61="",$T61=""),"",IF($M61="",IF(X61="",SUM(U61:W61),IF(X61=0,"0",X61)),IF($R61="",SUM($Z61:$AB61),IF($R61=0,"0",$G61*IF($K61="",1,$K61)*$R61)))),"-")</f>
        <v>49271.372881174597</v>
      </c>
      <c r="AD61" s="677" t="str">
        <f>IFERROR(IF(AND($M61="",$T61=""),"",IF($M61="",IF(Y61=0,"-",Y61),IF(S61=0,"0",$G61*IF($K61="",1,$K61)*S61))),"-")</f>
        <v>0</v>
      </c>
      <c r="AE61" s="79" t="s">
        <v>182</v>
      </c>
      <c r="AF61" s="170" t="s">
        <v>182</v>
      </c>
      <c r="AG61" s="544" t="s">
        <v>1255</v>
      </c>
      <c r="AH61" s="545" t="s">
        <v>1208</v>
      </c>
      <c r="AI61" s="604"/>
      <c r="AJ61" s="69"/>
      <c r="AK61" s="69"/>
      <c r="AL61" s="69"/>
      <c r="AM61" s="69"/>
      <c r="AN61" s="69"/>
      <c r="AO61" s="69"/>
      <c r="AP61" s="69"/>
      <c r="AQ61" s="69"/>
      <c r="AR61" s="69"/>
      <c r="AS61" s="69"/>
      <c r="AT61" s="69"/>
    </row>
    <row r="62" spans="1:46" s="74" customFormat="1" ht="16.5" thickBot="1">
      <c r="A62" s="52"/>
      <c r="B62" s="107" t="s">
        <v>65</v>
      </c>
      <c r="C62" s="99">
        <v>1</v>
      </c>
      <c r="D62" s="98"/>
      <c r="E62" s="835"/>
      <c r="F62" s="99"/>
      <c r="G62" s="525"/>
      <c r="H62" s="148"/>
      <c r="I62" s="148"/>
      <c r="J62" s="148"/>
      <c r="K62" s="148"/>
      <c r="L62" s="148"/>
      <c r="M62" s="609"/>
      <c r="N62" s="526" t="str">
        <f>IFERROR(CONCATENATE("tCO2e/",VLOOKUP($M62,'Emission factors'!$C:$H,6,FALSE)),"")</f>
        <v/>
      </c>
      <c r="O62" s="526" t="str">
        <f>IFERROR(VLOOKUP($M62,'Emission factors'!$C:$BQ,9,FALSE),"")</f>
        <v/>
      </c>
      <c r="P62" s="526" t="str">
        <f>IFERROR(VLOOKUP($M62,'Emission factors'!$C:$BQ,12,FALSE),"")</f>
        <v/>
      </c>
      <c r="Q62" s="526" t="str">
        <f>IFERROR(VLOOKUP($M62,'Emission factors'!$C:$BQ,15,FALSE),"")</f>
        <v/>
      </c>
      <c r="R62" s="526" t="str">
        <f>IFERROR(VLOOKUP($M62,'Emission factors'!$C:$BQ,65,FALSE),"")</f>
        <v/>
      </c>
      <c r="S62" s="526" t="str">
        <f>IFERROR(VLOOKUP($M62,'Emission factors'!$C:$BQ,67,FALSE),"")</f>
        <v/>
      </c>
      <c r="T62" s="99"/>
      <c r="U62" s="148"/>
      <c r="V62" s="148"/>
      <c r="W62" s="148"/>
      <c r="X62" s="148"/>
      <c r="Y62" s="148"/>
      <c r="Z62" s="680" t="str">
        <f t="shared" si="15"/>
        <v/>
      </c>
      <c r="AA62" s="680" t="str">
        <f t="shared" si="15"/>
        <v/>
      </c>
      <c r="AB62" s="680" t="str">
        <f t="shared" si="15"/>
        <v/>
      </c>
      <c r="AC62" s="680" t="str">
        <f>IFERROR(IF(AND($M62="",$T62=""),"",IF($M62="",IF(X62="",SUM(U62:W62),IF(X62=0,"0",X62)),IF($R62="",SUM($Z62:$AB62),IF($R62=0,"0",$G62*IF($K62="",1,$K62)*$R62)))),"-")</f>
        <v/>
      </c>
      <c r="AD62" s="680" t="str">
        <f>IFERROR(IF(AND($M62="",$T62=""),"",IF($M62="",IF(Y62=0,"-",Y62),IF(S62=0,"0",$G62*IF($K62="",1,$K62)*S62))),"-")</f>
        <v/>
      </c>
      <c r="AE62" s="148"/>
      <c r="AF62" s="600"/>
      <c r="AG62" s="613"/>
      <c r="AH62" s="548"/>
      <c r="AI62" s="607"/>
      <c r="AJ62" s="69"/>
      <c r="AK62" s="69"/>
      <c r="AL62" s="69"/>
      <c r="AM62" s="69"/>
      <c r="AN62" s="69"/>
      <c r="AO62" s="69"/>
      <c r="AP62" s="69"/>
      <c r="AQ62" s="69"/>
      <c r="AR62" s="69"/>
      <c r="AS62" s="69"/>
      <c r="AT62" s="69"/>
    </row>
    <row r="63" spans="1:46" s="24" customFormat="1">
      <c r="B63" s="11"/>
      <c r="C63" s="11"/>
      <c r="D63" s="12"/>
      <c r="E63" s="836"/>
      <c r="F63" s="9"/>
      <c r="G63" s="7"/>
      <c r="H63" s="7"/>
      <c r="I63" s="7"/>
      <c r="J63" s="7"/>
      <c r="K63" s="7"/>
      <c r="L63" s="7"/>
      <c r="M63" s="848"/>
      <c r="N63" s="7"/>
      <c r="O63" s="7"/>
      <c r="P63" s="7"/>
      <c r="Q63" s="7"/>
      <c r="R63" s="7"/>
      <c r="S63" s="7"/>
      <c r="T63" s="7"/>
      <c r="U63" s="7"/>
      <c r="V63" s="7"/>
      <c r="W63" s="7"/>
      <c r="X63" s="7"/>
      <c r="Y63" s="7"/>
      <c r="Z63" s="681"/>
      <c r="AA63" s="681"/>
      <c r="AB63" s="681"/>
      <c r="AC63" s="681"/>
      <c r="AD63" s="681"/>
      <c r="AE63" s="9"/>
      <c r="AF63" s="9"/>
      <c r="AG63" s="614"/>
      <c r="AH63" s="614"/>
      <c r="AI63" s="614"/>
    </row>
    <row r="64" spans="1:46" s="22" customFormat="1" ht="18.75">
      <c r="B64" s="23" t="s">
        <v>233</v>
      </c>
      <c r="C64" s="18"/>
      <c r="D64" s="19"/>
      <c r="E64" s="818"/>
      <c r="F64" s="20"/>
      <c r="G64" s="18"/>
      <c r="H64" s="18"/>
      <c r="I64" s="18"/>
      <c r="J64" s="18"/>
      <c r="K64" s="18"/>
      <c r="L64" s="18"/>
      <c r="M64" s="776"/>
      <c r="N64" s="18"/>
      <c r="O64" s="18"/>
      <c r="P64" s="18"/>
      <c r="Q64" s="18"/>
      <c r="R64" s="18"/>
      <c r="S64" s="18"/>
      <c r="T64" s="18"/>
      <c r="U64" s="18"/>
      <c r="V64" s="18"/>
      <c r="W64" s="18"/>
      <c r="X64" s="18"/>
      <c r="Y64" s="18"/>
      <c r="Z64" s="30"/>
      <c r="AA64" s="30"/>
      <c r="AB64" s="30"/>
      <c r="AC64" s="30"/>
      <c r="AD64" s="30"/>
      <c r="AE64" s="20"/>
      <c r="AF64" s="20"/>
      <c r="AG64" s="611"/>
      <c r="AH64" s="611"/>
      <c r="AI64" s="611"/>
    </row>
    <row r="65" spans="1:46" s="22" customFormat="1" ht="16.5" thickBot="1">
      <c r="B65" s="18"/>
      <c r="C65" s="18"/>
      <c r="D65" s="19"/>
      <c r="E65" s="818"/>
      <c r="F65" s="20"/>
      <c r="G65" s="18"/>
      <c r="H65" s="18"/>
      <c r="I65" s="18"/>
      <c r="J65" s="18"/>
      <c r="K65" s="18"/>
      <c r="L65" s="18"/>
      <c r="M65" s="776"/>
      <c r="N65" s="18"/>
      <c r="O65" s="18"/>
      <c r="P65" s="18"/>
      <c r="Q65" s="18"/>
      <c r="R65" s="18"/>
      <c r="S65" s="18"/>
      <c r="T65" s="18"/>
      <c r="U65" s="18"/>
      <c r="V65" s="18"/>
      <c r="W65" s="18"/>
      <c r="X65" s="18"/>
      <c r="Y65" s="18"/>
      <c r="Z65" s="30"/>
      <c r="AA65" s="30"/>
      <c r="AB65" s="30"/>
      <c r="AC65" s="30"/>
      <c r="AD65" s="30"/>
      <c r="AE65" s="20"/>
      <c r="AF65" s="20"/>
      <c r="AG65" s="611"/>
      <c r="AH65" s="611"/>
      <c r="AI65" s="611"/>
    </row>
    <row r="66" spans="1:46" s="68" customFormat="1" ht="15.95" customHeight="1">
      <c r="A66" s="120"/>
      <c r="B66" s="1139" t="s">
        <v>39</v>
      </c>
      <c r="C66" s="1133" t="s">
        <v>40</v>
      </c>
      <c r="D66" s="1056" t="s">
        <v>245</v>
      </c>
      <c r="E66" s="1144"/>
      <c r="F66" s="1134" t="s">
        <v>300</v>
      </c>
      <c r="G66" s="1141" t="s">
        <v>171</v>
      </c>
      <c r="H66" s="1142"/>
      <c r="I66" s="1130" t="s">
        <v>871</v>
      </c>
      <c r="J66" s="1131"/>
      <c r="K66" s="1132"/>
      <c r="L66" s="1134" t="s">
        <v>305</v>
      </c>
      <c r="M66" s="1063" t="s">
        <v>798</v>
      </c>
      <c r="N66" s="1112" t="s">
        <v>798</v>
      </c>
      <c r="O66" s="1112"/>
      <c r="P66" s="1112"/>
      <c r="Q66" s="1112"/>
      <c r="R66" s="1112"/>
      <c r="S66" s="1113"/>
      <c r="T66" s="1119" t="s">
        <v>967</v>
      </c>
      <c r="U66" s="1114" t="s">
        <v>975</v>
      </c>
      <c r="V66" s="1114"/>
      <c r="W66" s="1114"/>
      <c r="X66" s="1114"/>
      <c r="Y66" s="1114"/>
      <c r="Z66" s="1143" t="s">
        <v>292</v>
      </c>
      <c r="AA66" s="1143"/>
      <c r="AB66" s="1143"/>
      <c r="AC66" s="1143"/>
      <c r="AD66" s="1143"/>
      <c r="AE66" s="1133" t="s">
        <v>43</v>
      </c>
      <c r="AF66" s="1133"/>
      <c r="AG66" s="1128" t="s">
        <v>799</v>
      </c>
      <c r="AH66" s="1073" t="s">
        <v>734</v>
      </c>
      <c r="AI66" s="1126" t="s">
        <v>850</v>
      </c>
      <c r="AJ66" s="67"/>
      <c r="AK66" s="67"/>
      <c r="AL66" s="67"/>
      <c r="AM66" s="67"/>
      <c r="AN66" s="67"/>
      <c r="AO66" s="67"/>
      <c r="AP66" s="67"/>
      <c r="AQ66" s="67"/>
      <c r="AR66" s="67"/>
      <c r="AS66" s="67"/>
      <c r="AT66" s="67"/>
    </row>
    <row r="67" spans="1:46" s="68" customFormat="1" ht="19.5" thickBot="1">
      <c r="A67" s="120"/>
      <c r="B67" s="1140"/>
      <c r="C67" s="1135"/>
      <c r="D67" s="515" t="s">
        <v>246</v>
      </c>
      <c r="E67" s="819" t="s">
        <v>244</v>
      </c>
      <c r="F67" s="1135"/>
      <c r="G67" s="515" t="s">
        <v>172</v>
      </c>
      <c r="H67" s="515" t="s">
        <v>173</v>
      </c>
      <c r="I67" s="528" t="s">
        <v>831</v>
      </c>
      <c r="J67" s="528" t="s">
        <v>832</v>
      </c>
      <c r="K67" s="528" t="s">
        <v>965</v>
      </c>
      <c r="L67" s="1135"/>
      <c r="M67" s="1064"/>
      <c r="N67" s="537" t="s">
        <v>173</v>
      </c>
      <c r="O67" s="538" t="s">
        <v>969</v>
      </c>
      <c r="P67" s="538" t="s">
        <v>970</v>
      </c>
      <c r="Q67" s="538" t="s">
        <v>971</v>
      </c>
      <c r="R67" s="538" t="s">
        <v>972</v>
      </c>
      <c r="S67" s="538" t="s">
        <v>973</v>
      </c>
      <c r="T67" s="1120"/>
      <c r="U67" s="538" t="s">
        <v>969</v>
      </c>
      <c r="V67" s="538" t="s">
        <v>970</v>
      </c>
      <c r="W67" s="538" t="s">
        <v>971</v>
      </c>
      <c r="X67" s="538" t="s">
        <v>972</v>
      </c>
      <c r="Y67" s="538" t="s">
        <v>973</v>
      </c>
      <c r="Z67" s="100" t="s">
        <v>293</v>
      </c>
      <c r="AA67" s="100" t="s">
        <v>294</v>
      </c>
      <c r="AB67" s="100" t="s">
        <v>295</v>
      </c>
      <c r="AC67" s="100" t="s">
        <v>296</v>
      </c>
      <c r="AD67" s="100" t="s">
        <v>297</v>
      </c>
      <c r="AE67" s="515" t="s">
        <v>46</v>
      </c>
      <c r="AF67" s="515" t="s">
        <v>47</v>
      </c>
      <c r="AG67" s="1129"/>
      <c r="AH67" s="1074"/>
      <c r="AI67" s="1127"/>
      <c r="AJ67" s="67"/>
      <c r="AK67" s="67"/>
      <c r="AL67" s="67"/>
      <c r="AM67" s="67"/>
      <c r="AN67" s="67"/>
      <c r="AO67" s="67"/>
      <c r="AP67" s="67"/>
      <c r="AQ67" s="67"/>
      <c r="AR67" s="67"/>
      <c r="AS67" s="67"/>
      <c r="AT67" s="67"/>
    </row>
    <row r="68" spans="1:46" s="74" customFormat="1">
      <c r="A68" s="22"/>
      <c r="B68" s="82" t="s">
        <v>67</v>
      </c>
      <c r="C68" s="101">
        <v>1</v>
      </c>
      <c r="D68" s="84" t="s">
        <v>762</v>
      </c>
      <c r="E68" s="822"/>
      <c r="F68" s="599" t="s">
        <v>178</v>
      </c>
      <c r="G68" s="468"/>
      <c r="H68" s="468"/>
      <c r="I68" s="468"/>
      <c r="J68" s="468"/>
      <c r="K68" s="468"/>
      <c r="L68" s="468"/>
      <c r="M68" s="844"/>
      <c r="N68" s="468"/>
      <c r="O68" s="468"/>
      <c r="P68" s="468"/>
      <c r="Q68" s="468"/>
      <c r="R68" s="468"/>
      <c r="S68" s="468"/>
      <c r="T68" s="468"/>
      <c r="U68" s="468"/>
      <c r="V68" s="468"/>
      <c r="W68" s="468"/>
      <c r="X68" s="468"/>
      <c r="Y68" s="468"/>
      <c r="Z68" s="676"/>
      <c r="AA68" s="676"/>
      <c r="AB68" s="676"/>
      <c r="AC68" s="676"/>
      <c r="AD68" s="676"/>
      <c r="AE68" s="468"/>
      <c r="AF68" s="468"/>
      <c r="AG68" s="885" t="s">
        <v>1312</v>
      </c>
      <c r="AH68" s="603"/>
      <c r="AI68" s="603"/>
      <c r="AJ68" s="69"/>
      <c r="AK68" s="69"/>
      <c r="AL68" s="69"/>
      <c r="AM68" s="69"/>
      <c r="AN68" s="69"/>
      <c r="AO68" s="69"/>
      <c r="AP68" s="69"/>
      <c r="AQ68" s="69"/>
      <c r="AR68" s="69"/>
      <c r="AS68" s="69"/>
      <c r="AT68" s="69"/>
    </row>
    <row r="69" spans="1:46" s="22" customFormat="1">
      <c r="B69" s="108" t="s">
        <v>67</v>
      </c>
      <c r="C69" s="79">
        <v>1</v>
      </c>
      <c r="D69" s="77"/>
      <c r="E69" s="833"/>
      <c r="F69" s="76"/>
      <c r="G69" s="78"/>
      <c r="H69" s="79"/>
      <c r="I69" s="79"/>
      <c r="J69" s="79"/>
      <c r="K69" s="79"/>
      <c r="L69" s="79"/>
      <c r="M69" s="750"/>
      <c r="N69" s="508" t="str">
        <f>IFERROR(CONCATENATE("tCO2e/",VLOOKUP($M69,'Emission factors'!$C:$H,6,FALSE)),"")</f>
        <v/>
      </c>
      <c r="O69" s="508" t="str">
        <f>IFERROR(VLOOKUP($M69,'Emission factors'!$C:$BQ,9,FALSE),"")</f>
        <v/>
      </c>
      <c r="P69" s="508" t="str">
        <f>IFERROR(VLOOKUP($M69,'Emission factors'!$C:$BQ,12,FALSE),"")</f>
        <v/>
      </c>
      <c r="Q69" s="508" t="str">
        <f>IFERROR(VLOOKUP($M69,'Emission factors'!$C:$BQ,15,FALSE),"")</f>
        <v/>
      </c>
      <c r="R69" s="508" t="str">
        <f>IFERROR(VLOOKUP($M69,'Emission factors'!$C:$BQ,65,FALSE),"")</f>
        <v/>
      </c>
      <c r="S69" s="508" t="str">
        <f>IFERROR(VLOOKUP($M69,'Emission factors'!$C:$BQ,67,FALSE),"")</f>
        <v/>
      </c>
      <c r="T69" s="79"/>
      <c r="U69" s="79"/>
      <c r="V69" s="79"/>
      <c r="W69" s="79"/>
      <c r="X69" s="79"/>
      <c r="Y69" s="79"/>
      <c r="Z69" s="677" t="str">
        <f t="shared" ref="Z69:AB70" si="16">IFERROR(IF(AND($M69="",$T69=""),"",IF($M69="",IF(U69=0,"-",U69),IF(O69=0,"0",$G69*IF($K69="",1,$K69)*O69))),"-")</f>
        <v/>
      </c>
      <c r="AA69" s="677" t="str">
        <f t="shared" si="16"/>
        <v/>
      </c>
      <c r="AB69" s="677" t="str">
        <f t="shared" si="16"/>
        <v/>
      </c>
      <c r="AC69" s="677" t="str">
        <f t="shared" ref="AC69:AC74" si="17">IFERROR(IF(AND($M69="",$T69=""),"",IF($M69="",IF(X69="",SUM(U69:W69),IF(X69=0,"0",X69)),IF($R69="",SUM($Z69:$AB69),IF($R69=0,"0",$G69*IF($K69="",1,$K69)*$R69)))),"-")</f>
        <v/>
      </c>
      <c r="AD69" s="677" t="str">
        <f t="shared" ref="AD69:AD74" si="18">IFERROR(IF(AND($M69="",$T69=""),"",IF($M69="",IF(Y69=0,"-",Y69),IF(S69=0,"0",$G69*IF($K69="",1,$K69)*S69))),"-")</f>
        <v/>
      </c>
      <c r="AE69" s="79"/>
      <c r="AF69" s="170"/>
      <c r="AG69" s="544"/>
      <c r="AH69" s="545"/>
      <c r="AI69" s="604"/>
    </row>
    <row r="70" spans="1:46" s="22" customFormat="1">
      <c r="A70" s="52"/>
      <c r="B70" s="75" t="s">
        <v>67</v>
      </c>
      <c r="C70" s="76">
        <v>1</v>
      </c>
      <c r="D70" s="77"/>
      <c r="E70" s="834"/>
      <c r="F70" s="76"/>
      <c r="G70" s="78"/>
      <c r="H70" s="79"/>
      <c r="I70" s="79"/>
      <c r="J70" s="79"/>
      <c r="K70" s="79"/>
      <c r="L70" s="79"/>
      <c r="M70" s="750"/>
      <c r="N70" s="508" t="str">
        <f>IFERROR(CONCATENATE("tCO2e/",VLOOKUP($M70,'Emission factors'!$C:$H,6,FALSE)),"")</f>
        <v/>
      </c>
      <c r="O70" s="508" t="str">
        <f>IFERROR(VLOOKUP($M70,'Emission factors'!$C:$BQ,9,FALSE),"")</f>
        <v/>
      </c>
      <c r="P70" s="508" t="str">
        <f>IFERROR(VLOOKUP($M70,'Emission factors'!$C:$BQ,12,FALSE),"")</f>
        <v/>
      </c>
      <c r="Q70" s="508" t="str">
        <f>IFERROR(VLOOKUP($M70,'Emission factors'!$C:$BQ,15,FALSE),"")</f>
        <v/>
      </c>
      <c r="R70" s="508" t="str">
        <f>IFERROR(VLOOKUP($M70,'Emission factors'!$C:$BQ,65,FALSE),"")</f>
        <v/>
      </c>
      <c r="S70" s="508" t="str">
        <f>IFERROR(VLOOKUP($M70,'Emission factors'!$C:$BQ,67,FALSE),"")</f>
        <v/>
      </c>
      <c r="T70" s="79"/>
      <c r="U70" s="79"/>
      <c r="V70" s="79"/>
      <c r="W70" s="79"/>
      <c r="X70" s="79"/>
      <c r="Y70" s="79"/>
      <c r="Z70" s="677" t="str">
        <f t="shared" si="16"/>
        <v/>
      </c>
      <c r="AA70" s="677" t="str">
        <f t="shared" si="16"/>
        <v/>
      </c>
      <c r="AB70" s="677" t="str">
        <f t="shared" si="16"/>
        <v/>
      </c>
      <c r="AC70" s="677" t="str">
        <f t="shared" si="17"/>
        <v/>
      </c>
      <c r="AD70" s="677" t="str">
        <f t="shared" si="18"/>
        <v/>
      </c>
      <c r="AE70" s="79"/>
      <c r="AF70" s="170"/>
      <c r="AG70" s="707"/>
      <c r="AH70" s="545"/>
      <c r="AI70" s="604"/>
    </row>
    <row r="71" spans="1:46" s="22" customFormat="1">
      <c r="A71" s="52"/>
      <c r="B71" s="75"/>
      <c r="C71" s="76"/>
      <c r="D71" s="77"/>
      <c r="E71" s="834"/>
      <c r="F71" s="76"/>
      <c r="G71" s="78"/>
      <c r="H71" s="79"/>
      <c r="I71" s="79"/>
      <c r="J71" s="79"/>
      <c r="K71" s="79"/>
      <c r="L71" s="79"/>
      <c r="M71" s="750"/>
      <c r="N71" s="508" t="str">
        <f>IFERROR(CONCATENATE("tCO2e/",VLOOKUP($M71,'Emission factors'!$C:$H,6,FALSE)),"")</f>
        <v/>
      </c>
      <c r="O71" s="508" t="str">
        <f>IFERROR(VLOOKUP($M71,'Emission factors'!$C:$BQ,9,FALSE),"")</f>
        <v/>
      </c>
      <c r="P71" s="508" t="str">
        <f>IFERROR(VLOOKUP($M71,'Emission factors'!$C:$BQ,12,FALSE),"")</f>
        <v/>
      </c>
      <c r="Q71" s="508" t="str">
        <f>IFERROR(VLOOKUP($M71,'Emission factors'!$C:$BQ,15,FALSE),"")</f>
        <v/>
      </c>
      <c r="R71" s="508" t="str">
        <f>IFERROR(VLOOKUP($M71,'Emission factors'!$C:$BQ,65,FALSE),"")</f>
        <v/>
      </c>
      <c r="S71" s="508" t="str">
        <f>IFERROR(VLOOKUP($M71,'Emission factors'!$C:$BQ,67,FALSE),"")</f>
        <v/>
      </c>
      <c r="T71" s="79"/>
      <c r="U71" s="79"/>
      <c r="V71" s="79"/>
      <c r="W71" s="79"/>
      <c r="X71" s="79"/>
      <c r="Y71" s="79"/>
      <c r="Z71" s="677" t="str">
        <f t="shared" ref="Z71:AB74" si="19">IFERROR(IF(AND($M71="",$T71=""),"",IF($M71="",IF(U71=0,"-",U71),IF(O71=0,"0",$G71*IF($K71="",1,$K71)*O71))),"-")</f>
        <v/>
      </c>
      <c r="AA71" s="677" t="str">
        <f t="shared" si="19"/>
        <v/>
      </c>
      <c r="AB71" s="677" t="str">
        <f t="shared" si="19"/>
        <v/>
      </c>
      <c r="AC71" s="677" t="str">
        <f t="shared" si="17"/>
        <v/>
      </c>
      <c r="AD71" s="677" t="str">
        <f t="shared" si="18"/>
        <v/>
      </c>
      <c r="AE71" s="79"/>
      <c r="AF71" s="170"/>
      <c r="AG71" s="707"/>
      <c r="AH71" s="545"/>
      <c r="AI71" s="604"/>
    </row>
    <row r="72" spans="1:46" s="22" customFormat="1">
      <c r="A72" s="52"/>
      <c r="B72" s="75"/>
      <c r="C72" s="76"/>
      <c r="D72" s="77"/>
      <c r="E72" s="834"/>
      <c r="F72" s="76"/>
      <c r="G72" s="78"/>
      <c r="H72" s="79"/>
      <c r="I72" s="79"/>
      <c r="J72" s="79"/>
      <c r="K72" s="79"/>
      <c r="L72" s="79"/>
      <c r="M72" s="750"/>
      <c r="N72" s="508" t="str">
        <f>IFERROR(CONCATENATE("tCO2e/",VLOOKUP($M72,'Emission factors'!$C:$H,6,FALSE)),"")</f>
        <v/>
      </c>
      <c r="O72" s="508" t="str">
        <f>IFERROR(VLOOKUP($M72,'Emission factors'!$C:$BQ,9,FALSE),"")</f>
        <v/>
      </c>
      <c r="P72" s="508" t="str">
        <f>IFERROR(VLOOKUP($M72,'Emission factors'!$C:$BQ,12,FALSE),"")</f>
        <v/>
      </c>
      <c r="Q72" s="508" t="str">
        <f>IFERROR(VLOOKUP($M72,'Emission factors'!$C:$BQ,15,FALSE),"")</f>
        <v/>
      </c>
      <c r="R72" s="508" t="str">
        <f>IFERROR(VLOOKUP($M72,'Emission factors'!$C:$BQ,65,FALSE),"")</f>
        <v/>
      </c>
      <c r="S72" s="508" t="str">
        <f>IFERROR(VLOOKUP($M72,'Emission factors'!$C:$BQ,67,FALSE),"")</f>
        <v/>
      </c>
      <c r="T72" s="79"/>
      <c r="U72" s="79"/>
      <c r="V72" s="79"/>
      <c r="W72" s="79"/>
      <c r="X72" s="79"/>
      <c r="Y72" s="79"/>
      <c r="Z72" s="677" t="str">
        <f t="shared" si="19"/>
        <v/>
      </c>
      <c r="AA72" s="677" t="str">
        <f t="shared" si="19"/>
        <v/>
      </c>
      <c r="AB72" s="677" t="str">
        <f t="shared" si="19"/>
        <v/>
      </c>
      <c r="AC72" s="677" t="str">
        <f t="shared" si="17"/>
        <v/>
      </c>
      <c r="AD72" s="677" t="str">
        <f t="shared" si="18"/>
        <v/>
      </c>
      <c r="AE72" s="79"/>
      <c r="AF72" s="170"/>
      <c r="AG72" s="707"/>
      <c r="AH72" s="545"/>
      <c r="AI72" s="604"/>
    </row>
    <row r="73" spans="1:46" s="22" customFormat="1">
      <c r="A73" s="52"/>
      <c r="B73" s="75"/>
      <c r="C73" s="76"/>
      <c r="D73" s="77"/>
      <c r="E73" s="834"/>
      <c r="F73" s="76"/>
      <c r="G73" s="78"/>
      <c r="H73" s="79"/>
      <c r="I73" s="79"/>
      <c r="J73" s="79"/>
      <c r="K73" s="79"/>
      <c r="L73" s="79"/>
      <c r="M73" s="750"/>
      <c r="N73" s="508" t="str">
        <f>IFERROR(CONCATENATE("tCO2e/",VLOOKUP($M73,'Emission factors'!$C:$H,6,FALSE)),"")</f>
        <v/>
      </c>
      <c r="O73" s="508" t="str">
        <f>IFERROR(VLOOKUP($M73,'Emission factors'!$C:$BQ,9,FALSE),"")</f>
        <v/>
      </c>
      <c r="P73" s="508" t="str">
        <f>IFERROR(VLOOKUP($M73,'Emission factors'!$C:$BQ,12,FALSE),"")</f>
        <v/>
      </c>
      <c r="Q73" s="508" t="str">
        <f>IFERROR(VLOOKUP($M73,'Emission factors'!$C:$BQ,15,FALSE),"")</f>
        <v/>
      </c>
      <c r="R73" s="508" t="str">
        <f>IFERROR(VLOOKUP($M73,'Emission factors'!$C:$BQ,65,FALSE),"")</f>
        <v/>
      </c>
      <c r="S73" s="508" t="str">
        <f>IFERROR(VLOOKUP($M73,'Emission factors'!$C:$BQ,67,FALSE),"")</f>
        <v/>
      </c>
      <c r="T73" s="79"/>
      <c r="U73" s="79"/>
      <c r="V73" s="79"/>
      <c r="W73" s="79"/>
      <c r="X73" s="79"/>
      <c r="Y73" s="79"/>
      <c r="Z73" s="677" t="str">
        <f t="shared" si="19"/>
        <v/>
      </c>
      <c r="AA73" s="677" t="str">
        <f t="shared" si="19"/>
        <v/>
      </c>
      <c r="AB73" s="677" t="str">
        <f t="shared" si="19"/>
        <v/>
      </c>
      <c r="AC73" s="677" t="str">
        <f t="shared" si="17"/>
        <v/>
      </c>
      <c r="AD73" s="677" t="str">
        <f t="shared" si="18"/>
        <v/>
      </c>
      <c r="AE73" s="79"/>
      <c r="AF73" s="170"/>
      <c r="AG73" s="707"/>
      <c r="AH73" s="545"/>
      <c r="AI73" s="604"/>
    </row>
    <row r="74" spans="1:46" s="22" customFormat="1">
      <c r="A74" s="52"/>
      <c r="B74" s="75"/>
      <c r="C74" s="76"/>
      <c r="D74" s="77"/>
      <c r="E74" s="834"/>
      <c r="F74" s="76"/>
      <c r="G74" s="78"/>
      <c r="H74" s="79"/>
      <c r="I74" s="79"/>
      <c r="J74" s="79"/>
      <c r="K74" s="79"/>
      <c r="L74" s="79"/>
      <c r="M74" s="750"/>
      <c r="N74" s="508" t="str">
        <f>IFERROR(CONCATENATE("tCO2e/",VLOOKUP($M74,'Emission factors'!$C:$H,6,FALSE)),"")</f>
        <v/>
      </c>
      <c r="O74" s="508" t="str">
        <f>IFERROR(VLOOKUP($M74,'Emission factors'!$C:$BQ,9,FALSE),"")</f>
        <v/>
      </c>
      <c r="P74" s="508" t="str">
        <f>IFERROR(VLOOKUP($M74,'Emission factors'!$C:$BQ,12,FALSE),"")</f>
        <v/>
      </c>
      <c r="Q74" s="508" t="str">
        <f>IFERROR(VLOOKUP($M74,'Emission factors'!$C:$BQ,15,FALSE),"")</f>
        <v/>
      </c>
      <c r="R74" s="508" t="str">
        <f>IFERROR(VLOOKUP($M74,'Emission factors'!$C:$BQ,65,FALSE),"")</f>
        <v/>
      </c>
      <c r="S74" s="508" t="str">
        <f>IFERROR(VLOOKUP($M74,'Emission factors'!$C:$BQ,67,FALSE),"")</f>
        <v/>
      </c>
      <c r="T74" s="79"/>
      <c r="U74" s="79"/>
      <c r="V74" s="79"/>
      <c r="W74" s="79"/>
      <c r="X74" s="79"/>
      <c r="Y74" s="79"/>
      <c r="Z74" s="677" t="str">
        <f t="shared" si="19"/>
        <v/>
      </c>
      <c r="AA74" s="677" t="str">
        <f t="shared" si="19"/>
        <v/>
      </c>
      <c r="AB74" s="677" t="str">
        <f t="shared" si="19"/>
        <v/>
      </c>
      <c r="AC74" s="677" t="str">
        <f t="shared" si="17"/>
        <v/>
      </c>
      <c r="AD74" s="677" t="str">
        <f t="shared" si="18"/>
        <v/>
      </c>
      <c r="AE74" s="79"/>
      <c r="AF74" s="170"/>
      <c r="AG74" s="707"/>
      <c r="AH74" s="545"/>
      <c r="AI74" s="604"/>
    </row>
    <row r="75" spans="1:46" s="74" customFormat="1">
      <c r="A75" s="22"/>
      <c r="B75" s="82" t="s">
        <v>69</v>
      </c>
      <c r="C75" s="101">
        <v>2</v>
      </c>
      <c r="D75" s="84" t="s">
        <v>763</v>
      </c>
      <c r="E75" s="822"/>
      <c r="F75" s="85" t="s">
        <v>178</v>
      </c>
      <c r="G75" s="86"/>
      <c r="H75" s="86"/>
      <c r="I75" s="86"/>
      <c r="J75" s="86"/>
      <c r="K75" s="86"/>
      <c r="L75" s="86"/>
      <c r="M75" s="845"/>
      <c r="N75" s="86"/>
      <c r="O75" s="86"/>
      <c r="P75" s="86"/>
      <c r="Q75" s="86"/>
      <c r="R75" s="86"/>
      <c r="S75" s="86"/>
      <c r="T75" s="86"/>
      <c r="U75" s="86"/>
      <c r="V75" s="86"/>
      <c r="W75" s="86"/>
      <c r="X75" s="86"/>
      <c r="Y75" s="86"/>
      <c r="Z75" s="678"/>
      <c r="AA75" s="678"/>
      <c r="AB75" s="678"/>
      <c r="AC75" s="678"/>
      <c r="AD75" s="678"/>
      <c r="AE75" s="73"/>
      <c r="AF75" s="86"/>
      <c r="AG75" s="886" t="s">
        <v>1313</v>
      </c>
      <c r="AH75" s="605"/>
      <c r="AI75" s="605"/>
      <c r="AJ75" s="69"/>
      <c r="AK75" s="69"/>
      <c r="AL75" s="69"/>
      <c r="AM75" s="69"/>
      <c r="AN75" s="69"/>
      <c r="AO75" s="69"/>
      <c r="AP75" s="69"/>
      <c r="AQ75" s="69"/>
      <c r="AR75" s="69"/>
      <c r="AS75" s="69"/>
      <c r="AT75" s="69"/>
    </row>
    <row r="76" spans="1:46" s="22" customFormat="1">
      <c r="B76" s="108" t="s">
        <v>69</v>
      </c>
      <c r="C76" s="79">
        <v>2</v>
      </c>
      <c r="D76" s="104"/>
      <c r="E76" s="833"/>
      <c r="F76" s="76"/>
      <c r="G76" s="78"/>
      <c r="H76" s="79"/>
      <c r="I76" s="79"/>
      <c r="J76" s="79"/>
      <c r="K76" s="79"/>
      <c r="L76" s="79"/>
      <c r="M76" s="750"/>
      <c r="N76" s="508" t="str">
        <f>IFERROR(CONCATENATE("tCO2e/",VLOOKUP($M76,'Emission factors'!$C:$H,6,FALSE)),"")</f>
        <v/>
      </c>
      <c r="O76" s="508" t="str">
        <f>IFERROR(VLOOKUP($M76,'Emission factors'!$C:$BQ,9,FALSE),"")</f>
        <v/>
      </c>
      <c r="P76" s="508" t="str">
        <f>IFERROR(VLOOKUP($M76,'Emission factors'!$C:$BQ,12,FALSE),"")</f>
        <v/>
      </c>
      <c r="Q76" s="508" t="str">
        <f>IFERROR(VLOOKUP($M76,'Emission factors'!$C:$BQ,15,FALSE),"")</f>
        <v/>
      </c>
      <c r="R76" s="508" t="str">
        <f>IFERROR(VLOOKUP($M76,'Emission factors'!$C:$BQ,65,FALSE),"")</f>
        <v/>
      </c>
      <c r="S76" s="508" t="str">
        <f>IFERROR(VLOOKUP($M76,'Emission factors'!$C:$BQ,67,FALSE),"")</f>
        <v/>
      </c>
      <c r="T76" s="79"/>
      <c r="U76" s="79"/>
      <c r="V76" s="79"/>
      <c r="W76" s="79"/>
      <c r="X76" s="79"/>
      <c r="Y76" s="79"/>
      <c r="Z76" s="677" t="str">
        <f t="shared" ref="Z76:AB77" si="20">IFERROR(IF(AND($M76="",$T76=""),"",IF($M76="",IF(U76=0,"-",U76),IF(O76=0,"0",$G76*IF($K76="",1,$K76)*O76))),"-")</f>
        <v/>
      </c>
      <c r="AA76" s="677" t="str">
        <f t="shared" si="20"/>
        <v/>
      </c>
      <c r="AB76" s="677" t="str">
        <f t="shared" si="20"/>
        <v/>
      </c>
      <c r="AC76" s="677" t="str">
        <f>IFERROR(IF(AND($M76="",$T76=""),"",IF($M76="",IF(X76="",SUM(U76:W76),IF(X76=0,"0",X76)),IF($R76="",SUM($Z76:$AB76),IF($R76=0,"0",$G76*IF($K76="",1,$K76)*$R76)))),"-")</f>
        <v/>
      </c>
      <c r="AD76" s="677" t="str">
        <f>IFERROR(IF(AND($M76="",$T76=""),"",IF($M76="",IF(Y76=0,"-",Y76),IF(S76=0,"0",$G76*IF($K76="",1,$K76)*S76))),"-")</f>
        <v/>
      </c>
      <c r="AE76" s="79"/>
      <c r="AF76" s="170"/>
      <c r="AG76" s="544"/>
      <c r="AH76" s="545"/>
      <c r="AI76" s="604"/>
    </row>
    <row r="77" spans="1:46" s="22" customFormat="1">
      <c r="A77" s="52"/>
      <c r="B77" s="75" t="s">
        <v>69</v>
      </c>
      <c r="C77" s="76">
        <v>2</v>
      </c>
      <c r="D77" s="104"/>
      <c r="E77" s="834"/>
      <c r="F77" s="76"/>
      <c r="G77" s="78"/>
      <c r="H77" s="79"/>
      <c r="I77" s="79"/>
      <c r="J77" s="79"/>
      <c r="K77" s="79"/>
      <c r="L77" s="79"/>
      <c r="M77" s="750"/>
      <c r="N77" s="508" t="str">
        <f>IFERROR(CONCATENATE("tCO2e/",VLOOKUP($M77,'Emission factors'!$C:$H,6,FALSE)),"")</f>
        <v/>
      </c>
      <c r="O77" s="508" t="str">
        <f>IFERROR(VLOOKUP($M77,'Emission factors'!$C:$BQ,9,FALSE),"")</f>
        <v/>
      </c>
      <c r="P77" s="508" t="str">
        <f>IFERROR(VLOOKUP($M77,'Emission factors'!$C:$BQ,12,FALSE),"")</f>
        <v/>
      </c>
      <c r="Q77" s="508" t="str">
        <f>IFERROR(VLOOKUP($M77,'Emission factors'!$C:$BQ,15,FALSE),"")</f>
        <v/>
      </c>
      <c r="R77" s="508" t="str">
        <f>IFERROR(VLOOKUP($M77,'Emission factors'!$C:$BQ,65,FALSE),"")</f>
        <v/>
      </c>
      <c r="S77" s="508" t="str">
        <f>IFERROR(VLOOKUP($M77,'Emission factors'!$C:$BQ,67,FALSE),"")</f>
        <v/>
      </c>
      <c r="T77" s="79"/>
      <c r="U77" s="79"/>
      <c r="V77" s="79"/>
      <c r="W77" s="79"/>
      <c r="X77" s="79"/>
      <c r="Y77" s="79"/>
      <c r="Z77" s="677" t="str">
        <f t="shared" si="20"/>
        <v/>
      </c>
      <c r="AA77" s="677" t="str">
        <f t="shared" si="20"/>
        <v/>
      </c>
      <c r="AB77" s="677" t="str">
        <f t="shared" si="20"/>
        <v/>
      </c>
      <c r="AC77" s="677" t="str">
        <f>IFERROR(IF(AND($M77="",$T77=""),"",IF($M77="",IF(X77="",SUM(U77:W77),IF(X77=0,"0",X77)),IF($R77="",SUM($Z77:$AB77),IF($R77=0,"0",$G77*IF($K77="",1,$K77)*$R77)))),"-")</f>
        <v/>
      </c>
      <c r="AD77" s="677" t="str">
        <f>IFERROR(IF(AND($M77="",$T77=""),"",IF($M77="",IF(Y77=0,"-",Y77),IF(S77=0,"0",$G77*IF($K77="",1,$K77)*S77))),"-")</f>
        <v/>
      </c>
      <c r="AE77" s="79"/>
      <c r="AF77" s="170"/>
      <c r="AG77" s="612"/>
      <c r="AH77" s="545"/>
      <c r="AI77" s="604"/>
    </row>
    <row r="78" spans="1:46" s="74" customFormat="1">
      <c r="A78" s="22"/>
      <c r="B78" s="105" t="s">
        <v>71</v>
      </c>
      <c r="C78" s="106">
        <v>3</v>
      </c>
      <c r="D78" s="90" t="s">
        <v>72</v>
      </c>
      <c r="E78" s="825"/>
      <c r="F78" s="91" t="s">
        <v>178</v>
      </c>
      <c r="G78" s="92"/>
      <c r="H78" s="91"/>
      <c r="I78" s="91"/>
      <c r="J78" s="91"/>
      <c r="K78" s="91"/>
      <c r="L78" s="91"/>
      <c r="M78" s="846"/>
      <c r="N78" s="91"/>
      <c r="O78" s="91"/>
      <c r="P78" s="91"/>
      <c r="Q78" s="91"/>
      <c r="R78" s="91"/>
      <c r="S78" s="91"/>
      <c r="T78" s="91"/>
      <c r="U78" s="91"/>
      <c r="V78" s="91"/>
      <c r="W78" s="91"/>
      <c r="X78" s="91"/>
      <c r="Y78" s="91"/>
      <c r="Z78" s="679"/>
      <c r="AA78" s="679"/>
      <c r="AB78" s="679"/>
      <c r="AC78" s="679"/>
      <c r="AD78" s="679"/>
      <c r="AE78" s="91"/>
      <c r="AF78" s="91"/>
      <c r="AG78" s="887" t="s">
        <v>1314</v>
      </c>
      <c r="AH78" s="606"/>
      <c r="AI78" s="606"/>
      <c r="AJ78" s="69"/>
      <c r="AK78" s="69"/>
      <c r="AL78" s="69"/>
      <c r="AM78" s="69"/>
      <c r="AN78" s="69"/>
      <c r="AO78" s="69"/>
      <c r="AP78" s="69"/>
      <c r="AQ78" s="69"/>
      <c r="AR78" s="69"/>
      <c r="AS78" s="69"/>
      <c r="AT78" s="69"/>
    </row>
    <row r="79" spans="1:46" s="22" customFormat="1">
      <c r="B79" s="108" t="s">
        <v>71</v>
      </c>
      <c r="C79" s="79">
        <v>3</v>
      </c>
      <c r="D79" s="104" t="s">
        <v>185</v>
      </c>
      <c r="E79" s="833"/>
      <c r="F79" s="76"/>
      <c r="G79" s="78"/>
      <c r="H79" s="79"/>
      <c r="I79" s="79"/>
      <c r="J79" s="79"/>
      <c r="K79" s="79"/>
      <c r="L79" s="79"/>
      <c r="M79" s="750"/>
      <c r="N79" s="508" t="str">
        <f>IFERROR(CONCATENATE("tCO2e/",VLOOKUP($M79,'Emission factors'!$C:$H,6,FALSE)),"")</f>
        <v/>
      </c>
      <c r="O79" s="508" t="str">
        <f>IFERROR(VLOOKUP($M79,'Emission factors'!$C:$BQ,9,FALSE),"")</f>
        <v/>
      </c>
      <c r="P79" s="508" t="str">
        <f>IFERROR(VLOOKUP($M79,'Emission factors'!$C:$BQ,12,FALSE),"")</f>
        <v/>
      </c>
      <c r="Q79" s="508" t="str">
        <f>IFERROR(VLOOKUP($M79,'Emission factors'!$C:$BQ,15,FALSE),"")</f>
        <v/>
      </c>
      <c r="R79" s="508" t="str">
        <f>IFERROR(VLOOKUP($M79,'Emission factors'!$C:$BQ,65,FALSE),"")</f>
        <v/>
      </c>
      <c r="S79" s="508" t="str">
        <f>IFERROR(VLOOKUP($M79,'Emission factors'!$C:$BQ,67,FALSE),"")</f>
        <v/>
      </c>
      <c r="T79" s="79"/>
      <c r="U79" s="79"/>
      <c r="V79" s="79"/>
      <c r="W79" s="79"/>
      <c r="X79" s="79"/>
      <c r="Y79" s="79"/>
      <c r="Z79" s="677" t="str">
        <f t="shared" ref="Z79:AB80" si="21">IFERROR(IF(AND($M79="",$T79=""),"",IF($M79="",IF(U79=0,"-",U79),IF(O79=0,"0",$G79*IF($K79="",1,$K79)*O79))),"-")</f>
        <v/>
      </c>
      <c r="AA79" s="677" t="str">
        <f t="shared" si="21"/>
        <v/>
      </c>
      <c r="AB79" s="677" t="str">
        <f t="shared" si="21"/>
        <v/>
      </c>
      <c r="AC79" s="677" t="str">
        <f>IFERROR(IF(AND($M79="",$T79=""),"",IF($M79="",IF(X79="",SUM(U79:W79),IF(X79=0,"0",X79)),IF($R79="",SUM($Z79:$AB79),IF($R79=0,"0",$G79*IF($K79="",1,$K79)*$R79)))),"-")</f>
        <v/>
      </c>
      <c r="AD79" s="677" t="str">
        <f>IFERROR(IF(AND($M79="",$T79=""),"",IF($M79="",IF(Y79=0,"-",Y79),IF(S79=0,"0",$G79*IF($K79="",1,$K79)*S79))),"-")</f>
        <v/>
      </c>
      <c r="AE79" s="79"/>
      <c r="AF79" s="170"/>
      <c r="AG79" s="544"/>
      <c r="AH79" s="545"/>
      <c r="AI79" s="604"/>
    </row>
    <row r="80" spans="1:46" s="22" customFormat="1">
      <c r="A80" s="52"/>
      <c r="B80" s="75" t="s">
        <v>71</v>
      </c>
      <c r="C80" s="76">
        <v>3</v>
      </c>
      <c r="D80" s="80"/>
      <c r="E80" s="837"/>
      <c r="F80" s="76"/>
      <c r="G80" s="81"/>
      <c r="H80" s="76"/>
      <c r="I80" s="76"/>
      <c r="J80" s="76"/>
      <c r="K80" s="76"/>
      <c r="L80" s="76"/>
      <c r="M80" s="759"/>
      <c r="N80" s="508" t="str">
        <f>IFERROR(CONCATENATE("tCO2e/",VLOOKUP($M80,'Emission factors'!$C:$H,6,FALSE)),"")</f>
        <v/>
      </c>
      <c r="O80" s="508" t="str">
        <f>IFERROR(VLOOKUP($M80,'Emission factors'!$C:$BQ,9,FALSE),"")</f>
        <v/>
      </c>
      <c r="P80" s="508" t="str">
        <f>IFERROR(VLOOKUP($M80,'Emission factors'!$C:$BQ,12,FALSE),"")</f>
        <v/>
      </c>
      <c r="Q80" s="508" t="str">
        <f>IFERROR(VLOOKUP($M80,'Emission factors'!$C:$BQ,15,FALSE),"")</f>
        <v/>
      </c>
      <c r="R80" s="508" t="str">
        <f>IFERROR(VLOOKUP($M80,'Emission factors'!$C:$BQ,65,FALSE),"")</f>
        <v/>
      </c>
      <c r="S80" s="508" t="str">
        <f>IFERROR(VLOOKUP($M80,'Emission factors'!$C:$BQ,67,FALSE),"")</f>
        <v/>
      </c>
      <c r="T80" s="79"/>
      <c r="U80" s="76"/>
      <c r="V80" s="76"/>
      <c r="W80" s="76"/>
      <c r="X80" s="76"/>
      <c r="Y80" s="76"/>
      <c r="Z80" s="677" t="str">
        <f t="shared" si="21"/>
        <v/>
      </c>
      <c r="AA80" s="677" t="str">
        <f t="shared" si="21"/>
        <v/>
      </c>
      <c r="AB80" s="677" t="str">
        <f t="shared" si="21"/>
        <v/>
      </c>
      <c r="AC80" s="677" t="str">
        <f>IFERROR(IF(AND($M80="",$T80=""),"",IF($M80="",IF(X80="",SUM(U80:W80),IF(X80=0,"0",X80)),IF($R80="",SUM($Z80:$AB80),IF($R80=0,"0",$G80*IF($K80="",1,$K80)*$R80)))),"-")</f>
        <v/>
      </c>
      <c r="AD80" s="677" t="str">
        <f>IFERROR(IF(AND($M80="",$T80=""),"",IF($M80="",IF(Y80=0,"-",Y80),IF(S80=0,"0",$G80*IF($K80="",1,$K80)*S80))),"-")</f>
        <v/>
      </c>
      <c r="AE80" s="76"/>
      <c r="AF80" s="623"/>
      <c r="AG80" s="662"/>
      <c r="AH80" s="545"/>
      <c r="AI80" s="604"/>
    </row>
    <row r="81" spans="1:46" s="74" customFormat="1">
      <c r="A81" s="22"/>
      <c r="B81" s="110" t="s">
        <v>73</v>
      </c>
      <c r="C81" s="111">
        <v>1</v>
      </c>
      <c r="D81" s="112" t="s">
        <v>74</v>
      </c>
      <c r="E81" s="838"/>
      <c r="F81" s="621"/>
      <c r="G81" s="622"/>
      <c r="H81" s="621"/>
      <c r="I81" s="621"/>
      <c r="J81" s="621"/>
      <c r="K81" s="621"/>
      <c r="L81" s="621"/>
      <c r="M81" s="849"/>
      <c r="N81" s="621"/>
      <c r="O81" s="621"/>
      <c r="P81" s="621"/>
      <c r="Q81" s="621"/>
      <c r="R81" s="621"/>
      <c r="S81" s="621"/>
      <c r="T81" s="621"/>
      <c r="U81" s="621"/>
      <c r="V81" s="621"/>
      <c r="W81" s="621"/>
      <c r="X81" s="621"/>
      <c r="Y81" s="621"/>
      <c r="Z81" s="682"/>
      <c r="AA81" s="682"/>
      <c r="AB81" s="682"/>
      <c r="AC81" s="682"/>
      <c r="AD81" s="682"/>
      <c r="AE81" s="621"/>
      <c r="AF81" s="621"/>
      <c r="AG81" s="663"/>
      <c r="AH81" s="664"/>
      <c r="AI81" s="664"/>
      <c r="AJ81" s="69"/>
      <c r="AK81" s="69"/>
      <c r="AL81" s="69"/>
      <c r="AM81" s="69"/>
      <c r="AN81" s="69"/>
      <c r="AO81" s="69"/>
      <c r="AP81" s="69"/>
      <c r="AQ81" s="69"/>
      <c r="AR81" s="69"/>
      <c r="AS81" s="69"/>
      <c r="AT81" s="69"/>
    </row>
    <row r="82" spans="1:46" s="74" customFormat="1" ht="47.25">
      <c r="A82" s="22"/>
      <c r="B82" s="75" t="s">
        <v>73</v>
      </c>
      <c r="C82" s="76">
        <v>1</v>
      </c>
      <c r="D82" s="77" t="s">
        <v>604</v>
      </c>
      <c r="E82" s="833"/>
      <c r="F82" s="76"/>
      <c r="G82" s="719">
        <v>17259953</v>
      </c>
      <c r="H82" s="79" t="s">
        <v>1061</v>
      </c>
      <c r="I82" s="79"/>
      <c r="J82" s="79"/>
      <c r="K82" s="79"/>
      <c r="L82" s="79" t="s">
        <v>312</v>
      </c>
      <c r="M82" s="750" t="s">
        <v>1306</v>
      </c>
      <c r="N82" s="508" t="str">
        <f>IFERROR(CONCATENATE("tCO2e/",VLOOKUP($M82,'Emission factors'!$C:$H,6,FALSE)),"")</f>
        <v>tCO2e/MWh</v>
      </c>
      <c r="O82" s="864">
        <f>IFERROR(VLOOKUP($M82,'Emission factors'!$C:$BQ,9,FALSE),"")</f>
        <v>0.55201575273934977</v>
      </c>
      <c r="P82" s="864">
        <f>IFERROR(VLOOKUP($M82,'Emission factors'!$C:$BQ,12,FALSE),"")</f>
        <v>4.5397319698379249E-4</v>
      </c>
      <c r="Q82" s="864">
        <f>IFERROR(VLOOKUP($M82,'Emission factors'!$C:$BQ,15,FALSE),"")</f>
        <v>2.2292530455937164E-3</v>
      </c>
      <c r="R82" s="508" t="str">
        <f>IFERROR(VLOOKUP($M82,'Emission factors'!$C:$BQ,65,FALSE),"")</f>
        <v/>
      </c>
      <c r="S82" s="508">
        <f>IFERROR(VLOOKUP($M82,'Emission factors'!$C:$BQ,67,FALSE),"")</f>
        <v>0</v>
      </c>
      <c r="T82" s="79"/>
      <c r="U82" s="79"/>
      <c r="V82" s="79"/>
      <c r="W82" s="79"/>
      <c r="X82" s="79"/>
      <c r="Y82" s="79"/>
      <c r="Z82" s="717">
        <f t="shared" ref="Z82:AB83" si="22">IFERROR(IF(AND($M82="",$T82=""),"",IF($M82="",IF(U82=0,"-",U82),IF(O82=0,"0",$G82*IF($K82="",1,$K82)*O82))),"-")</f>
        <v>9527765.9475407992</v>
      </c>
      <c r="AA82" s="717">
        <f t="shared" si="22"/>
        <v>7835.5560432000002</v>
      </c>
      <c r="AB82" s="717">
        <f t="shared" si="22"/>
        <v>38476.802792054405</v>
      </c>
      <c r="AC82" s="717">
        <f>IFERROR(IF(AND($M82="",$T82=""),"",IF($M82="",IF(X82="",SUM(U82:W82),IF(X82=0,"0",X82)),IF($R82="",SUM($Z82:$AB82),IF($R82=0,"0",$G82*IF($K82="",1,$K82)*$R82)))),"-")</f>
        <v>9574078.306376053</v>
      </c>
      <c r="AD82" s="677" t="str">
        <f>IFERROR(IF(AND($M82="",$T82=""),"",IF($M82="",IF(Y82=0,"-",Y82),IF(S82=0,"0",$G82*IF($K82="",1,$K82)*S82))),"-")</f>
        <v>0</v>
      </c>
      <c r="AE82" s="79" t="s">
        <v>183</v>
      </c>
      <c r="AF82" s="170" t="s">
        <v>183</v>
      </c>
      <c r="AG82" s="544" t="s">
        <v>1182</v>
      </c>
      <c r="AH82" s="545" t="s">
        <v>1203</v>
      </c>
      <c r="AI82" s="604"/>
      <c r="AJ82" s="69"/>
      <c r="AK82" s="69"/>
      <c r="AL82" s="69"/>
      <c r="AM82" s="69"/>
      <c r="AN82" s="69"/>
      <c r="AO82" s="69"/>
      <c r="AP82" s="69"/>
      <c r="AQ82" s="69"/>
      <c r="AR82" s="69"/>
      <c r="AS82" s="69"/>
      <c r="AT82" s="69"/>
    </row>
    <row r="83" spans="1:46" s="74" customFormat="1" ht="16.5" thickBot="1">
      <c r="A83" s="52"/>
      <c r="B83" s="107" t="s">
        <v>73</v>
      </c>
      <c r="C83" s="99">
        <v>1</v>
      </c>
      <c r="D83" s="98"/>
      <c r="E83" s="835"/>
      <c r="F83" s="99"/>
      <c r="G83" s="525"/>
      <c r="H83" s="148"/>
      <c r="I83" s="148"/>
      <c r="J83" s="148"/>
      <c r="K83" s="148"/>
      <c r="L83" s="148"/>
      <c r="M83" s="609"/>
      <c r="N83" s="526" t="str">
        <f>IFERROR(CONCATENATE("tCO2e/",VLOOKUP($M83,'Emission factors'!$C:$H,6,FALSE)),"")</f>
        <v/>
      </c>
      <c r="O83" s="526" t="str">
        <f>IFERROR(VLOOKUP($M83,'Emission factors'!$C:$BQ,9,FALSE),"")</f>
        <v/>
      </c>
      <c r="P83" s="526" t="str">
        <f>IFERROR(VLOOKUP($M83,'Emission factors'!$C:$BQ,12,FALSE),"")</f>
        <v/>
      </c>
      <c r="Q83" s="526" t="str">
        <f>IFERROR(VLOOKUP($M83,'Emission factors'!$C:$BQ,15,FALSE),"")</f>
        <v/>
      </c>
      <c r="R83" s="526" t="str">
        <f>IFERROR(VLOOKUP($M83,'Emission factors'!$C:$BQ,65,FALSE),"")</f>
        <v/>
      </c>
      <c r="S83" s="526" t="str">
        <f>IFERROR(VLOOKUP($M83,'Emission factors'!$C:$BQ,67,FALSE),"")</f>
        <v/>
      </c>
      <c r="T83" s="99"/>
      <c r="U83" s="148"/>
      <c r="V83" s="148"/>
      <c r="W83" s="148"/>
      <c r="X83" s="148"/>
      <c r="Y83" s="148"/>
      <c r="Z83" s="680" t="str">
        <f t="shared" si="22"/>
        <v/>
      </c>
      <c r="AA83" s="680" t="str">
        <f t="shared" si="22"/>
        <v/>
      </c>
      <c r="AB83" s="680" t="str">
        <f t="shared" si="22"/>
        <v/>
      </c>
      <c r="AC83" s="680" t="str">
        <f>IFERROR(IF(AND($M83="",$T83=""),"",IF($M83="",IF(X83="",SUM(U83:W83),IF(X83=0,"0",X83)),IF($R83="",SUM($Z83:$AB83),IF($R83=0,"0",$G83*IF($K83="",1,$K83)*$R83)))),"-")</f>
        <v/>
      </c>
      <c r="AD83" s="680" t="str">
        <f>IFERROR(IF(AND($M83="",$T83=""),"",IF($M83="",IF(Y83=0,"-",Y83),IF(S83=0,"0",$G83*IF($K83="",1,$K83)*S83))),"-")</f>
        <v/>
      </c>
      <c r="AE83" s="148"/>
      <c r="AF83" s="600"/>
      <c r="AG83" s="613"/>
      <c r="AH83" s="548"/>
      <c r="AI83" s="607"/>
      <c r="AJ83" s="69"/>
      <c r="AK83" s="69"/>
      <c r="AL83" s="69"/>
      <c r="AM83" s="69"/>
      <c r="AN83" s="69"/>
      <c r="AO83" s="69"/>
      <c r="AP83" s="69"/>
      <c r="AQ83" s="69"/>
      <c r="AR83" s="69"/>
      <c r="AS83" s="69"/>
      <c r="AT83" s="69"/>
    </row>
    <row r="84" spans="1:46" s="24" customFormat="1">
      <c r="B84" s="7"/>
      <c r="C84" s="7"/>
      <c r="D84" s="8"/>
      <c r="E84" s="839"/>
      <c r="F84" s="7"/>
      <c r="G84" s="7"/>
      <c r="H84" s="7"/>
      <c r="I84" s="7"/>
      <c r="J84" s="7"/>
      <c r="K84" s="7"/>
      <c r="L84" s="7"/>
      <c r="M84" s="848"/>
      <c r="N84" s="7"/>
      <c r="O84" s="7"/>
      <c r="P84" s="7"/>
      <c r="Q84" s="7"/>
      <c r="R84" s="7"/>
      <c r="S84" s="7"/>
      <c r="T84" s="7"/>
      <c r="U84" s="7"/>
      <c r="V84" s="7"/>
      <c r="W84" s="7"/>
      <c r="X84" s="7"/>
      <c r="Y84" s="7"/>
      <c r="Z84" s="10"/>
      <c r="AA84" s="10"/>
      <c r="AB84" s="10"/>
      <c r="AC84" s="10"/>
      <c r="AD84" s="10"/>
      <c r="AE84" s="7"/>
      <c r="AF84" s="7"/>
      <c r="AG84" s="614"/>
      <c r="AH84" s="614"/>
      <c r="AI84" s="614"/>
    </row>
    <row r="85" spans="1:46" s="22" customFormat="1" ht="18.75">
      <c r="B85" s="23" t="s">
        <v>234</v>
      </c>
      <c r="C85" s="18"/>
      <c r="D85" s="19"/>
      <c r="E85" s="818"/>
      <c r="F85" s="20"/>
      <c r="G85" s="18"/>
      <c r="H85" s="18"/>
      <c r="I85" s="18"/>
      <c r="J85" s="18"/>
      <c r="K85" s="18"/>
      <c r="L85" s="18"/>
      <c r="M85" s="776"/>
      <c r="N85" s="18"/>
      <c r="O85" s="18"/>
      <c r="P85" s="18"/>
      <c r="Q85" s="18"/>
      <c r="R85" s="18"/>
      <c r="S85" s="18"/>
      <c r="T85" s="18"/>
      <c r="U85" s="18"/>
      <c r="V85" s="18"/>
      <c r="W85" s="18"/>
      <c r="X85" s="18"/>
      <c r="Y85" s="18"/>
      <c r="Z85" s="30"/>
      <c r="AA85" s="30"/>
      <c r="AB85" s="30"/>
      <c r="AC85" s="30"/>
      <c r="AD85" s="30"/>
      <c r="AE85" s="20"/>
      <c r="AF85" s="20"/>
      <c r="AG85" s="611"/>
      <c r="AH85" s="611"/>
      <c r="AI85" s="611"/>
    </row>
    <row r="86" spans="1:46" s="22" customFormat="1" ht="16.5" thickBot="1">
      <c r="B86" s="18"/>
      <c r="C86" s="18"/>
      <c r="D86" s="19"/>
      <c r="E86" s="818"/>
      <c r="F86" s="20"/>
      <c r="G86" s="18"/>
      <c r="H86" s="18"/>
      <c r="I86" s="18"/>
      <c r="J86" s="18"/>
      <c r="K86" s="18"/>
      <c r="L86" s="18"/>
      <c r="M86" s="776"/>
      <c r="N86" s="18"/>
      <c r="O86" s="18"/>
      <c r="P86" s="18"/>
      <c r="Q86" s="18"/>
      <c r="R86" s="18"/>
      <c r="S86" s="18"/>
      <c r="T86" s="18"/>
      <c r="U86" s="18"/>
      <c r="V86" s="18"/>
      <c r="W86" s="18"/>
      <c r="X86" s="18"/>
      <c r="Y86" s="18"/>
      <c r="Z86" s="30"/>
      <c r="AA86" s="30"/>
      <c r="AB86" s="30"/>
      <c r="AC86" s="30"/>
      <c r="AD86" s="30"/>
      <c r="AE86" s="20"/>
      <c r="AF86" s="20"/>
      <c r="AG86" s="611"/>
      <c r="AH86" s="611"/>
      <c r="AI86" s="611"/>
    </row>
    <row r="87" spans="1:46" s="5" customFormat="1" ht="15.95" customHeight="1">
      <c r="A87" s="27"/>
      <c r="B87" s="1139" t="s">
        <v>39</v>
      </c>
      <c r="C87" s="1133" t="s">
        <v>40</v>
      </c>
      <c r="D87" s="1056" t="s">
        <v>245</v>
      </c>
      <c r="E87" s="1144"/>
      <c r="F87" s="1134" t="s">
        <v>300</v>
      </c>
      <c r="G87" s="1141" t="s">
        <v>171</v>
      </c>
      <c r="H87" s="1142"/>
      <c r="I87" s="1130" t="s">
        <v>871</v>
      </c>
      <c r="J87" s="1131"/>
      <c r="K87" s="1132"/>
      <c r="L87" s="1134" t="s">
        <v>305</v>
      </c>
      <c r="M87" s="1063" t="s">
        <v>798</v>
      </c>
      <c r="N87" s="1112" t="s">
        <v>798</v>
      </c>
      <c r="O87" s="1112"/>
      <c r="P87" s="1112"/>
      <c r="Q87" s="1112"/>
      <c r="R87" s="1112"/>
      <c r="S87" s="1113"/>
      <c r="T87" s="1119" t="s">
        <v>967</v>
      </c>
      <c r="U87" s="1114" t="s">
        <v>975</v>
      </c>
      <c r="V87" s="1114"/>
      <c r="W87" s="1114"/>
      <c r="X87" s="1114"/>
      <c r="Y87" s="1114"/>
      <c r="Z87" s="1143" t="s">
        <v>292</v>
      </c>
      <c r="AA87" s="1143"/>
      <c r="AB87" s="1143"/>
      <c r="AC87" s="1143"/>
      <c r="AD87" s="1143"/>
      <c r="AE87" s="1133" t="s">
        <v>43</v>
      </c>
      <c r="AF87" s="1133"/>
      <c r="AG87" s="1128" t="s">
        <v>799</v>
      </c>
      <c r="AH87" s="1073" t="s">
        <v>734</v>
      </c>
      <c r="AI87" s="1126" t="s">
        <v>850</v>
      </c>
      <c r="AJ87" s="14"/>
      <c r="AK87" s="14"/>
      <c r="AL87" s="14"/>
      <c r="AM87" s="14"/>
      <c r="AN87" s="14"/>
      <c r="AO87" s="14"/>
      <c r="AP87" s="14"/>
      <c r="AQ87" s="14"/>
      <c r="AR87" s="14"/>
      <c r="AS87" s="14"/>
      <c r="AT87" s="14"/>
    </row>
    <row r="88" spans="1:46" s="5" customFormat="1" ht="19.5" thickBot="1">
      <c r="A88" s="27"/>
      <c r="B88" s="1140"/>
      <c r="C88" s="1135"/>
      <c r="D88" s="515" t="s">
        <v>246</v>
      </c>
      <c r="E88" s="819" t="s">
        <v>244</v>
      </c>
      <c r="F88" s="1135"/>
      <c r="G88" s="515" t="s">
        <v>172</v>
      </c>
      <c r="H88" s="515" t="s">
        <v>173</v>
      </c>
      <c r="I88" s="528" t="s">
        <v>831</v>
      </c>
      <c r="J88" s="528" t="s">
        <v>832</v>
      </c>
      <c r="K88" s="528" t="s">
        <v>965</v>
      </c>
      <c r="L88" s="1135"/>
      <c r="M88" s="1064"/>
      <c r="N88" s="537" t="s">
        <v>173</v>
      </c>
      <c r="O88" s="538" t="s">
        <v>969</v>
      </c>
      <c r="P88" s="538" t="s">
        <v>970</v>
      </c>
      <c r="Q88" s="538" t="s">
        <v>971</v>
      </c>
      <c r="R88" s="538" t="s">
        <v>972</v>
      </c>
      <c r="S88" s="538" t="s">
        <v>973</v>
      </c>
      <c r="T88" s="1120"/>
      <c r="U88" s="538" t="s">
        <v>969</v>
      </c>
      <c r="V88" s="538" t="s">
        <v>970</v>
      </c>
      <c r="W88" s="538" t="s">
        <v>971</v>
      </c>
      <c r="X88" s="538" t="s">
        <v>972</v>
      </c>
      <c r="Y88" s="538" t="s">
        <v>973</v>
      </c>
      <c r="Z88" s="100" t="s">
        <v>293</v>
      </c>
      <c r="AA88" s="100" t="s">
        <v>294</v>
      </c>
      <c r="AB88" s="100" t="s">
        <v>295</v>
      </c>
      <c r="AC88" s="100" t="s">
        <v>296</v>
      </c>
      <c r="AD88" s="100" t="s">
        <v>297</v>
      </c>
      <c r="AE88" s="515" t="s">
        <v>46</v>
      </c>
      <c r="AF88" s="515" t="s">
        <v>47</v>
      </c>
      <c r="AG88" s="1129"/>
      <c r="AH88" s="1074"/>
      <c r="AI88" s="1127"/>
      <c r="AJ88" s="14"/>
      <c r="AK88" s="14"/>
      <c r="AL88" s="14"/>
      <c r="AM88" s="14"/>
      <c r="AN88" s="14"/>
      <c r="AO88" s="14"/>
      <c r="AP88" s="14"/>
      <c r="AQ88" s="14"/>
      <c r="AR88" s="14"/>
      <c r="AS88" s="14"/>
      <c r="AT88" s="14"/>
    </row>
    <row r="89" spans="1:46" s="74" customFormat="1">
      <c r="A89" s="22"/>
      <c r="B89" s="82" t="s">
        <v>77</v>
      </c>
      <c r="C89" s="101">
        <v>1</v>
      </c>
      <c r="D89" s="84" t="s">
        <v>52</v>
      </c>
      <c r="E89" s="822"/>
      <c r="F89" s="599" t="s">
        <v>177</v>
      </c>
      <c r="G89" s="468"/>
      <c r="H89" s="468"/>
      <c r="I89" s="468"/>
      <c r="J89" s="468"/>
      <c r="K89" s="468"/>
      <c r="L89" s="468"/>
      <c r="M89" s="844"/>
      <c r="N89" s="468"/>
      <c r="O89" s="468"/>
      <c r="P89" s="468"/>
      <c r="Q89" s="468"/>
      <c r="R89" s="468"/>
      <c r="S89" s="468"/>
      <c r="T89" s="468"/>
      <c r="U89" s="468"/>
      <c r="V89" s="468"/>
      <c r="W89" s="468"/>
      <c r="X89" s="468"/>
      <c r="Y89" s="468"/>
      <c r="Z89" s="676"/>
      <c r="AA89" s="676"/>
      <c r="AB89" s="676"/>
      <c r="AC89" s="676"/>
      <c r="AD89" s="676"/>
      <c r="AE89" s="468"/>
      <c r="AF89" s="468"/>
      <c r="AG89" s="543" t="s">
        <v>1069</v>
      </c>
      <c r="AH89" s="603"/>
      <c r="AI89" s="603"/>
      <c r="AJ89" s="69"/>
      <c r="AK89" s="69"/>
      <c r="AL89" s="69"/>
      <c r="AM89" s="69"/>
      <c r="AN89" s="69"/>
      <c r="AO89" s="69"/>
      <c r="AP89" s="69"/>
      <c r="AQ89" s="69"/>
      <c r="AR89" s="69"/>
      <c r="AS89" s="69"/>
      <c r="AT89" s="69"/>
    </row>
    <row r="90" spans="1:46" s="22" customFormat="1">
      <c r="B90" s="108" t="s">
        <v>77</v>
      </c>
      <c r="C90" s="79">
        <v>1</v>
      </c>
      <c r="D90" s="77"/>
      <c r="E90" s="833"/>
      <c r="F90" s="76"/>
      <c r="G90" s="78"/>
      <c r="H90" s="79"/>
      <c r="I90" s="79"/>
      <c r="J90" s="79"/>
      <c r="K90" s="79"/>
      <c r="L90" s="79"/>
      <c r="M90" s="750"/>
      <c r="N90" s="508" t="str">
        <f>IFERROR(CONCATENATE("tCO2e/",VLOOKUP($M90,'Emission factors'!$C:$H,6,FALSE)),"")</f>
        <v/>
      </c>
      <c r="O90" s="508" t="str">
        <f>IFERROR(VLOOKUP($M90,'Emission factors'!$C:$BQ,9,FALSE),"")</f>
        <v/>
      </c>
      <c r="P90" s="508" t="str">
        <f>IFERROR(VLOOKUP($M90,'Emission factors'!$C:$BQ,12,FALSE),"")</f>
        <v/>
      </c>
      <c r="Q90" s="508" t="str">
        <f>IFERROR(VLOOKUP($M90,'Emission factors'!$C:$BQ,15,FALSE),"")</f>
        <v/>
      </c>
      <c r="R90" s="508" t="str">
        <f>IFERROR(VLOOKUP($M90,'Emission factors'!$C:$BQ,65,FALSE),"")</f>
        <v/>
      </c>
      <c r="S90" s="508" t="str">
        <f>IFERROR(VLOOKUP($M90,'Emission factors'!$C:$BQ,67,FALSE),"")</f>
        <v/>
      </c>
      <c r="T90" s="79"/>
      <c r="U90" s="79"/>
      <c r="V90" s="79"/>
      <c r="W90" s="79"/>
      <c r="X90" s="79"/>
      <c r="Y90" s="79"/>
      <c r="Z90" s="677" t="str">
        <f t="shared" ref="Z90:AB91" si="23">IFERROR(IF(AND($M90="",$T90=""),"",IF($M90="",IF(U90=0,"-",U90),IF(O90=0,"0",$G90*IF($K90="",1,$K90)*O90))),"-")</f>
        <v/>
      </c>
      <c r="AA90" s="677" t="str">
        <f t="shared" si="23"/>
        <v/>
      </c>
      <c r="AB90" s="677" t="str">
        <f t="shared" si="23"/>
        <v/>
      </c>
      <c r="AC90" s="677" t="str">
        <f>IFERROR(IF(AND($M90="",$T90=""),"",IF($M90="",IF(X90="",SUM(U90:W90),IF(X90=0,"0",X90)),IF($R90="",SUM($Z90:$AB90),IF($R90=0,"0",$G90*IF($K90="",1,$K90)*$R90)))),"-")</f>
        <v/>
      </c>
      <c r="AD90" s="677" t="str">
        <f>IFERROR(IF(AND($M90="",$T90=""),"",IF($M90="",IF(Y90=0,"-",Y90),IF(S90=0,"0",$G90*IF($K90="",1,$K90)*S90))),"-")</f>
        <v/>
      </c>
      <c r="AE90" s="79"/>
      <c r="AF90" s="170"/>
      <c r="AG90" s="544"/>
      <c r="AH90" s="545"/>
      <c r="AI90" s="604"/>
    </row>
    <row r="91" spans="1:46" s="22" customFormat="1">
      <c r="A91" s="52"/>
      <c r="B91" s="75" t="s">
        <v>77</v>
      </c>
      <c r="C91" s="76">
        <v>1</v>
      </c>
      <c r="D91" s="77"/>
      <c r="E91" s="834"/>
      <c r="F91" s="76"/>
      <c r="G91" s="78"/>
      <c r="H91" s="79"/>
      <c r="I91" s="79"/>
      <c r="J91" s="79"/>
      <c r="K91" s="79"/>
      <c r="L91" s="79"/>
      <c r="M91" s="750"/>
      <c r="N91" s="508" t="str">
        <f>IFERROR(CONCATENATE("tCO2e/",VLOOKUP($M91,'Emission factors'!$C:$H,6,FALSE)),"")</f>
        <v/>
      </c>
      <c r="O91" s="508" t="str">
        <f>IFERROR(VLOOKUP($M91,'Emission factors'!$C:$BQ,9,FALSE),"")</f>
        <v/>
      </c>
      <c r="P91" s="508" t="str">
        <f>IFERROR(VLOOKUP($M91,'Emission factors'!$C:$BQ,12,FALSE),"")</f>
        <v/>
      </c>
      <c r="Q91" s="508" t="str">
        <f>IFERROR(VLOOKUP($M91,'Emission factors'!$C:$BQ,15,FALSE),"")</f>
        <v/>
      </c>
      <c r="R91" s="508" t="str">
        <f>IFERROR(VLOOKUP($M91,'Emission factors'!$C:$BQ,65,FALSE),"")</f>
        <v/>
      </c>
      <c r="S91" s="508" t="str">
        <f>IFERROR(VLOOKUP($M91,'Emission factors'!$C:$BQ,67,FALSE),"")</f>
        <v/>
      </c>
      <c r="T91" s="79"/>
      <c r="U91" s="79"/>
      <c r="V91" s="79"/>
      <c r="W91" s="79"/>
      <c r="X91" s="79"/>
      <c r="Y91" s="79"/>
      <c r="Z91" s="677" t="str">
        <f t="shared" si="23"/>
        <v/>
      </c>
      <c r="AA91" s="677" t="str">
        <f t="shared" si="23"/>
        <v/>
      </c>
      <c r="AB91" s="677" t="str">
        <f t="shared" si="23"/>
        <v/>
      </c>
      <c r="AC91" s="677" t="str">
        <f>IFERROR(IF(AND($M91="",$T91=""),"",IF($M91="",IF(X91="",SUM(U91:W91),IF(X91=0,"0",X91)),IF($R91="",SUM($Z91:$AB91),IF($R91=0,"0",$G91*IF($K91="",1,$K91)*$R91)))),"-")</f>
        <v/>
      </c>
      <c r="AD91" s="677" t="str">
        <f>IFERROR(IF(AND($M91="",$T91=""),"",IF($M91="",IF(Y91=0,"-",Y91),IF(S91=0,"0",$G91*IF($K91="",1,$K91)*S91))),"-")</f>
        <v/>
      </c>
      <c r="AE91" s="79"/>
      <c r="AF91" s="170"/>
      <c r="AG91" s="612"/>
      <c r="AH91" s="545"/>
      <c r="AI91" s="604"/>
    </row>
    <row r="92" spans="1:46" s="74" customFormat="1">
      <c r="A92" s="22"/>
      <c r="B92" s="82" t="s">
        <v>78</v>
      </c>
      <c r="C92" s="101">
        <v>2</v>
      </c>
      <c r="D92" s="84" t="s">
        <v>54</v>
      </c>
      <c r="E92" s="822"/>
      <c r="F92" s="85" t="s">
        <v>177</v>
      </c>
      <c r="G92" s="86"/>
      <c r="H92" s="86"/>
      <c r="I92" s="86"/>
      <c r="J92" s="86"/>
      <c r="K92" s="86"/>
      <c r="L92" s="86"/>
      <c r="M92" s="845"/>
      <c r="N92" s="86"/>
      <c r="O92" s="86"/>
      <c r="P92" s="86"/>
      <c r="Q92" s="86"/>
      <c r="R92" s="86"/>
      <c r="S92" s="86"/>
      <c r="T92" s="86"/>
      <c r="U92" s="86"/>
      <c r="V92" s="86"/>
      <c r="W92" s="86"/>
      <c r="X92" s="86"/>
      <c r="Y92" s="86"/>
      <c r="Z92" s="678"/>
      <c r="AA92" s="678"/>
      <c r="AB92" s="678"/>
      <c r="AC92" s="678"/>
      <c r="AD92" s="678"/>
      <c r="AE92" s="73"/>
      <c r="AF92" s="86"/>
      <c r="AG92" s="546" t="s">
        <v>1070</v>
      </c>
      <c r="AH92" s="605"/>
      <c r="AI92" s="605"/>
      <c r="AJ92" s="69"/>
      <c r="AK92" s="69"/>
      <c r="AL92" s="69"/>
      <c r="AM92" s="69"/>
      <c r="AN92" s="69"/>
      <c r="AO92" s="69"/>
      <c r="AP92" s="69"/>
      <c r="AQ92" s="69"/>
      <c r="AR92" s="69"/>
      <c r="AS92" s="69"/>
      <c r="AT92" s="69"/>
    </row>
    <row r="93" spans="1:46" s="22" customFormat="1">
      <c r="B93" s="108" t="s">
        <v>78</v>
      </c>
      <c r="C93" s="79">
        <v>2</v>
      </c>
      <c r="D93" s="104"/>
      <c r="E93" s="833"/>
      <c r="F93" s="76"/>
      <c r="G93" s="78"/>
      <c r="H93" s="79"/>
      <c r="I93" s="79"/>
      <c r="J93" s="79"/>
      <c r="K93" s="79"/>
      <c r="L93" s="79"/>
      <c r="M93" s="750"/>
      <c r="N93" s="508" t="str">
        <f>IFERROR(CONCATENATE("tCO2e/",VLOOKUP($M93,'Emission factors'!$C:$H,6,FALSE)),"")</f>
        <v/>
      </c>
      <c r="O93" s="508" t="str">
        <f>IFERROR(VLOOKUP($M93,'Emission factors'!$C:$BQ,9,FALSE),"")</f>
        <v/>
      </c>
      <c r="P93" s="508" t="str">
        <f>IFERROR(VLOOKUP($M93,'Emission factors'!$C:$BQ,12,FALSE),"")</f>
        <v/>
      </c>
      <c r="Q93" s="508" t="str">
        <f>IFERROR(VLOOKUP($M93,'Emission factors'!$C:$BQ,15,FALSE),"")</f>
        <v/>
      </c>
      <c r="R93" s="508" t="str">
        <f>IFERROR(VLOOKUP($M93,'Emission factors'!$C:$BQ,65,FALSE),"")</f>
        <v/>
      </c>
      <c r="S93" s="508" t="str">
        <f>IFERROR(VLOOKUP($M93,'Emission factors'!$C:$BQ,67,FALSE),"")</f>
        <v/>
      </c>
      <c r="T93" s="79"/>
      <c r="U93" s="79"/>
      <c r="V93" s="79"/>
      <c r="W93" s="79"/>
      <c r="X93" s="79"/>
      <c r="Y93" s="79"/>
      <c r="Z93" s="677" t="str">
        <f t="shared" ref="Z93:AB94" si="24">IFERROR(IF(AND($M93="",$T93=""),"",IF($M93="",IF(U93=0,"-",U93),IF(O93=0,"0",$G93*IF($K93="",1,$K93)*O93))),"-")</f>
        <v/>
      </c>
      <c r="AA93" s="677" t="str">
        <f t="shared" si="24"/>
        <v/>
      </c>
      <c r="AB93" s="677" t="str">
        <f t="shared" si="24"/>
        <v/>
      </c>
      <c r="AC93" s="677" t="str">
        <f>IFERROR(IF(AND($M93="",$T93=""),"",IF($M93="",IF(X93="",SUM(U93:W93),IF(X93=0,"0",X93)),IF($R93="",SUM($Z93:$AB93),IF($R93=0,"0",$G93*IF($K93="",1,$K93)*$R93)))),"-")</f>
        <v/>
      </c>
      <c r="AD93" s="677" t="str">
        <f>IFERROR(IF(AND($M93="",$T93=""),"",IF($M93="",IF(Y93=0,"-",Y93),IF(S93=0,"0",$G93*IF($K93="",1,$K93)*S93))),"-")</f>
        <v/>
      </c>
      <c r="AE93" s="79"/>
      <c r="AF93" s="170"/>
      <c r="AG93" s="544"/>
      <c r="AH93" s="545"/>
      <c r="AI93" s="604"/>
    </row>
    <row r="94" spans="1:46" s="22" customFormat="1">
      <c r="A94" s="52"/>
      <c r="B94" s="75" t="s">
        <v>78</v>
      </c>
      <c r="C94" s="76">
        <v>2</v>
      </c>
      <c r="D94" s="104"/>
      <c r="E94" s="834"/>
      <c r="F94" s="76"/>
      <c r="G94" s="78"/>
      <c r="H94" s="79"/>
      <c r="I94" s="79"/>
      <c r="J94" s="79"/>
      <c r="K94" s="79"/>
      <c r="L94" s="79"/>
      <c r="M94" s="750"/>
      <c r="N94" s="508" t="str">
        <f>IFERROR(CONCATENATE("tCO2e/",VLOOKUP($M94,'Emission factors'!$C:$H,6,FALSE)),"")</f>
        <v/>
      </c>
      <c r="O94" s="508" t="str">
        <f>IFERROR(VLOOKUP($M94,'Emission factors'!$C:$BQ,9,FALSE),"")</f>
        <v/>
      </c>
      <c r="P94" s="508" t="str">
        <f>IFERROR(VLOOKUP($M94,'Emission factors'!$C:$BQ,12,FALSE),"")</f>
        <v/>
      </c>
      <c r="Q94" s="508" t="str">
        <f>IFERROR(VLOOKUP($M94,'Emission factors'!$C:$BQ,15,FALSE),"")</f>
        <v/>
      </c>
      <c r="R94" s="508" t="str">
        <f>IFERROR(VLOOKUP($M94,'Emission factors'!$C:$BQ,65,FALSE),"")</f>
        <v/>
      </c>
      <c r="S94" s="508" t="str">
        <f>IFERROR(VLOOKUP($M94,'Emission factors'!$C:$BQ,67,FALSE),"")</f>
        <v/>
      </c>
      <c r="T94" s="79"/>
      <c r="U94" s="79"/>
      <c r="V94" s="79"/>
      <c r="W94" s="79"/>
      <c r="X94" s="79"/>
      <c r="Y94" s="79"/>
      <c r="Z94" s="677" t="str">
        <f t="shared" si="24"/>
        <v/>
      </c>
      <c r="AA94" s="677" t="str">
        <f t="shared" si="24"/>
        <v/>
      </c>
      <c r="AB94" s="677" t="str">
        <f t="shared" si="24"/>
        <v/>
      </c>
      <c r="AC94" s="677" t="str">
        <f>IFERROR(IF(AND($M94="",$T94=""),"",IF($M94="",IF(X94="",SUM(U94:W94),IF(X94=0,"0",X94)),IF($R94="",SUM($Z94:$AB94),IF($R94=0,"0",$G94*IF($K94="",1,$K94)*$R94)))),"-")</f>
        <v/>
      </c>
      <c r="AD94" s="677" t="str">
        <f>IFERROR(IF(AND($M94="",$T94=""),"",IF($M94="",IF(Y94=0,"-",Y94),IF(S94=0,"0",$G94*IF($K94="",1,$K94)*S94))),"-")</f>
        <v/>
      </c>
      <c r="AE94" s="79"/>
      <c r="AF94" s="170"/>
      <c r="AG94" s="612"/>
      <c r="AH94" s="545"/>
      <c r="AI94" s="604"/>
    </row>
    <row r="95" spans="1:46" s="74" customFormat="1">
      <c r="A95" s="22"/>
      <c r="B95" s="105" t="s">
        <v>79</v>
      </c>
      <c r="C95" s="106">
        <v>3</v>
      </c>
      <c r="D95" s="90" t="s">
        <v>298</v>
      </c>
      <c r="E95" s="825"/>
      <c r="F95" s="91" t="s">
        <v>177</v>
      </c>
      <c r="G95" s="92"/>
      <c r="H95" s="91"/>
      <c r="I95" s="91"/>
      <c r="J95" s="91"/>
      <c r="K95" s="91"/>
      <c r="L95" s="91"/>
      <c r="M95" s="846"/>
      <c r="N95" s="91"/>
      <c r="O95" s="91"/>
      <c r="P95" s="91"/>
      <c r="Q95" s="91"/>
      <c r="R95" s="91"/>
      <c r="S95" s="91"/>
      <c r="T95" s="91"/>
      <c r="U95" s="91"/>
      <c r="V95" s="91"/>
      <c r="W95" s="91"/>
      <c r="X95" s="91"/>
      <c r="Y95" s="91"/>
      <c r="Z95" s="679"/>
      <c r="AA95" s="679"/>
      <c r="AB95" s="679"/>
      <c r="AC95" s="679"/>
      <c r="AD95" s="679"/>
      <c r="AE95" s="91"/>
      <c r="AF95" s="91"/>
      <c r="AG95" s="547" t="s">
        <v>1071</v>
      </c>
      <c r="AH95" s="606"/>
      <c r="AI95" s="606"/>
      <c r="AJ95" s="69"/>
      <c r="AK95" s="69"/>
      <c r="AL95" s="69"/>
      <c r="AM95" s="69"/>
      <c r="AN95" s="69"/>
      <c r="AO95" s="69"/>
      <c r="AP95" s="69"/>
      <c r="AQ95" s="69"/>
      <c r="AR95" s="69"/>
      <c r="AS95" s="69"/>
      <c r="AT95" s="69"/>
    </row>
    <row r="96" spans="1:46" s="22" customFormat="1">
      <c r="B96" s="108" t="s">
        <v>79</v>
      </c>
      <c r="C96" s="79">
        <v>3</v>
      </c>
      <c r="D96" s="104"/>
      <c r="E96" s="833"/>
      <c r="F96" s="76"/>
      <c r="G96" s="78"/>
      <c r="H96" s="79"/>
      <c r="I96" s="79"/>
      <c r="J96" s="79"/>
      <c r="K96" s="79"/>
      <c r="L96" s="79"/>
      <c r="M96" s="750"/>
      <c r="N96" s="508" t="str">
        <f>IFERROR(CONCATENATE("tCO2e/",VLOOKUP($M96,'Emission factors'!$C:$H,6,FALSE)),"")</f>
        <v/>
      </c>
      <c r="O96" s="508" t="str">
        <f>IFERROR(VLOOKUP($M96,'Emission factors'!$C:$BQ,9,FALSE),"")</f>
        <v/>
      </c>
      <c r="P96" s="508" t="str">
        <f>IFERROR(VLOOKUP($M96,'Emission factors'!$C:$BQ,12,FALSE),"")</f>
        <v/>
      </c>
      <c r="Q96" s="508" t="str">
        <f>IFERROR(VLOOKUP($M96,'Emission factors'!$C:$BQ,15,FALSE),"")</f>
        <v/>
      </c>
      <c r="R96" s="508" t="str">
        <f>IFERROR(VLOOKUP($M96,'Emission factors'!$C:$BQ,65,FALSE),"")</f>
        <v/>
      </c>
      <c r="S96" s="508" t="str">
        <f>IFERROR(VLOOKUP($M96,'Emission factors'!$C:$BQ,67,FALSE),"")</f>
        <v/>
      </c>
      <c r="T96" s="79"/>
      <c r="U96" s="79"/>
      <c r="V96" s="79"/>
      <c r="W96" s="79"/>
      <c r="X96" s="79"/>
      <c r="Y96" s="79"/>
      <c r="Z96" s="677" t="str">
        <f t="shared" ref="Z96:AB97" si="25">IFERROR(IF(AND($M96="",$T96=""),"",IF($M96="",IF(U96=0,"-",U96),IF(O96=0,"0",$G96*IF($K96="",1,$K96)*O96))),"-")</f>
        <v/>
      </c>
      <c r="AA96" s="677" t="str">
        <f t="shared" si="25"/>
        <v/>
      </c>
      <c r="AB96" s="677" t="str">
        <f t="shared" si="25"/>
        <v/>
      </c>
      <c r="AC96" s="677" t="str">
        <f>IFERROR(IF(AND($M96="",$T96=""),"",IF($M96="",IF(X96="",SUM(U96:W96),IF(X96=0,"0",X96)),IF($R96="",SUM($Z96:$AB96),IF($R96=0,"0",$G96*IF($K96="",1,$K96)*$R96)))),"-")</f>
        <v/>
      </c>
      <c r="AD96" s="677" t="str">
        <f>IFERROR(IF(AND($M96="",$T96=""),"",IF($M96="",IF(Y96=0,"-",Y96),IF(S96=0,"0",$G96*IF($K96="",1,$K96)*S96))),"-")</f>
        <v/>
      </c>
      <c r="AE96" s="79"/>
      <c r="AF96" s="170"/>
      <c r="AG96" s="544"/>
      <c r="AH96" s="545"/>
      <c r="AI96" s="604"/>
    </row>
    <row r="97" spans="1:46" s="22" customFormat="1" ht="16.5" thickBot="1">
      <c r="A97" s="52"/>
      <c r="B97" s="107" t="s">
        <v>79</v>
      </c>
      <c r="C97" s="99">
        <v>3</v>
      </c>
      <c r="D97" s="98"/>
      <c r="E97" s="835"/>
      <c r="F97" s="99"/>
      <c r="G97" s="525"/>
      <c r="H97" s="148"/>
      <c r="I97" s="148"/>
      <c r="J97" s="148"/>
      <c r="K97" s="148"/>
      <c r="L97" s="148"/>
      <c r="M97" s="609"/>
      <c r="N97" s="526" t="str">
        <f>IFERROR(CONCATENATE("tCO2e/",VLOOKUP($M97,'Emission factors'!$C:$H,6,FALSE)),"")</f>
        <v/>
      </c>
      <c r="O97" s="526" t="str">
        <f>IFERROR(VLOOKUP($M97,'Emission factors'!$C:$BQ,9,FALSE),"")</f>
        <v/>
      </c>
      <c r="P97" s="526" t="str">
        <f>IFERROR(VLOOKUP($M97,'Emission factors'!$C:$BQ,12,FALSE),"")</f>
        <v/>
      </c>
      <c r="Q97" s="526" t="str">
        <f>IFERROR(VLOOKUP($M97,'Emission factors'!$C:$BQ,15,FALSE),"")</f>
        <v/>
      </c>
      <c r="R97" s="526" t="str">
        <f>IFERROR(VLOOKUP($M97,'Emission factors'!$C:$BQ,65,FALSE),"")</f>
        <v/>
      </c>
      <c r="S97" s="526" t="str">
        <f>IFERROR(VLOOKUP($M97,'Emission factors'!$C:$BQ,67,FALSE),"")</f>
        <v/>
      </c>
      <c r="T97" s="99"/>
      <c r="U97" s="148"/>
      <c r="V97" s="148"/>
      <c r="W97" s="148"/>
      <c r="X97" s="148"/>
      <c r="Y97" s="148"/>
      <c r="Z97" s="680" t="str">
        <f t="shared" si="25"/>
        <v/>
      </c>
      <c r="AA97" s="680" t="str">
        <f t="shared" si="25"/>
        <v/>
      </c>
      <c r="AB97" s="680" t="str">
        <f t="shared" si="25"/>
        <v/>
      </c>
      <c r="AC97" s="680" t="str">
        <f>IFERROR(IF(AND($M97="",$T97=""),"",IF($M97="",IF(X97="",SUM(U97:W97),IF(X97=0,"0",X97)),IF($R97="",SUM($Z97:$AB97),IF($R97=0,"0",$G97*IF($K97="",1,$K97)*$R97)))),"-")</f>
        <v/>
      </c>
      <c r="AD97" s="680" t="str">
        <f>IFERROR(IF(AND($M97="",$T97=""),"",IF($M97="",IF(Y97=0,"-",Y97),IF(S97=0,"0",$G97*IF($K97="",1,$K97)*S97))),"-")</f>
        <v/>
      </c>
      <c r="AE97" s="148"/>
      <c r="AF97" s="600"/>
      <c r="AG97" s="613"/>
      <c r="AH97" s="548"/>
      <c r="AI97" s="607"/>
    </row>
    <row r="98" spans="1:46" s="24" customFormat="1">
      <c r="B98" s="11"/>
      <c r="C98" s="11"/>
      <c r="D98" s="26"/>
      <c r="E98" s="840"/>
      <c r="F98" s="9"/>
      <c r="G98" s="9"/>
      <c r="H98" s="9"/>
      <c r="I98" s="9"/>
      <c r="J98" s="9"/>
      <c r="K98" s="9"/>
      <c r="L98" s="9"/>
      <c r="M98" s="847"/>
      <c r="N98" s="9"/>
      <c r="O98" s="9"/>
      <c r="P98" s="9"/>
      <c r="Q98" s="9"/>
      <c r="R98" s="9"/>
      <c r="S98" s="9"/>
      <c r="T98" s="9"/>
      <c r="U98" s="9"/>
      <c r="V98" s="9"/>
      <c r="W98" s="9"/>
      <c r="X98" s="9"/>
      <c r="Y98" s="9"/>
      <c r="Z98" s="681"/>
      <c r="AA98" s="681"/>
      <c r="AB98" s="681"/>
      <c r="AC98" s="681"/>
      <c r="AD98" s="681"/>
      <c r="AE98" s="9"/>
      <c r="AF98" s="9"/>
      <c r="AG98" s="614"/>
      <c r="AH98" s="614"/>
      <c r="AI98" s="614"/>
    </row>
    <row r="99" spans="1:46" s="22" customFormat="1" ht="18.75">
      <c r="B99" s="23" t="s">
        <v>236</v>
      </c>
      <c r="C99" s="18"/>
      <c r="D99" s="19"/>
      <c r="E99" s="818"/>
      <c r="F99" s="20"/>
      <c r="G99" s="18"/>
      <c r="H99" s="18"/>
      <c r="I99" s="18"/>
      <c r="J99" s="18"/>
      <c r="K99" s="18"/>
      <c r="L99" s="18"/>
      <c r="M99" s="776"/>
      <c r="N99" s="18"/>
      <c r="O99" s="18"/>
      <c r="P99" s="18"/>
      <c r="Q99" s="18"/>
      <c r="R99" s="18"/>
      <c r="S99" s="18"/>
      <c r="T99" s="18"/>
      <c r="U99" s="18"/>
      <c r="V99" s="18"/>
      <c r="W99" s="18"/>
      <c r="X99" s="18"/>
      <c r="Y99" s="18"/>
      <c r="Z99" s="30"/>
      <c r="AA99" s="30"/>
      <c r="AB99" s="30"/>
      <c r="AC99" s="30"/>
      <c r="AD99" s="30"/>
      <c r="AE99" s="20"/>
      <c r="AF99" s="20"/>
      <c r="AG99" s="611"/>
      <c r="AH99" s="611"/>
      <c r="AI99" s="611"/>
    </row>
    <row r="100" spans="1:46" s="22" customFormat="1" ht="16.5" thickBot="1">
      <c r="B100" s="18"/>
      <c r="C100" s="18"/>
      <c r="D100" s="19"/>
      <c r="E100" s="818"/>
      <c r="F100" s="20"/>
      <c r="G100" s="18"/>
      <c r="H100" s="18"/>
      <c r="I100" s="18"/>
      <c r="J100" s="18"/>
      <c r="K100" s="18"/>
      <c r="L100" s="18"/>
      <c r="M100" s="776"/>
      <c r="N100" s="18"/>
      <c r="O100" s="18"/>
      <c r="P100" s="18"/>
      <c r="Q100" s="18"/>
      <c r="R100" s="18"/>
      <c r="S100" s="18"/>
      <c r="T100" s="18"/>
      <c r="U100" s="18"/>
      <c r="V100" s="18"/>
      <c r="W100" s="18"/>
      <c r="X100" s="18"/>
      <c r="Y100" s="18"/>
      <c r="Z100" s="30"/>
      <c r="AA100" s="30"/>
      <c r="AB100" s="30"/>
      <c r="AC100" s="30"/>
      <c r="AD100" s="30"/>
      <c r="AE100" s="20"/>
      <c r="AF100" s="20"/>
      <c r="AG100" s="611"/>
      <c r="AH100" s="611"/>
      <c r="AI100" s="611"/>
    </row>
    <row r="101" spans="1:46" s="68" customFormat="1" ht="15.95" customHeight="1">
      <c r="A101" s="120"/>
      <c r="B101" s="1139" t="s">
        <v>39</v>
      </c>
      <c r="C101" s="1133" t="s">
        <v>40</v>
      </c>
      <c r="D101" s="1056" t="s">
        <v>245</v>
      </c>
      <c r="E101" s="1144"/>
      <c r="F101" s="1134" t="s">
        <v>300</v>
      </c>
      <c r="G101" s="1141" t="s">
        <v>171</v>
      </c>
      <c r="H101" s="1142"/>
      <c r="I101" s="1130" t="s">
        <v>871</v>
      </c>
      <c r="J101" s="1131"/>
      <c r="K101" s="1132"/>
      <c r="L101" s="1134" t="s">
        <v>305</v>
      </c>
      <c r="M101" s="1063" t="s">
        <v>798</v>
      </c>
      <c r="N101" s="1112" t="s">
        <v>798</v>
      </c>
      <c r="O101" s="1112"/>
      <c r="P101" s="1112"/>
      <c r="Q101" s="1112"/>
      <c r="R101" s="1112"/>
      <c r="S101" s="1113"/>
      <c r="T101" s="1119" t="s">
        <v>967</v>
      </c>
      <c r="U101" s="1114" t="s">
        <v>975</v>
      </c>
      <c r="V101" s="1114"/>
      <c r="W101" s="1114"/>
      <c r="X101" s="1114"/>
      <c r="Y101" s="1114"/>
      <c r="Z101" s="1143" t="s">
        <v>292</v>
      </c>
      <c r="AA101" s="1143"/>
      <c r="AB101" s="1143"/>
      <c r="AC101" s="1143"/>
      <c r="AD101" s="1143"/>
      <c r="AE101" s="1133" t="s">
        <v>43</v>
      </c>
      <c r="AF101" s="1133"/>
      <c r="AG101" s="1128" t="s">
        <v>799</v>
      </c>
      <c r="AH101" s="1073" t="s">
        <v>734</v>
      </c>
      <c r="AI101" s="1126" t="s">
        <v>850</v>
      </c>
      <c r="AJ101" s="67"/>
      <c r="AK101" s="67"/>
      <c r="AL101" s="67"/>
      <c r="AM101" s="67"/>
      <c r="AN101" s="67"/>
      <c r="AO101" s="67"/>
      <c r="AP101" s="67"/>
      <c r="AQ101" s="67"/>
      <c r="AR101" s="67"/>
      <c r="AS101" s="67"/>
      <c r="AT101" s="67"/>
    </row>
    <row r="102" spans="1:46" s="68" customFormat="1" ht="19.5" thickBot="1">
      <c r="A102" s="120"/>
      <c r="B102" s="1140"/>
      <c r="C102" s="1135"/>
      <c r="D102" s="515" t="s">
        <v>246</v>
      </c>
      <c r="E102" s="819" t="s">
        <v>244</v>
      </c>
      <c r="F102" s="1135"/>
      <c r="G102" s="515" t="s">
        <v>172</v>
      </c>
      <c r="H102" s="515" t="s">
        <v>173</v>
      </c>
      <c r="I102" s="528" t="s">
        <v>831</v>
      </c>
      <c r="J102" s="528" t="s">
        <v>832</v>
      </c>
      <c r="K102" s="528" t="s">
        <v>965</v>
      </c>
      <c r="L102" s="1135"/>
      <c r="M102" s="1064"/>
      <c r="N102" s="537" t="s">
        <v>173</v>
      </c>
      <c r="O102" s="538" t="s">
        <v>969</v>
      </c>
      <c r="P102" s="538" t="s">
        <v>970</v>
      </c>
      <c r="Q102" s="538" t="s">
        <v>971</v>
      </c>
      <c r="R102" s="538" t="s">
        <v>972</v>
      </c>
      <c r="S102" s="538" t="s">
        <v>973</v>
      </c>
      <c r="T102" s="1120"/>
      <c r="U102" s="538" t="s">
        <v>969</v>
      </c>
      <c r="V102" s="538" t="s">
        <v>970</v>
      </c>
      <c r="W102" s="538" t="s">
        <v>971</v>
      </c>
      <c r="X102" s="538" t="s">
        <v>972</v>
      </c>
      <c r="Y102" s="538" t="s">
        <v>973</v>
      </c>
      <c r="Z102" s="100" t="s">
        <v>293</v>
      </c>
      <c r="AA102" s="100" t="s">
        <v>294</v>
      </c>
      <c r="AB102" s="100" t="s">
        <v>295</v>
      </c>
      <c r="AC102" s="100" t="s">
        <v>296</v>
      </c>
      <c r="AD102" s="100" t="s">
        <v>297</v>
      </c>
      <c r="AE102" s="515" t="s">
        <v>46</v>
      </c>
      <c r="AF102" s="515" t="s">
        <v>47</v>
      </c>
      <c r="AG102" s="1129"/>
      <c r="AH102" s="1074"/>
      <c r="AI102" s="1127"/>
      <c r="AJ102" s="67"/>
      <c r="AK102" s="67"/>
      <c r="AL102" s="67"/>
      <c r="AM102" s="67"/>
      <c r="AN102" s="67"/>
      <c r="AO102" s="67"/>
      <c r="AP102" s="67"/>
      <c r="AQ102" s="67"/>
      <c r="AR102" s="67"/>
      <c r="AS102" s="67"/>
      <c r="AT102" s="67"/>
    </row>
    <row r="103" spans="1:46" s="74" customFormat="1">
      <c r="A103" s="22"/>
      <c r="B103" s="82" t="s">
        <v>81</v>
      </c>
      <c r="C103" s="101">
        <v>1</v>
      </c>
      <c r="D103" s="84" t="s">
        <v>52</v>
      </c>
      <c r="E103" s="822"/>
      <c r="F103" s="599" t="s">
        <v>177</v>
      </c>
      <c r="G103" s="468"/>
      <c r="H103" s="468"/>
      <c r="I103" s="468"/>
      <c r="J103" s="468"/>
      <c r="K103" s="468"/>
      <c r="L103" s="468"/>
      <c r="M103" s="844"/>
      <c r="N103" s="468"/>
      <c r="O103" s="468"/>
      <c r="P103" s="468"/>
      <c r="Q103" s="468"/>
      <c r="R103" s="468"/>
      <c r="S103" s="468"/>
      <c r="T103" s="468"/>
      <c r="U103" s="468"/>
      <c r="V103" s="468"/>
      <c r="W103" s="468"/>
      <c r="X103" s="468"/>
      <c r="Y103" s="468"/>
      <c r="Z103" s="676"/>
      <c r="AA103" s="676"/>
      <c r="AB103" s="676"/>
      <c r="AC103" s="676"/>
      <c r="AD103" s="676"/>
      <c r="AE103" s="468"/>
      <c r="AF103" s="468"/>
      <c r="AG103" s="543" t="s">
        <v>1072</v>
      </c>
      <c r="AH103" s="603"/>
      <c r="AI103" s="603"/>
      <c r="AJ103" s="69"/>
      <c r="AK103" s="69"/>
      <c r="AL103" s="69"/>
      <c r="AM103" s="69"/>
      <c r="AN103" s="69"/>
      <c r="AO103" s="69"/>
      <c r="AP103" s="69"/>
      <c r="AQ103" s="69"/>
      <c r="AR103" s="69"/>
      <c r="AS103" s="69"/>
      <c r="AT103" s="69"/>
    </row>
    <row r="104" spans="1:46" s="22" customFormat="1">
      <c r="B104" s="108" t="s">
        <v>81</v>
      </c>
      <c r="C104" s="79">
        <v>1</v>
      </c>
      <c r="D104" s="77"/>
      <c r="E104" s="833"/>
      <c r="F104" s="76"/>
      <c r="G104" s="78"/>
      <c r="H104" s="79"/>
      <c r="I104" s="79"/>
      <c r="J104" s="79"/>
      <c r="K104" s="79"/>
      <c r="L104" s="79"/>
      <c r="M104" s="750"/>
      <c r="N104" s="508" t="str">
        <f>IFERROR(CONCATENATE("tCO2e/",VLOOKUP($M104,'Emission factors'!$C:$H,6,FALSE)),"")</f>
        <v/>
      </c>
      <c r="O104" s="508" t="str">
        <f>IFERROR(VLOOKUP($M104,'Emission factors'!$C:$BQ,9,FALSE),"")</f>
        <v/>
      </c>
      <c r="P104" s="508" t="str">
        <f>IFERROR(VLOOKUP($M104,'Emission factors'!$C:$BQ,12,FALSE),"")</f>
        <v/>
      </c>
      <c r="Q104" s="508" t="str">
        <f>IFERROR(VLOOKUP($M104,'Emission factors'!$C:$BQ,15,FALSE),"")</f>
        <v/>
      </c>
      <c r="R104" s="508" t="str">
        <f>IFERROR(VLOOKUP($M104,'Emission factors'!$C:$BQ,65,FALSE),"")</f>
        <v/>
      </c>
      <c r="S104" s="508" t="str">
        <f>IFERROR(VLOOKUP($M104,'Emission factors'!$C:$BQ,67,FALSE),"")</f>
        <v/>
      </c>
      <c r="T104" s="79"/>
      <c r="U104" s="79"/>
      <c r="V104" s="79"/>
      <c r="W104" s="79"/>
      <c r="X104" s="79"/>
      <c r="Y104" s="79"/>
      <c r="Z104" s="677" t="str">
        <f t="shared" ref="Z104:AB105" si="26">IFERROR(IF(AND($M104="",$T104=""),"",IF($M104="",IF(U104=0,"-",U104),IF(O104=0,"0",$G104*IF($K104="",1,$K104)*O104))),"-")</f>
        <v/>
      </c>
      <c r="AA104" s="677" t="str">
        <f t="shared" si="26"/>
        <v/>
      </c>
      <c r="AB104" s="677" t="str">
        <f t="shared" si="26"/>
        <v/>
      </c>
      <c r="AC104" s="677" t="str">
        <f>IFERROR(IF(AND($M104="",$T104=""),"",IF($M104="",IF(X104="",SUM(U104:W104),IF(X104=0,"0",X104)),IF($R104="",SUM($Z104:$AB104),IF($R104=0,"0",$G104*IF($K104="",1,$K104)*$R104)))),"-")</f>
        <v/>
      </c>
      <c r="AD104" s="677" t="str">
        <f>IFERROR(IF(AND($M104="",$T104=""),"",IF($M104="",IF(Y104=0,"-",Y104),IF(S104=0,"0",$G104*IF($K104="",1,$K104)*S104))),"-")</f>
        <v/>
      </c>
      <c r="AE104" s="79"/>
      <c r="AF104" s="170"/>
      <c r="AG104" s="544"/>
      <c r="AH104" s="545"/>
      <c r="AI104" s="604"/>
    </row>
    <row r="105" spans="1:46" s="22" customFormat="1">
      <c r="A105" s="52"/>
      <c r="B105" s="75" t="s">
        <v>81</v>
      </c>
      <c r="C105" s="76">
        <v>1</v>
      </c>
      <c r="D105" s="77"/>
      <c r="E105" s="834"/>
      <c r="F105" s="76"/>
      <c r="G105" s="78"/>
      <c r="H105" s="79"/>
      <c r="I105" s="79"/>
      <c r="J105" s="79"/>
      <c r="K105" s="79"/>
      <c r="L105" s="79"/>
      <c r="M105" s="750"/>
      <c r="N105" s="508" t="str">
        <f>IFERROR(CONCATENATE("tCO2e/",VLOOKUP($M105,'Emission factors'!$C:$H,6,FALSE)),"")</f>
        <v/>
      </c>
      <c r="O105" s="508" t="str">
        <f>IFERROR(VLOOKUP($M105,'Emission factors'!$C:$BQ,9,FALSE),"")</f>
        <v/>
      </c>
      <c r="P105" s="508" t="str">
        <f>IFERROR(VLOOKUP($M105,'Emission factors'!$C:$BQ,12,FALSE),"")</f>
        <v/>
      </c>
      <c r="Q105" s="508" t="str">
        <f>IFERROR(VLOOKUP($M105,'Emission factors'!$C:$BQ,15,FALSE),"")</f>
        <v/>
      </c>
      <c r="R105" s="508" t="str">
        <f>IFERROR(VLOOKUP($M105,'Emission factors'!$C:$BQ,65,FALSE),"")</f>
        <v/>
      </c>
      <c r="S105" s="508" t="str">
        <f>IFERROR(VLOOKUP($M105,'Emission factors'!$C:$BQ,67,FALSE),"")</f>
        <v/>
      </c>
      <c r="T105" s="79"/>
      <c r="U105" s="79"/>
      <c r="V105" s="79"/>
      <c r="W105" s="79"/>
      <c r="X105" s="79"/>
      <c r="Y105" s="79"/>
      <c r="Z105" s="677" t="str">
        <f t="shared" si="26"/>
        <v/>
      </c>
      <c r="AA105" s="677" t="str">
        <f t="shared" si="26"/>
        <v/>
      </c>
      <c r="AB105" s="677" t="str">
        <f t="shared" si="26"/>
        <v/>
      </c>
      <c r="AC105" s="677" t="str">
        <f>IFERROR(IF(AND($M105="",$T105=""),"",IF($M105="",IF(X105="",SUM(U105:W105),IF(X105=0,"0",X105)),IF($R105="",SUM($Z105:$AB105),IF($R105=0,"0",$G105*IF($K105="",1,$K105)*$R105)))),"-")</f>
        <v/>
      </c>
      <c r="AD105" s="677" t="str">
        <f>IFERROR(IF(AND($M105="",$T105=""),"",IF($M105="",IF(Y105=0,"-",Y105),IF(S105=0,"0",$G105*IF($K105="",1,$K105)*S105))),"-")</f>
        <v/>
      </c>
      <c r="AE105" s="79"/>
      <c r="AF105" s="170"/>
      <c r="AG105" s="612"/>
      <c r="AH105" s="545"/>
      <c r="AI105" s="604"/>
    </row>
    <row r="106" spans="1:46" s="74" customFormat="1">
      <c r="A106" s="22"/>
      <c r="B106" s="82" t="s">
        <v>82</v>
      </c>
      <c r="C106" s="101">
        <v>2</v>
      </c>
      <c r="D106" s="84" t="s">
        <v>54</v>
      </c>
      <c r="E106" s="822"/>
      <c r="F106" s="85" t="s">
        <v>177</v>
      </c>
      <c r="G106" s="86"/>
      <c r="H106" s="86"/>
      <c r="I106" s="86"/>
      <c r="J106" s="86"/>
      <c r="K106" s="86"/>
      <c r="L106" s="86"/>
      <c r="M106" s="845"/>
      <c r="N106" s="86"/>
      <c r="O106" s="86"/>
      <c r="P106" s="86"/>
      <c r="Q106" s="86"/>
      <c r="R106" s="86"/>
      <c r="S106" s="86"/>
      <c r="T106" s="86"/>
      <c r="U106" s="86"/>
      <c r="V106" s="86"/>
      <c r="W106" s="86"/>
      <c r="X106" s="86"/>
      <c r="Y106" s="86"/>
      <c r="Z106" s="678"/>
      <c r="AA106" s="678"/>
      <c r="AB106" s="678"/>
      <c r="AC106" s="678"/>
      <c r="AD106" s="678"/>
      <c r="AE106" s="73"/>
      <c r="AF106" s="86"/>
      <c r="AG106" s="546" t="s">
        <v>1073</v>
      </c>
      <c r="AH106" s="605"/>
      <c r="AI106" s="605"/>
      <c r="AJ106" s="69"/>
      <c r="AK106" s="69"/>
      <c r="AL106" s="69"/>
      <c r="AM106" s="69"/>
      <c r="AN106" s="69"/>
      <c r="AO106" s="69"/>
      <c r="AP106" s="69"/>
      <c r="AQ106" s="69"/>
      <c r="AR106" s="69"/>
      <c r="AS106" s="69"/>
      <c r="AT106" s="69"/>
    </row>
    <row r="107" spans="1:46" s="22" customFormat="1">
      <c r="B107" s="108" t="s">
        <v>82</v>
      </c>
      <c r="C107" s="79">
        <v>2</v>
      </c>
      <c r="D107" s="104"/>
      <c r="E107" s="833"/>
      <c r="F107" s="76"/>
      <c r="G107" s="78"/>
      <c r="H107" s="79"/>
      <c r="I107" s="79"/>
      <c r="J107" s="79"/>
      <c r="K107" s="79"/>
      <c r="L107" s="79"/>
      <c r="M107" s="750"/>
      <c r="N107" s="508" t="str">
        <f>IFERROR(CONCATENATE("tCO2e/",VLOOKUP($M107,'Emission factors'!$C:$H,6,FALSE)),"")</f>
        <v/>
      </c>
      <c r="O107" s="508" t="str">
        <f>IFERROR(VLOOKUP($M107,'Emission factors'!$C:$BQ,9,FALSE),"")</f>
        <v/>
      </c>
      <c r="P107" s="508" t="str">
        <f>IFERROR(VLOOKUP($M107,'Emission factors'!$C:$BQ,12,FALSE),"")</f>
        <v/>
      </c>
      <c r="Q107" s="508" t="str">
        <f>IFERROR(VLOOKUP($M107,'Emission factors'!$C:$BQ,15,FALSE),"")</f>
        <v/>
      </c>
      <c r="R107" s="508" t="str">
        <f>IFERROR(VLOOKUP($M107,'Emission factors'!$C:$BQ,65,FALSE),"")</f>
        <v/>
      </c>
      <c r="S107" s="508" t="str">
        <f>IFERROR(VLOOKUP($M107,'Emission factors'!$C:$BQ,67,FALSE),"")</f>
        <v/>
      </c>
      <c r="T107" s="79"/>
      <c r="U107" s="79"/>
      <c r="V107" s="79"/>
      <c r="W107" s="79"/>
      <c r="X107" s="79"/>
      <c r="Y107" s="79"/>
      <c r="Z107" s="677" t="str">
        <f t="shared" ref="Z107:AB108" si="27">IFERROR(IF(AND($M107="",$T107=""),"",IF($M107="",IF(U107=0,"-",U107),IF(O107=0,"0",$G107*IF($K107="",1,$K107)*O107))),"-")</f>
        <v/>
      </c>
      <c r="AA107" s="677" t="str">
        <f t="shared" si="27"/>
        <v/>
      </c>
      <c r="AB107" s="677" t="str">
        <f t="shared" si="27"/>
        <v/>
      </c>
      <c r="AC107" s="677" t="str">
        <f>IFERROR(IF(AND($M107="",$T107=""),"",IF($M107="",IF(X107="",SUM(U107:W107),IF(X107=0,"0",X107)),IF($R107="",SUM($Z107:$AB107),IF($R107=0,"0",$G107*IF($K107="",1,$K107)*$R107)))),"-")</f>
        <v/>
      </c>
      <c r="AD107" s="677" t="str">
        <f>IFERROR(IF(AND($M107="",$T107=""),"",IF($M107="",IF(Y107=0,"-",Y107),IF(S107=0,"0",$G107*IF($K107="",1,$K107)*S107))),"-")</f>
        <v/>
      </c>
      <c r="AE107" s="79"/>
      <c r="AF107" s="170"/>
      <c r="AG107" s="544"/>
      <c r="AH107" s="545"/>
      <c r="AI107" s="604"/>
    </row>
    <row r="108" spans="1:46" s="22" customFormat="1">
      <c r="A108" s="52"/>
      <c r="B108" s="75" t="s">
        <v>82</v>
      </c>
      <c r="C108" s="76">
        <v>2</v>
      </c>
      <c r="D108" s="80"/>
      <c r="E108" s="837"/>
      <c r="F108" s="76"/>
      <c r="G108" s="78"/>
      <c r="H108" s="79"/>
      <c r="I108" s="79"/>
      <c r="J108" s="79"/>
      <c r="K108" s="79"/>
      <c r="L108" s="79"/>
      <c r="M108" s="750"/>
      <c r="N108" s="508" t="str">
        <f>IFERROR(CONCATENATE("tCO2e/",VLOOKUP($M108,'Emission factors'!$C:$H,6,FALSE)),"")</f>
        <v/>
      </c>
      <c r="O108" s="508" t="str">
        <f>IFERROR(VLOOKUP($M108,'Emission factors'!$C:$BQ,9,FALSE),"")</f>
        <v/>
      </c>
      <c r="P108" s="508" t="str">
        <f>IFERROR(VLOOKUP($M108,'Emission factors'!$C:$BQ,12,FALSE),"")</f>
        <v/>
      </c>
      <c r="Q108" s="508" t="str">
        <f>IFERROR(VLOOKUP($M108,'Emission factors'!$C:$BQ,15,FALSE),"")</f>
        <v/>
      </c>
      <c r="R108" s="508" t="str">
        <f>IFERROR(VLOOKUP($M108,'Emission factors'!$C:$BQ,65,FALSE),"")</f>
        <v/>
      </c>
      <c r="S108" s="508" t="str">
        <f>IFERROR(VLOOKUP($M108,'Emission factors'!$C:$BQ,67,FALSE),"")</f>
        <v/>
      </c>
      <c r="T108" s="79"/>
      <c r="U108" s="79"/>
      <c r="V108" s="79"/>
      <c r="W108" s="79"/>
      <c r="X108" s="79"/>
      <c r="Y108" s="79"/>
      <c r="Z108" s="677" t="str">
        <f t="shared" si="27"/>
        <v/>
      </c>
      <c r="AA108" s="677" t="str">
        <f t="shared" si="27"/>
        <v/>
      </c>
      <c r="AB108" s="677" t="str">
        <f t="shared" si="27"/>
        <v/>
      </c>
      <c r="AC108" s="677" t="str">
        <f>IFERROR(IF(AND($M108="",$T108=""),"",IF($M108="",IF(X108="",SUM(U108:W108),IF(X108=0,"0",X108)),IF($R108="",SUM($Z108:$AB108),IF($R108=0,"0",$G108*IF($K108="",1,$K108)*$R108)))),"-")</f>
        <v/>
      </c>
      <c r="AD108" s="677" t="str">
        <f>IFERROR(IF(AND($M108="",$T108=""),"",IF($M108="",IF(Y108=0,"-",Y108),IF(S108=0,"0",$G108*IF($K108="",1,$K108)*S108))),"-")</f>
        <v/>
      </c>
      <c r="AE108" s="79"/>
      <c r="AF108" s="170"/>
      <c r="AG108" s="612"/>
      <c r="AH108" s="545"/>
      <c r="AI108" s="604"/>
    </row>
    <row r="109" spans="1:46" s="74" customFormat="1">
      <c r="A109" s="22"/>
      <c r="B109" s="105" t="s">
        <v>83</v>
      </c>
      <c r="C109" s="116">
        <v>3</v>
      </c>
      <c r="D109" s="90" t="s">
        <v>299</v>
      </c>
      <c r="E109" s="825"/>
      <c r="F109" s="91" t="s">
        <v>177</v>
      </c>
      <c r="G109" s="92"/>
      <c r="H109" s="91"/>
      <c r="I109" s="91"/>
      <c r="J109" s="91"/>
      <c r="K109" s="91"/>
      <c r="L109" s="91"/>
      <c r="M109" s="846"/>
      <c r="N109" s="91"/>
      <c r="O109" s="91"/>
      <c r="P109" s="91"/>
      <c r="Q109" s="91"/>
      <c r="R109" s="91"/>
      <c r="S109" s="91"/>
      <c r="T109" s="91"/>
      <c r="U109" s="91"/>
      <c r="V109" s="91"/>
      <c r="W109" s="91"/>
      <c r="X109" s="91"/>
      <c r="Y109" s="91"/>
      <c r="Z109" s="679"/>
      <c r="AA109" s="679"/>
      <c r="AB109" s="679"/>
      <c r="AC109" s="679"/>
      <c r="AD109" s="679"/>
      <c r="AE109" s="91"/>
      <c r="AF109" s="91"/>
      <c r="AG109" s="547" t="s">
        <v>1074</v>
      </c>
      <c r="AH109" s="606"/>
      <c r="AI109" s="606"/>
      <c r="AJ109" s="69"/>
      <c r="AK109" s="69"/>
      <c r="AL109" s="69"/>
      <c r="AM109" s="69"/>
      <c r="AN109" s="69"/>
      <c r="AO109" s="69"/>
      <c r="AP109" s="69"/>
      <c r="AQ109" s="69"/>
      <c r="AR109" s="69"/>
      <c r="AS109" s="69"/>
      <c r="AT109" s="69"/>
    </row>
    <row r="110" spans="1:46" s="22" customFormat="1">
      <c r="B110" s="108" t="s">
        <v>83</v>
      </c>
      <c r="C110" s="79">
        <v>3</v>
      </c>
      <c r="D110" s="77"/>
      <c r="E110" s="833"/>
      <c r="F110" s="76"/>
      <c r="G110" s="78"/>
      <c r="H110" s="79"/>
      <c r="I110" s="79"/>
      <c r="J110" s="79"/>
      <c r="K110" s="79"/>
      <c r="L110" s="79"/>
      <c r="M110" s="750"/>
      <c r="N110" s="508" t="str">
        <f>IFERROR(CONCATENATE("tCO2e/",VLOOKUP($M110,'Emission factors'!$C:$H,6,FALSE)),"")</f>
        <v/>
      </c>
      <c r="O110" s="508" t="str">
        <f>IFERROR(VLOOKUP($M110,'Emission factors'!$C:$BQ,9,FALSE),"")</f>
        <v/>
      </c>
      <c r="P110" s="508" t="str">
        <f>IFERROR(VLOOKUP($M110,'Emission factors'!$C:$BQ,12,FALSE),"")</f>
        <v/>
      </c>
      <c r="Q110" s="508" t="str">
        <f>IFERROR(VLOOKUP($M110,'Emission factors'!$C:$BQ,15,FALSE),"")</f>
        <v/>
      </c>
      <c r="R110" s="508" t="str">
        <f>IFERROR(VLOOKUP($M110,'Emission factors'!$C:$BQ,65,FALSE),"")</f>
        <v/>
      </c>
      <c r="S110" s="508" t="str">
        <f>IFERROR(VLOOKUP($M110,'Emission factors'!$C:$BQ,67,FALSE),"")</f>
        <v/>
      </c>
      <c r="T110" s="79"/>
      <c r="U110" s="79"/>
      <c r="V110" s="79"/>
      <c r="W110" s="79"/>
      <c r="X110" s="79"/>
      <c r="Y110" s="79"/>
      <c r="Z110" s="677" t="str">
        <f t="shared" ref="Z110:AB111" si="28">IFERROR(IF(AND($M110="",$T110=""),"",IF($M110="",IF(U110=0,"-",U110),IF(O110=0,"0",$G110*IF($K110="",1,$K110)*O110))),"-")</f>
        <v/>
      </c>
      <c r="AA110" s="677" t="str">
        <f t="shared" si="28"/>
        <v/>
      </c>
      <c r="AB110" s="677" t="str">
        <f t="shared" si="28"/>
        <v/>
      </c>
      <c r="AC110" s="677" t="str">
        <f>IFERROR(IF(AND($M110="",$T110=""),"",IF($M110="",IF(X110="",SUM(U110:W110),IF(X110=0,"0",X110)),IF($R110="",SUM($Z110:$AB110),IF($R110=0,"0",$G110*IF($K110="",1,$K110)*$R110)))),"-")</f>
        <v/>
      </c>
      <c r="AD110" s="677" t="str">
        <f>IFERROR(IF(AND($M110="",$T110=""),"",IF($M110="",IF(Y110=0,"-",Y110),IF(S110=0,"0",$G110*IF($K110="",1,$K110)*S110))),"-")</f>
        <v/>
      </c>
      <c r="AE110" s="79"/>
      <c r="AF110" s="170"/>
      <c r="AG110" s="544"/>
      <c r="AH110" s="545"/>
      <c r="AI110" s="604"/>
    </row>
    <row r="111" spans="1:46" s="22" customFormat="1" ht="16.5" thickBot="1">
      <c r="A111" s="52"/>
      <c r="B111" s="107" t="s">
        <v>83</v>
      </c>
      <c r="C111" s="99">
        <v>3</v>
      </c>
      <c r="D111" s="98"/>
      <c r="E111" s="835"/>
      <c r="F111" s="99"/>
      <c r="G111" s="525"/>
      <c r="H111" s="148"/>
      <c r="I111" s="148"/>
      <c r="J111" s="148"/>
      <c r="K111" s="148"/>
      <c r="L111" s="148"/>
      <c r="M111" s="609"/>
      <c r="N111" s="526" t="str">
        <f>IFERROR(CONCATENATE("tCO2e/",VLOOKUP($M111,'Emission factors'!$C:$H,6,FALSE)),"")</f>
        <v/>
      </c>
      <c r="O111" s="526" t="str">
        <f>IFERROR(VLOOKUP($M111,'Emission factors'!$C:$BQ,9,FALSE),"")</f>
        <v/>
      </c>
      <c r="P111" s="526" t="str">
        <f>IFERROR(VLOOKUP($M111,'Emission factors'!$C:$BQ,12,FALSE),"")</f>
        <v/>
      </c>
      <c r="Q111" s="526" t="str">
        <f>IFERROR(VLOOKUP($M111,'Emission factors'!$C:$BQ,15,FALSE),"")</f>
        <v/>
      </c>
      <c r="R111" s="526" t="str">
        <f>IFERROR(VLOOKUP($M111,'Emission factors'!$C:$BQ,65,FALSE),"")</f>
        <v/>
      </c>
      <c r="S111" s="526" t="str">
        <f>IFERROR(VLOOKUP($M111,'Emission factors'!$C:$BQ,67,FALSE),"")</f>
        <v/>
      </c>
      <c r="T111" s="99"/>
      <c r="U111" s="148"/>
      <c r="V111" s="148"/>
      <c r="W111" s="148"/>
      <c r="X111" s="148"/>
      <c r="Y111" s="148"/>
      <c r="Z111" s="680" t="str">
        <f t="shared" si="28"/>
        <v/>
      </c>
      <c r="AA111" s="680" t="str">
        <f t="shared" si="28"/>
        <v/>
      </c>
      <c r="AB111" s="680" t="str">
        <f t="shared" si="28"/>
        <v/>
      </c>
      <c r="AC111" s="680" t="str">
        <f>IFERROR(IF(AND($M111="",$T111=""),"",IF($M111="",IF(X111="",SUM(U111:W111),IF(X111=0,"0",X111)),IF($R111="",SUM($Z111:$AB111),IF($R111=0,"0",$G111*IF($K111="",1,$K111)*$R111)))),"-")</f>
        <v/>
      </c>
      <c r="AD111" s="680" t="str">
        <f>IFERROR(IF(AND($M111="",$T111=""),"",IF($M111="",IF(Y111=0,"-",Y111),IF(S111=0,"0",$G111*IF($K111="",1,$K111)*S111))),"-")</f>
        <v/>
      </c>
      <c r="AE111" s="148"/>
      <c r="AF111" s="600"/>
      <c r="AG111" s="613"/>
      <c r="AH111" s="548"/>
      <c r="AI111" s="607"/>
    </row>
    <row r="112" spans="1:46" s="24" customFormat="1">
      <c r="B112" s="11"/>
      <c r="C112" s="11"/>
      <c r="D112" s="26"/>
      <c r="E112" s="840"/>
      <c r="F112" s="9"/>
      <c r="G112" s="9"/>
      <c r="H112" s="9"/>
      <c r="I112" s="9"/>
      <c r="J112" s="9"/>
      <c r="K112" s="9"/>
      <c r="L112" s="9"/>
      <c r="M112" s="847"/>
      <c r="N112" s="9"/>
      <c r="O112" s="9"/>
      <c r="P112" s="9"/>
      <c r="Q112" s="9"/>
      <c r="R112" s="9"/>
      <c r="S112" s="9"/>
      <c r="T112" s="9"/>
      <c r="U112" s="9"/>
      <c r="V112" s="9"/>
      <c r="W112" s="9"/>
      <c r="X112" s="9"/>
      <c r="Y112" s="9"/>
      <c r="Z112" s="681"/>
      <c r="AA112" s="681"/>
      <c r="AB112" s="681"/>
      <c r="AC112" s="681"/>
      <c r="AD112" s="681"/>
      <c r="AE112" s="9"/>
      <c r="AF112" s="9"/>
      <c r="AG112" s="614"/>
      <c r="AH112" s="614"/>
      <c r="AI112" s="614"/>
    </row>
    <row r="113" spans="1:46" s="22" customFormat="1" ht="18.75">
      <c r="B113" s="23" t="s">
        <v>237</v>
      </c>
      <c r="C113" s="18"/>
      <c r="D113" s="19"/>
      <c r="E113" s="818"/>
      <c r="F113" s="20"/>
      <c r="G113" s="18"/>
      <c r="H113" s="18"/>
      <c r="I113" s="18"/>
      <c r="J113" s="18"/>
      <c r="K113" s="18"/>
      <c r="L113" s="18"/>
      <c r="M113" s="776"/>
      <c r="N113" s="18"/>
      <c r="O113" s="18"/>
      <c r="P113" s="18"/>
      <c r="Q113" s="18"/>
      <c r="R113" s="18"/>
      <c r="S113" s="18"/>
      <c r="T113" s="18"/>
      <c r="U113" s="18"/>
      <c r="V113" s="18"/>
      <c r="W113" s="18"/>
      <c r="X113" s="18"/>
      <c r="Y113" s="18"/>
      <c r="Z113" s="30"/>
      <c r="AA113" s="30"/>
      <c r="AB113" s="30"/>
      <c r="AC113" s="30"/>
      <c r="AD113" s="30"/>
      <c r="AE113" s="20"/>
      <c r="AF113" s="20"/>
      <c r="AG113" s="611"/>
      <c r="AH113" s="611"/>
      <c r="AI113" s="611"/>
    </row>
    <row r="114" spans="1:46" s="22" customFormat="1" ht="16.5" thickBot="1">
      <c r="B114" s="18"/>
      <c r="C114" s="18"/>
      <c r="D114" s="19"/>
      <c r="E114" s="818"/>
      <c r="F114" s="20"/>
      <c r="G114" s="18"/>
      <c r="H114" s="18"/>
      <c r="I114" s="18"/>
      <c r="J114" s="18"/>
      <c r="K114" s="18"/>
      <c r="L114" s="18"/>
      <c r="M114" s="776"/>
      <c r="N114" s="18"/>
      <c r="O114" s="18"/>
      <c r="P114" s="18"/>
      <c r="Q114" s="18"/>
      <c r="R114" s="18"/>
      <c r="S114" s="18"/>
      <c r="T114" s="18"/>
      <c r="U114" s="18"/>
      <c r="V114" s="18"/>
      <c r="W114" s="18"/>
      <c r="X114" s="18"/>
      <c r="Y114" s="18"/>
      <c r="Z114" s="30"/>
      <c r="AA114" s="30"/>
      <c r="AB114" s="30"/>
      <c r="AC114" s="30"/>
      <c r="AD114" s="30"/>
      <c r="AE114" s="20"/>
      <c r="AF114" s="20"/>
      <c r="AG114" s="611"/>
      <c r="AH114" s="611"/>
      <c r="AI114" s="611"/>
    </row>
    <row r="115" spans="1:46" s="68" customFormat="1" ht="15.95" customHeight="1">
      <c r="A115" s="120"/>
      <c r="B115" s="1139" t="s">
        <v>39</v>
      </c>
      <c r="C115" s="1133" t="s">
        <v>40</v>
      </c>
      <c r="D115" s="1056" t="s">
        <v>245</v>
      </c>
      <c r="E115" s="1144"/>
      <c r="F115" s="1134" t="s">
        <v>300</v>
      </c>
      <c r="G115" s="1141" t="s">
        <v>171</v>
      </c>
      <c r="H115" s="1142"/>
      <c r="I115" s="1130" t="s">
        <v>871</v>
      </c>
      <c r="J115" s="1131"/>
      <c r="K115" s="1132"/>
      <c r="L115" s="1134" t="s">
        <v>305</v>
      </c>
      <c r="M115" s="1063" t="s">
        <v>798</v>
      </c>
      <c r="N115" s="1112" t="s">
        <v>798</v>
      </c>
      <c r="O115" s="1112"/>
      <c r="P115" s="1112"/>
      <c r="Q115" s="1112"/>
      <c r="R115" s="1112"/>
      <c r="S115" s="1113"/>
      <c r="T115" s="1119" t="s">
        <v>967</v>
      </c>
      <c r="U115" s="1114" t="s">
        <v>975</v>
      </c>
      <c r="V115" s="1114"/>
      <c r="W115" s="1114"/>
      <c r="X115" s="1114"/>
      <c r="Y115" s="1114"/>
      <c r="Z115" s="1143" t="s">
        <v>292</v>
      </c>
      <c r="AA115" s="1143"/>
      <c r="AB115" s="1143"/>
      <c r="AC115" s="1143"/>
      <c r="AD115" s="1143"/>
      <c r="AE115" s="1133" t="s">
        <v>43</v>
      </c>
      <c r="AF115" s="1133"/>
      <c r="AG115" s="1128" t="s">
        <v>799</v>
      </c>
      <c r="AH115" s="1073" t="s">
        <v>734</v>
      </c>
      <c r="AI115" s="1126" t="s">
        <v>850</v>
      </c>
      <c r="AJ115" s="67"/>
      <c r="AK115" s="67"/>
      <c r="AL115" s="67"/>
      <c r="AM115" s="67"/>
      <c r="AN115" s="67"/>
      <c r="AO115" s="67"/>
      <c r="AP115" s="67"/>
      <c r="AQ115" s="67"/>
      <c r="AR115" s="67"/>
      <c r="AS115" s="67"/>
      <c r="AT115" s="67"/>
    </row>
    <row r="116" spans="1:46" s="68" customFormat="1" ht="19.5" thickBot="1">
      <c r="A116" s="120"/>
      <c r="B116" s="1140"/>
      <c r="C116" s="1135"/>
      <c r="D116" s="515" t="s">
        <v>246</v>
      </c>
      <c r="E116" s="819" t="s">
        <v>244</v>
      </c>
      <c r="F116" s="1135"/>
      <c r="G116" s="515" t="s">
        <v>172</v>
      </c>
      <c r="H116" s="515" t="s">
        <v>173</v>
      </c>
      <c r="I116" s="528" t="s">
        <v>831</v>
      </c>
      <c r="J116" s="528" t="s">
        <v>832</v>
      </c>
      <c r="K116" s="528" t="s">
        <v>965</v>
      </c>
      <c r="L116" s="1135"/>
      <c r="M116" s="1064"/>
      <c r="N116" s="537" t="s">
        <v>173</v>
      </c>
      <c r="O116" s="538" t="s">
        <v>969</v>
      </c>
      <c r="P116" s="538" t="s">
        <v>970</v>
      </c>
      <c r="Q116" s="538" t="s">
        <v>971</v>
      </c>
      <c r="R116" s="538" t="s">
        <v>972</v>
      </c>
      <c r="S116" s="538" t="s">
        <v>973</v>
      </c>
      <c r="T116" s="1120"/>
      <c r="U116" s="538" t="s">
        <v>969</v>
      </c>
      <c r="V116" s="538" t="s">
        <v>970</v>
      </c>
      <c r="W116" s="538" t="s">
        <v>971</v>
      </c>
      <c r="X116" s="538" t="s">
        <v>972</v>
      </c>
      <c r="Y116" s="538" t="s">
        <v>973</v>
      </c>
      <c r="Z116" s="100" t="s">
        <v>293</v>
      </c>
      <c r="AA116" s="100" t="s">
        <v>294</v>
      </c>
      <c r="AB116" s="100" t="s">
        <v>295</v>
      </c>
      <c r="AC116" s="100" t="s">
        <v>296</v>
      </c>
      <c r="AD116" s="100" t="s">
        <v>297</v>
      </c>
      <c r="AE116" s="515" t="s">
        <v>46</v>
      </c>
      <c r="AF116" s="515" t="s">
        <v>47</v>
      </c>
      <c r="AG116" s="1129"/>
      <c r="AH116" s="1074"/>
      <c r="AI116" s="1127"/>
      <c r="AJ116" s="67"/>
      <c r="AK116" s="67"/>
      <c r="AL116" s="67"/>
      <c r="AM116" s="67"/>
      <c r="AN116" s="67"/>
      <c r="AO116" s="67"/>
      <c r="AP116" s="67"/>
      <c r="AQ116" s="67"/>
      <c r="AR116" s="67"/>
      <c r="AS116" s="67"/>
      <c r="AT116" s="67"/>
    </row>
    <row r="117" spans="1:46" s="74" customFormat="1">
      <c r="A117" s="22"/>
      <c r="B117" s="82" t="s">
        <v>85</v>
      </c>
      <c r="C117" s="101">
        <v>1</v>
      </c>
      <c r="D117" s="84" t="s">
        <v>86</v>
      </c>
      <c r="E117" s="822"/>
      <c r="F117" s="102" t="s">
        <v>177</v>
      </c>
      <c r="G117" s="103"/>
      <c r="H117" s="86"/>
      <c r="I117" s="73"/>
      <c r="J117" s="73"/>
      <c r="K117" s="73"/>
      <c r="L117" s="73"/>
      <c r="M117" s="850"/>
      <c r="N117" s="73"/>
      <c r="O117" s="73"/>
      <c r="P117" s="73"/>
      <c r="Q117" s="73"/>
      <c r="R117" s="73"/>
      <c r="S117" s="73"/>
      <c r="T117" s="73"/>
      <c r="U117" s="73"/>
      <c r="V117" s="73"/>
      <c r="W117" s="73"/>
      <c r="X117" s="73"/>
      <c r="Y117" s="73"/>
      <c r="Z117" s="678"/>
      <c r="AA117" s="678"/>
      <c r="AB117" s="678"/>
      <c r="AC117" s="678"/>
      <c r="AD117" s="678"/>
      <c r="AE117" s="73"/>
      <c r="AF117" s="468"/>
      <c r="AG117" s="543" t="s">
        <v>996</v>
      </c>
      <c r="AH117" s="603"/>
      <c r="AI117" s="603"/>
      <c r="AJ117" s="69"/>
      <c r="AK117" s="69"/>
      <c r="AL117" s="69"/>
      <c r="AM117" s="69"/>
      <c r="AN117" s="69"/>
      <c r="AO117" s="69"/>
      <c r="AP117" s="69"/>
      <c r="AQ117" s="69"/>
      <c r="AR117" s="69"/>
      <c r="AS117" s="69"/>
      <c r="AT117" s="69"/>
    </row>
    <row r="118" spans="1:46" s="22" customFormat="1">
      <c r="B118" s="108" t="s">
        <v>85</v>
      </c>
      <c r="C118" s="79">
        <v>1</v>
      </c>
      <c r="D118" s="109"/>
      <c r="E118" s="833"/>
      <c r="F118" s="76"/>
      <c r="G118" s="78"/>
      <c r="H118" s="79"/>
      <c r="I118" s="79"/>
      <c r="J118" s="79"/>
      <c r="K118" s="79"/>
      <c r="L118" s="79"/>
      <c r="M118" s="750"/>
      <c r="N118" s="508" t="str">
        <f>IFERROR(CONCATENATE("tCO2e/",VLOOKUP($M118,'Emission factors'!$C:$H,6,FALSE)),"")</f>
        <v/>
      </c>
      <c r="O118" s="508" t="str">
        <f>IFERROR(VLOOKUP($M118,'Emission factors'!$C:$BQ,9,FALSE),"")</f>
        <v/>
      </c>
      <c r="P118" s="508" t="str">
        <f>IFERROR(VLOOKUP($M118,'Emission factors'!$C:$BQ,12,FALSE),"")</f>
        <v/>
      </c>
      <c r="Q118" s="508" t="str">
        <f>IFERROR(VLOOKUP($M118,'Emission factors'!$C:$BQ,15,FALSE),"")</f>
        <v/>
      </c>
      <c r="R118" s="508" t="str">
        <f>IFERROR(VLOOKUP($M118,'Emission factors'!$C:$BQ,65,FALSE),"")</f>
        <v/>
      </c>
      <c r="S118" s="508" t="str">
        <f>IFERROR(VLOOKUP($M118,'Emission factors'!$C:$BQ,67,FALSE),"")</f>
        <v/>
      </c>
      <c r="T118" s="79"/>
      <c r="U118" s="79"/>
      <c r="V118" s="79"/>
      <c r="W118" s="79"/>
      <c r="X118" s="79"/>
      <c r="Y118" s="79"/>
      <c r="Z118" s="677" t="str">
        <f t="shared" ref="Z118:AB119" si="29">IFERROR(IF(AND($M118="",$T118=""),"",IF($M118="",IF(U118=0,"-",U118),IF(O118=0,"0",$G118*IF($K118="",1,$K118)*O118))),"-")</f>
        <v/>
      </c>
      <c r="AA118" s="677" t="str">
        <f t="shared" si="29"/>
        <v/>
      </c>
      <c r="AB118" s="677" t="str">
        <f t="shared" si="29"/>
        <v/>
      </c>
      <c r="AC118" s="677" t="str">
        <f>IFERROR(IF(AND($M118="",$T118=""),"",IF($M118="",IF(X118="",SUM(U118:W118),IF(X118=0,"0",X118)),IF($R118="",SUM($Z118:$AB118),IF($R118=0,"0",$G118*IF($K118="",1,$K118)*$R118)))),"-")</f>
        <v/>
      </c>
      <c r="AD118" s="677" t="str">
        <f>IFERROR(IF(AND($M118="",$T118=""),"",IF($M118="",IF(Y118=0,"-",Y118),IF(S118=0,"0",$G118*IF($K118="",1,$K118)*S118))),"-")</f>
        <v/>
      </c>
      <c r="AE118" s="79"/>
      <c r="AF118" s="170"/>
      <c r="AG118" s="544"/>
      <c r="AH118" s="545"/>
      <c r="AI118" s="604"/>
    </row>
    <row r="119" spans="1:46" s="22" customFormat="1" ht="16.5" thickBot="1">
      <c r="A119" s="52"/>
      <c r="B119" s="107" t="s">
        <v>85</v>
      </c>
      <c r="C119" s="99">
        <v>1</v>
      </c>
      <c r="D119" s="117"/>
      <c r="E119" s="835"/>
      <c r="F119" s="99"/>
      <c r="G119" s="525"/>
      <c r="H119" s="148"/>
      <c r="I119" s="148"/>
      <c r="J119" s="148"/>
      <c r="K119" s="148"/>
      <c r="L119" s="148"/>
      <c r="M119" s="609"/>
      <c r="N119" s="526" t="str">
        <f>IFERROR(CONCATENATE("tCO2e/",VLOOKUP($M119,'Emission factors'!$C:$H,6,FALSE)),"")</f>
        <v/>
      </c>
      <c r="O119" s="526" t="str">
        <f>IFERROR(VLOOKUP($M119,'Emission factors'!$C:$BQ,9,FALSE),"")</f>
        <v/>
      </c>
      <c r="P119" s="526" t="str">
        <f>IFERROR(VLOOKUP($M119,'Emission factors'!$C:$BQ,12,FALSE),"")</f>
        <v/>
      </c>
      <c r="Q119" s="526" t="str">
        <f>IFERROR(VLOOKUP($M119,'Emission factors'!$C:$BQ,15,FALSE),"")</f>
        <v/>
      </c>
      <c r="R119" s="526" t="str">
        <f>IFERROR(VLOOKUP($M119,'Emission factors'!$C:$BQ,65,FALSE),"")</f>
        <v/>
      </c>
      <c r="S119" s="526" t="str">
        <f>IFERROR(VLOOKUP($M119,'Emission factors'!$C:$BQ,67,FALSE),"")</f>
        <v/>
      </c>
      <c r="T119" s="99"/>
      <c r="U119" s="148"/>
      <c r="V119" s="148"/>
      <c r="W119" s="148"/>
      <c r="X119" s="148"/>
      <c r="Y119" s="148"/>
      <c r="Z119" s="680" t="str">
        <f t="shared" si="29"/>
        <v/>
      </c>
      <c r="AA119" s="680" t="str">
        <f t="shared" si="29"/>
        <v/>
      </c>
      <c r="AB119" s="680" t="str">
        <f t="shared" si="29"/>
        <v/>
      </c>
      <c r="AC119" s="680" t="str">
        <f>IFERROR(IF(AND($M119="",$T119=""),"",IF($M119="",IF(X119="",SUM(U119:W119),IF(X119=0,"0",X119)),IF($R119="",SUM($Z119:$AB119),IF($R119=0,"0",$G119*IF($K119="",1,$K119)*$R119)))),"-")</f>
        <v/>
      </c>
      <c r="AD119" s="680" t="str">
        <f>IFERROR(IF(AND($M119="",$T119=""),"",IF($M119="",IF(Y119=0,"-",Y119),IF(S119=0,"0",$G119*IF($K119="",1,$K119)*S119))),"-")</f>
        <v/>
      </c>
      <c r="AE119" s="148"/>
      <c r="AF119" s="600"/>
      <c r="AG119" s="613"/>
      <c r="AH119" s="548"/>
      <c r="AI119" s="607"/>
    </row>
    <row r="120" spans="1:46" s="24" customFormat="1">
      <c r="B120" s="11"/>
      <c r="C120" s="11"/>
      <c r="D120" s="12"/>
      <c r="E120" s="836"/>
      <c r="F120" s="7"/>
      <c r="G120" s="7"/>
      <c r="H120" s="7"/>
      <c r="I120" s="7"/>
      <c r="J120" s="7"/>
      <c r="K120" s="7"/>
      <c r="L120" s="7"/>
      <c r="M120" s="848"/>
      <c r="N120" s="7"/>
      <c r="O120" s="7"/>
      <c r="P120" s="7"/>
      <c r="Q120" s="7"/>
      <c r="R120" s="7"/>
      <c r="S120" s="7"/>
      <c r="T120" s="7"/>
      <c r="U120" s="7"/>
      <c r="V120" s="7"/>
      <c r="W120" s="7"/>
      <c r="X120" s="7"/>
      <c r="Y120" s="7"/>
      <c r="Z120" s="10"/>
      <c r="AA120" s="10"/>
      <c r="AB120" s="10"/>
      <c r="AC120" s="10"/>
      <c r="AD120" s="10"/>
      <c r="AE120" s="7"/>
      <c r="AF120" s="7"/>
      <c r="AG120" s="614"/>
      <c r="AH120" s="614"/>
      <c r="AI120" s="614"/>
    </row>
    <row r="121" spans="1:46" s="22" customFormat="1" ht="18.75">
      <c r="B121" s="23" t="s">
        <v>238</v>
      </c>
      <c r="C121" s="18"/>
      <c r="D121" s="19"/>
      <c r="E121" s="818"/>
      <c r="F121" s="20"/>
      <c r="G121" s="18"/>
      <c r="H121" s="18"/>
      <c r="I121" s="18"/>
      <c r="J121" s="18"/>
      <c r="K121" s="18"/>
      <c r="L121" s="18"/>
      <c r="M121" s="776"/>
      <c r="N121" s="18"/>
      <c r="O121" s="18"/>
      <c r="P121" s="18"/>
      <c r="Q121" s="18"/>
      <c r="R121" s="18"/>
      <c r="S121" s="18"/>
      <c r="T121" s="18"/>
      <c r="U121" s="18"/>
      <c r="V121" s="18"/>
      <c r="W121" s="18"/>
      <c r="X121" s="18"/>
      <c r="Y121" s="18"/>
      <c r="Z121" s="30"/>
      <c r="AA121" s="30"/>
      <c r="AB121" s="30"/>
      <c r="AC121" s="30"/>
      <c r="AD121" s="30"/>
      <c r="AE121" s="20"/>
      <c r="AF121" s="20"/>
      <c r="AG121" s="611"/>
      <c r="AH121" s="611"/>
      <c r="AI121" s="611"/>
    </row>
    <row r="122" spans="1:46" s="24" customFormat="1" ht="16.5" thickBot="1">
      <c r="B122" s="11"/>
      <c r="C122" s="11"/>
      <c r="D122" s="12"/>
      <c r="E122" s="836"/>
      <c r="F122" s="7"/>
      <c r="G122" s="7"/>
      <c r="H122" s="7"/>
      <c r="I122" s="7"/>
      <c r="J122" s="7"/>
      <c r="K122" s="7"/>
      <c r="L122" s="7"/>
      <c r="M122" s="848"/>
      <c r="N122" s="7"/>
      <c r="O122" s="7"/>
      <c r="P122" s="7"/>
      <c r="Q122" s="7"/>
      <c r="R122" s="7"/>
      <c r="S122" s="7"/>
      <c r="T122" s="7"/>
      <c r="U122" s="7"/>
      <c r="V122" s="7"/>
      <c r="W122" s="7"/>
      <c r="X122" s="7"/>
      <c r="Y122" s="7"/>
      <c r="Z122" s="10"/>
      <c r="AA122" s="10"/>
      <c r="AB122" s="10"/>
      <c r="AC122" s="10"/>
      <c r="AD122" s="10"/>
      <c r="AE122" s="7"/>
      <c r="AF122" s="7"/>
      <c r="AG122" s="614"/>
      <c r="AH122" s="614"/>
      <c r="AI122" s="614"/>
    </row>
    <row r="123" spans="1:46" s="68" customFormat="1" ht="15.95" customHeight="1">
      <c r="A123" s="120"/>
      <c r="B123" s="1139" t="s">
        <v>39</v>
      </c>
      <c r="C123" s="1133" t="s">
        <v>40</v>
      </c>
      <c r="D123" s="1056" t="s">
        <v>245</v>
      </c>
      <c r="E123" s="1144"/>
      <c r="F123" s="1134" t="s">
        <v>300</v>
      </c>
      <c r="G123" s="1141" t="s">
        <v>171</v>
      </c>
      <c r="H123" s="1142"/>
      <c r="I123" s="1130" t="s">
        <v>871</v>
      </c>
      <c r="J123" s="1131"/>
      <c r="K123" s="1132"/>
      <c r="L123" s="1134" t="s">
        <v>305</v>
      </c>
      <c r="M123" s="1063" t="s">
        <v>798</v>
      </c>
      <c r="N123" s="1112" t="s">
        <v>798</v>
      </c>
      <c r="O123" s="1112"/>
      <c r="P123" s="1112"/>
      <c r="Q123" s="1112"/>
      <c r="R123" s="1112"/>
      <c r="S123" s="1113"/>
      <c r="T123" s="1119" t="s">
        <v>967</v>
      </c>
      <c r="U123" s="1114" t="s">
        <v>975</v>
      </c>
      <c r="V123" s="1114"/>
      <c r="W123" s="1114"/>
      <c r="X123" s="1114"/>
      <c r="Y123" s="1114"/>
      <c r="Z123" s="1143" t="s">
        <v>292</v>
      </c>
      <c r="AA123" s="1143"/>
      <c r="AB123" s="1143"/>
      <c r="AC123" s="1143"/>
      <c r="AD123" s="1143"/>
      <c r="AE123" s="1133" t="s">
        <v>43</v>
      </c>
      <c r="AF123" s="1133"/>
      <c r="AG123" s="1128" t="s">
        <v>799</v>
      </c>
      <c r="AH123" s="1073" t="s">
        <v>734</v>
      </c>
      <c r="AI123" s="1126" t="s">
        <v>850</v>
      </c>
      <c r="AJ123" s="67"/>
      <c r="AK123" s="67"/>
      <c r="AL123" s="67"/>
      <c r="AM123" s="67"/>
      <c r="AN123" s="67"/>
      <c r="AO123" s="67"/>
      <c r="AP123" s="67"/>
      <c r="AQ123" s="67"/>
      <c r="AR123" s="67"/>
      <c r="AS123" s="67"/>
      <c r="AT123" s="67"/>
    </row>
    <row r="124" spans="1:46" s="68" customFormat="1" ht="19.5" thickBot="1">
      <c r="A124" s="120"/>
      <c r="B124" s="1140"/>
      <c r="C124" s="1135"/>
      <c r="D124" s="515" t="s">
        <v>246</v>
      </c>
      <c r="E124" s="819" t="s">
        <v>244</v>
      </c>
      <c r="F124" s="1135"/>
      <c r="G124" s="515" t="s">
        <v>172</v>
      </c>
      <c r="H124" s="515" t="s">
        <v>173</v>
      </c>
      <c r="I124" s="528" t="s">
        <v>831</v>
      </c>
      <c r="J124" s="528" t="s">
        <v>832</v>
      </c>
      <c r="K124" s="528" t="s">
        <v>965</v>
      </c>
      <c r="L124" s="1135"/>
      <c r="M124" s="1064"/>
      <c r="N124" s="537" t="s">
        <v>173</v>
      </c>
      <c r="O124" s="538" t="s">
        <v>969</v>
      </c>
      <c r="P124" s="538" t="s">
        <v>970</v>
      </c>
      <c r="Q124" s="538" t="s">
        <v>971</v>
      </c>
      <c r="R124" s="538" t="s">
        <v>972</v>
      </c>
      <c r="S124" s="538" t="s">
        <v>973</v>
      </c>
      <c r="T124" s="1120"/>
      <c r="U124" s="538" t="s">
        <v>969</v>
      </c>
      <c r="V124" s="538" t="s">
        <v>970</v>
      </c>
      <c r="W124" s="538" t="s">
        <v>971</v>
      </c>
      <c r="X124" s="538" t="s">
        <v>972</v>
      </c>
      <c r="Y124" s="538" t="s">
        <v>973</v>
      </c>
      <c r="Z124" s="100" t="s">
        <v>293</v>
      </c>
      <c r="AA124" s="100" t="s">
        <v>294</v>
      </c>
      <c r="AB124" s="100" t="s">
        <v>295</v>
      </c>
      <c r="AC124" s="100" t="s">
        <v>296</v>
      </c>
      <c r="AD124" s="100" t="s">
        <v>297</v>
      </c>
      <c r="AE124" s="515" t="s">
        <v>46</v>
      </c>
      <c r="AF124" s="515" t="s">
        <v>47</v>
      </c>
      <c r="AG124" s="1129"/>
      <c r="AH124" s="1074"/>
      <c r="AI124" s="1127"/>
      <c r="AJ124" s="67"/>
      <c r="AK124" s="67"/>
      <c r="AL124" s="67"/>
      <c r="AM124" s="67"/>
      <c r="AN124" s="67"/>
      <c r="AO124" s="67"/>
      <c r="AP124" s="67"/>
      <c r="AQ124" s="67"/>
      <c r="AR124" s="67"/>
      <c r="AS124" s="67"/>
      <c r="AT124" s="67"/>
    </row>
    <row r="125" spans="1:46" s="74" customFormat="1">
      <c r="A125" s="22"/>
      <c r="B125" s="70" t="s">
        <v>88</v>
      </c>
      <c r="C125" s="118">
        <v>1</v>
      </c>
      <c r="D125" s="84" t="s">
        <v>86</v>
      </c>
      <c r="E125" s="822"/>
      <c r="F125" s="119"/>
      <c r="G125" s="119"/>
      <c r="H125" s="119"/>
      <c r="I125" s="73"/>
      <c r="J125" s="73"/>
      <c r="K125" s="73"/>
      <c r="L125" s="73"/>
      <c r="M125" s="850"/>
      <c r="N125" s="73"/>
      <c r="O125" s="73"/>
      <c r="P125" s="73"/>
      <c r="Q125" s="73"/>
      <c r="R125" s="73"/>
      <c r="S125" s="73"/>
      <c r="T125" s="73"/>
      <c r="U125" s="73"/>
      <c r="V125" s="73"/>
      <c r="W125" s="73"/>
      <c r="X125" s="73"/>
      <c r="Y125" s="73"/>
      <c r="Z125" s="683"/>
      <c r="AA125" s="683"/>
      <c r="AB125" s="683"/>
      <c r="AC125" s="683"/>
      <c r="AD125" s="683"/>
      <c r="AE125" s="73"/>
      <c r="AF125" s="468"/>
      <c r="AG125" s="543"/>
      <c r="AH125" s="603"/>
      <c r="AI125" s="603"/>
      <c r="AJ125" s="69"/>
      <c r="AK125" s="69"/>
      <c r="AL125" s="69"/>
      <c r="AM125" s="69"/>
      <c r="AN125" s="69"/>
      <c r="AO125" s="69"/>
      <c r="AP125" s="69"/>
      <c r="AQ125" s="69"/>
      <c r="AR125" s="69"/>
      <c r="AS125" s="69"/>
      <c r="AT125" s="69"/>
    </row>
    <row r="126" spans="1:46" s="723" customFormat="1" ht="54" customHeight="1">
      <c r="B126" s="724" t="s">
        <v>88</v>
      </c>
      <c r="C126" s="725">
        <v>1</v>
      </c>
      <c r="D126" s="726" t="s">
        <v>669</v>
      </c>
      <c r="E126" s="833" t="s">
        <v>1320</v>
      </c>
      <c r="F126" s="727"/>
      <c r="G126" s="733">
        <v>3543319000</v>
      </c>
      <c r="H126" s="725" t="s">
        <v>942</v>
      </c>
      <c r="I126" s="725"/>
      <c r="J126" s="725"/>
      <c r="K126" s="725"/>
      <c r="L126" s="725" t="s">
        <v>309</v>
      </c>
      <c r="M126" s="851" t="s">
        <v>1319</v>
      </c>
      <c r="N126" s="728" t="str">
        <f>IFERROR(CONCATENATE("tCO2e/",VLOOKUP($M126,'Emission factors'!$C:$H,6,FALSE)),"")</f>
        <v>tCO2e/m3</v>
      </c>
      <c r="O126" s="728">
        <f>IFERROR(VLOOKUP($M126,'Emission factors'!$C:$BQ,9,FALSE),"")</f>
        <v>8.4498520697110432E-8</v>
      </c>
      <c r="P126" s="728">
        <f>IFERROR(VLOOKUP($M126,'Emission factors'!$C:$BQ,12,FALSE),"")</f>
        <v>4.1457809879442501E-5</v>
      </c>
      <c r="Q126" s="728" t="str">
        <f>IFERROR(VLOOKUP($M126,'Emission factors'!$C:$BQ,15,FALSE),"")</f>
        <v/>
      </c>
      <c r="R126" s="728" t="str">
        <f>IFERROR(VLOOKUP($M126,'Emission factors'!$C:$BQ,65,FALSE),"")</f>
        <v/>
      </c>
      <c r="S126" s="728">
        <f>IFERROR(VLOOKUP($M126,'Emission factors'!$C:$BQ,67,FALSE),"")</f>
        <v>0</v>
      </c>
      <c r="T126" s="725"/>
      <c r="U126" s="725"/>
      <c r="V126" s="725"/>
      <c r="W126" s="725"/>
      <c r="X126" s="725"/>
      <c r="Y126" s="725"/>
      <c r="Z126" s="716">
        <f>IFERROR(IF(AND($M126="",$T126=""),"",IF($M126="",IF(U126=0,"-",U126),IF(O126=0,"0",$G126*IF($K126="",1,$K126)*O126))),"-")</f>
        <v>299.40521385796461</v>
      </c>
      <c r="AA126" s="716">
        <f t="shared" ref="Z126:AB127" si="30">IFERROR(IF(AND($M126="",$T126=""),"",IF($M126="",IF(V126=0,"-",V126),IF(P126=0,"0",$G126*IF($K126="",1,$K126)*P126))),"-")</f>
        <v>146898.24544421633</v>
      </c>
      <c r="AB126" s="716"/>
      <c r="AC126" s="716">
        <f>IFERROR(IF(AND($M126="",$T126=""),"",IF($M126="",IF(X126="",SUM(U126:W126),IF(X126=0,"0",X126)),IF($R126="",SUM($Z126:$AB126),IF($R126=0,"0",$G126*IF($K126="",1,$K126)*$R126)))),"-")</f>
        <v>147197.6506580743</v>
      </c>
      <c r="AD126" s="729" t="str">
        <f>IFERROR(IF(AND($M126="",$T126=""),"",IF($M126="",IF(Y126=0,"-",Y126),IF(S126=0,"0",$G126*IF($K126="",1,$K126)*S126))),"-")</f>
        <v>0</v>
      </c>
      <c r="AE126" s="725" t="s">
        <v>182</v>
      </c>
      <c r="AF126" s="170" t="s">
        <v>181</v>
      </c>
      <c r="AG126" s="731" t="s">
        <v>1321</v>
      </c>
      <c r="AH126" s="435" t="s">
        <v>1198</v>
      </c>
      <c r="AI126" s="732"/>
    </row>
    <row r="127" spans="1:46" s="22" customFormat="1" ht="16.5" thickBot="1">
      <c r="A127" s="52"/>
      <c r="B127" s="107" t="s">
        <v>88</v>
      </c>
      <c r="C127" s="99">
        <v>1</v>
      </c>
      <c r="D127" s="117"/>
      <c r="E127" s="835"/>
      <c r="F127" s="99"/>
      <c r="G127" s="525"/>
      <c r="H127" s="148"/>
      <c r="I127" s="148"/>
      <c r="J127" s="148"/>
      <c r="K127" s="148"/>
      <c r="L127" s="148"/>
      <c r="M127" s="609"/>
      <c r="N127" s="526" t="str">
        <f>IFERROR(CONCATENATE("tCO2e/",VLOOKUP($M127,'Emission factors'!$C:$H,6,FALSE)),"")</f>
        <v/>
      </c>
      <c r="O127" s="526" t="str">
        <f>IFERROR(VLOOKUP($M127,'Emission factors'!$C:$BQ,9,FALSE),"")</f>
        <v/>
      </c>
      <c r="P127" s="526" t="str">
        <f>IFERROR(VLOOKUP($M127,'Emission factors'!$C:$BQ,12,FALSE),"")</f>
        <v/>
      </c>
      <c r="Q127" s="526" t="str">
        <f>IFERROR(VLOOKUP($M127,'Emission factors'!$C:$BQ,15,FALSE),"")</f>
        <v/>
      </c>
      <c r="R127" s="526" t="str">
        <f>IFERROR(VLOOKUP($M127,'Emission factors'!$C:$BQ,65,FALSE),"")</f>
        <v/>
      </c>
      <c r="S127" s="526" t="str">
        <f>IFERROR(VLOOKUP($M127,'Emission factors'!$C:$BQ,67,FALSE),"")</f>
        <v/>
      </c>
      <c r="T127" s="99"/>
      <c r="U127" s="148"/>
      <c r="V127" s="148"/>
      <c r="W127" s="148"/>
      <c r="X127" s="148"/>
      <c r="Y127" s="148"/>
      <c r="Z127" s="680" t="str">
        <f t="shared" si="30"/>
        <v/>
      </c>
      <c r="AA127" s="680" t="str">
        <f t="shared" si="30"/>
        <v/>
      </c>
      <c r="AB127" s="680" t="str">
        <f t="shared" si="30"/>
        <v/>
      </c>
      <c r="AC127" s="680" t="str">
        <f>IFERROR(IF(AND($M127="",$T127=""),"",IF($M127="",IF(X127="",SUM(U127:W127),IF(X127=0,"0",X127)),IF($R127="",SUM($Z127:$AB127),IF($R127=0,"0",$G127*IF($K127="",1,$K127)*$R127)))),"-")</f>
        <v/>
      </c>
      <c r="AD127" s="680" t="str">
        <f>IFERROR(IF(AND($M127="",$T127=""),"",IF($M127="",IF(Y127=0,"-",Y127),IF(S127=0,"0",$G127*IF($K127="",1,$K127)*S127))),"-")</f>
        <v/>
      </c>
      <c r="AE127" s="148"/>
      <c r="AF127" s="600"/>
      <c r="AG127" s="613"/>
      <c r="AH127" s="548"/>
      <c r="AI127" s="607"/>
    </row>
    <row r="128" spans="1:46" s="22" customFormat="1">
      <c r="B128" s="120"/>
      <c r="C128" s="120"/>
      <c r="E128" s="841"/>
      <c r="G128" s="720"/>
      <c r="H128" s="52"/>
      <c r="I128" s="52"/>
      <c r="J128" s="52"/>
      <c r="K128" s="52"/>
      <c r="L128" s="52"/>
      <c r="M128" s="852"/>
      <c r="N128" s="52"/>
      <c r="O128" s="52"/>
      <c r="P128" s="52"/>
      <c r="Q128" s="52"/>
      <c r="R128" s="52"/>
      <c r="S128" s="52"/>
      <c r="T128" s="52"/>
      <c r="U128" s="52"/>
      <c r="V128" s="52"/>
      <c r="W128" s="52"/>
      <c r="X128" s="52"/>
      <c r="Y128" s="52"/>
      <c r="Z128" s="674"/>
      <c r="AA128" s="674"/>
      <c r="AB128" s="674"/>
      <c r="AC128" s="674"/>
      <c r="AD128" s="674"/>
      <c r="AG128" s="854"/>
      <c r="AH128" s="665"/>
      <c r="AI128" s="665"/>
    </row>
    <row r="129" spans="2:35" s="24" customFormat="1" ht="15" customHeight="1">
      <c r="B129" s="150" t="s">
        <v>621</v>
      </c>
      <c r="C129" s="27"/>
      <c r="D129" s="28"/>
      <c r="E129" s="817"/>
      <c r="G129" s="29"/>
      <c r="H129" s="29"/>
      <c r="I129" s="29"/>
      <c r="J129" s="29"/>
      <c r="K129" s="29"/>
      <c r="L129" s="29"/>
      <c r="M129" s="843"/>
      <c r="N129" s="29"/>
      <c r="O129" s="29"/>
      <c r="P129" s="29"/>
      <c r="Q129" s="29"/>
      <c r="R129" s="29"/>
      <c r="S129" s="29"/>
      <c r="T129" s="29"/>
      <c r="U129" s="29"/>
      <c r="V129" s="29"/>
      <c r="W129" s="29"/>
      <c r="X129" s="29"/>
      <c r="Y129" s="29"/>
      <c r="Z129" s="673"/>
      <c r="AA129" s="673"/>
      <c r="AB129" s="673"/>
      <c r="AC129" s="673"/>
      <c r="AD129" s="673"/>
      <c r="AG129" s="853"/>
      <c r="AH129" s="661"/>
      <c r="AI129" s="661"/>
    </row>
    <row r="130" spans="2:35" s="24" customFormat="1">
      <c r="B130" s="27"/>
      <c r="C130" s="27"/>
      <c r="D130" s="28"/>
      <c r="E130" s="817"/>
      <c r="G130" s="29"/>
      <c r="H130" s="29"/>
      <c r="I130" s="29"/>
      <c r="J130" s="29"/>
      <c r="K130" s="29"/>
      <c r="L130" s="29"/>
      <c r="M130" s="843"/>
      <c r="N130" s="29"/>
      <c r="O130" s="29"/>
      <c r="P130" s="29"/>
      <c r="Q130" s="29"/>
      <c r="R130" s="29"/>
      <c r="S130" s="29"/>
      <c r="T130" s="29"/>
      <c r="U130" s="29"/>
      <c r="V130" s="29"/>
      <c r="W130" s="29"/>
      <c r="X130" s="29"/>
      <c r="Y130" s="29"/>
      <c r="Z130" s="673"/>
      <c r="AA130" s="673"/>
      <c r="AB130" s="673"/>
      <c r="AC130" s="673"/>
      <c r="AD130" s="673"/>
      <c r="AG130" s="853"/>
      <c r="AH130" s="661"/>
      <c r="AI130" s="661"/>
    </row>
    <row r="131" spans="2:35" s="24" customFormat="1">
      <c r="B131" s="27"/>
      <c r="C131" s="27"/>
      <c r="D131" s="28"/>
      <c r="E131" s="817"/>
      <c r="G131" s="29"/>
      <c r="H131" s="29"/>
      <c r="I131" s="29"/>
      <c r="J131" s="29"/>
      <c r="K131" s="29"/>
      <c r="L131" s="29"/>
      <c r="M131" s="843"/>
      <c r="N131" s="29"/>
      <c r="O131" s="29"/>
      <c r="P131" s="29"/>
      <c r="Q131" s="29"/>
      <c r="R131" s="29"/>
      <c r="S131" s="29"/>
      <c r="T131" s="29"/>
      <c r="U131" s="29"/>
      <c r="V131" s="29"/>
      <c r="W131" s="29"/>
      <c r="X131" s="29"/>
      <c r="Y131" s="29"/>
      <c r="Z131" s="673"/>
      <c r="AA131" s="673"/>
      <c r="AB131" s="673"/>
      <c r="AC131" s="673"/>
      <c r="AD131" s="673"/>
      <c r="AG131" s="853"/>
      <c r="AH131" s="661"/>
      <c r="AI131" s="661"/>
    </row>
    <row r="132" spans="2:35" s="24" customFormat="1">
      <c r="B132" s="27"/>
      <c r="C132" s="27"/>
      <c r="D132" s="28"/>
      <c r="E132" s="817"/>
      <c r="G132" s="29"/>
      <c r="H132" s="29"/>
      <c r="I132" s="29"/>
      <c r="J132" s="29"/>
      <c r="K132" s="29"/>
      <c r="L132" s="29"/>
      <c r="M132" s="843"/>
      <c r="N132" s="29"/>
      <c r="O132" s="29"/>
      <c r="P132" s="29"/>
      <c r="Q132" s="29"/>
      <c r="R132" s="29"/>
      <c r="S132" s="29"/>
      <c r="T132" s="29"/>
      <c r="U132" s="29"/>
      <c r="V132" s="29"/>
      <c r="W132" s="29"/>
      <c r="X132" s="29"/>
      <c r="Y132" s="29"/>
      <c r="Z132" s="673"/>
      <c r="AA132" s="673"/>
      <c r="AB132" s="673"/>
      <c r="AC132" s="673"/>
      <c r="AD132" s="673"/>
      <c r="AG132" s="853"/>
      <c r="AH132" s="661"/>
      <c r="AI132" s="661"/>
    </row>
    <row r="133" spans="2:35" s="24" customFormat="1">
      <c r="B133" s="27"/>
      <c r="C133" s="27"/>
      <c r="D133" s="28"/>
      <c r="E133" s="817"/>
      <c r="G133" s="29"/>
      <c r="H133" s="29"/>
      <c r="I133" s="29"/>
      <c r="J133" s="29"/>
      <c r="K133" s="29"/>
      <c r="L133" s="29"/>
      <c r="M133" s="843"/>
      <c r="N133" s="29"/>
      <c r="O133" s="29"/>
      <c r="P133" s="29"/>
      <c r="Q133" s="29"/>
      <c r="R133" s="29"/>
      <c r="S133" s="29"/>
      <c r="T133" s="29"/>
      <c r="U133" s="29"/>
      <c r="V133" s="29"/>
      <c r="W133" s="29"/>
      <c r="X133" s="29"/>
      <c r="Y133" s="29"/>
      <c r="Z133" s="673"/>
      <c r="AA133" s="673"/>
      <c r="AB133" s="673"/>
      <c r="AC133" s="673"/>
      <c r="AD133" s="673"/>
      <c r="AG133" s="853"/>
      <c r="AH133" s="661"/>
      <c r="AI133" s="661"/>
    </row>
    <row r="134" spans="2:35" s="24" customFormat="1">
      <c r="B134" s="27"/>
      <c r="C134" s="27"/>
      <c r="D134" s="28"/>
      <c r="E134" s="817"/>
      <c r="G134" s="29"/>
      <c r="H134" s="29"/>
      <c r="I134" s="29"/>
      <c r="J134" s="29"/>
      <c r="K134" s="29"/>
      <c r="L134" s="29"/>
      <c r="M134" s="843"/>
      <c r="N134" s="29"/>
      <c r="O134" s="29"/>
      <c r="P134" s="29"/>
      <c r="Q134" s="29"/>
      <c r="R134" s="29"/>
      <c r="S134" s="29"/>
      <c r="T134" s="29"/>
      <c r="U134" s="29"/>
      <c r="V134" s="29"/>
      <c r="W134" s="29"/>
      <c r="X134" s="29"/>
      <c r="Y134" s="29"/>
      <c r="Z134" s="673"/>
      <c r="AA134" s="673"/>
      <c r="AB134" s="673"/>
      <c r="AC134" s="673"/>
      <c r="AD134" s="673"/>
      <c r="AG134" s="853"/>
      <c r="AH134" s="661"/>
      <c r="AI134" s="661"/>
    </row>
    <row r="135" spans="2:35" s="24" customFormat="1">
      <c r="B135" s="27"/>
      <c r="C135" s="27"/>
      <c r="D135" s="28"/>
      <c r="E135" s="817"/>
      <c r="G135" s="29"/>
      <c r="H135" s="29"/>
      <c r="I135" s="29"/>
      <c r="J135" s="29"/>
      <c r="K135" s="29"/>
      <c r="L135" s="29"/>
      <c r="M135" s="843"/>
      <c r="N135" s="29"/>
      <c r="O135" s="29"/>
      <c r="P135" s="29"/>
      <c r="Q135" s="29"/>
      <c r="R135" s="29"/>
      <c r="S135" s="29"/>
      <c r="T135" s="29"/>
      <c r="U135" s="29"/>
      <c r="V135" s="29"/>
      <c r="W135" s="29"/>
      <c r="X135" s="29"/>
      <c r="Y135" s="29"/>
      <c r="Z135" s="673"/>
      <c r="AA135" s="673"/>
      <c r="AB135" s="673"/>
      <c r="AC135" s="673"/>
      <c r="AD135" s="673"/>
      <c r="AG135" s="853"/>
      <c r="AH135" s="661"/>
      <c r="AI135" s="661"/>
    </row>
    <row r="136" spans="2:35" s="24" customFormat="1">
      <c r="B136" s="27"/>
      <c r="C136" s="27"/>
      <c r="D136" s="28"/>
      <c r="E136" s="817"/>
      <c r="G136" s="29"/>
      <c r="H136" s="29"/>
      <c r="I136" s="29"/>
      <c r="J136" s="29"/>
      <c r="K136" s="29"/>
      <c r="L136" s="29"/>
      <c r="M136" s="843"/>
      <c r="N136" s="29"/>
      <c r="O136" s="29"/>
      <c r="P136" s="29"/>
      <c r="Q136" s="29"/>
      <c r="R136" s="29"/>
      <c r="S136" s="29"/>
      <c r="T136" s="29"/>
      <c r="U136" s="29"/>
      <c r="V136" s="29"/>
      <c r="W136" s="29"/>
      <c r="X136" s="29"/>
      <c r="Y136" s="29"/>
      <c r="Z136" s="673"/>
      <c r="AA136" s="673"/>
      <c r="AB136" s="673"/>
      <c r="AC136" s="673"/>
      <c r="AD136" s="673"/>
      <c r="AG136" s="853"/>
      <c r="AH136" s="661"/>
      <c r="AI136" s="661"/>
    </row>
    <row r="137" spans="2:35" s="24" customFormat="1">
      <c r="B137" s="27"/>
      <c r="C137" s="27"/>
      <c r="D137" s="28"/>
      <c r="E137" s="817"/>
      <c r="G137" s="29"/>
      <c r="H137" s="29"/>
      <c r="I137" s="29"/>
      <c r="J137" s="29"/>
      <c r="K137" s="29"/>
      <c r="L137" s="29"/>
      <c r="M137" s="843"/>
      <c r="N137" s="29"/>
      <c r="O137" s="29"/>
      <c r="P137" s="29"/>
      <c r="Q137" s="29"/>
      <c r="R137" s="29"/>
      <c r="S137" s="29"/>
      <c r="T137" s="29"/>
      <c r="U137" s="29"/>
      <c r="V137" s="29"/>
      <c r="W137" s="29"/>
      <c r="X137" s="29"/>
      <c r="Y137" s="29"/>
      <c r="Z137" s="673"/>
      <c r="AA137" s="673"/>
      <c r="AB137" s="673"/>
      <c r="AC137" s="673"/>
      <c r="AD137" s="673"/>
      <c r="AG137" s="853"/>
      <c r="AH137" s="661"/>
      <c r="AI137" s="661"/>
    </row>
    <row r="138" spans="2:35" s="24" customFormat="1">
      <c r="B138" s="27"/>
      <c r="C138" s="27"/>
      <c r="D138" s="28"/>
      <c r="E138" s="817"/>
      <c r="G138" s="29"/>
      <c r="H138" s="29"/>
      <c r="I138" s="29"/>
      <c r="J138" s="29"/>
      <c r="K138" s="29"/>
      <c r="L138" s="29"/>
      <c r="M138" s="843"/>
      <c r="N138" s="29"/>
      <c r="O138" s="29"/>
      <c r="P138" s="29"/>
      <c r="Q138" s="29"/>
      <c r="R138" s="29"/>
      <c r="S138" s="29"/>
      <c r="T138" s="29"/>
      <c r="U138" s="29"/>
      <c r="V138" s="29"/>
      <c r="W138" s="29"/>
      <c r="X138" s="29"/>
      <c r="Y138" s="29"/>
      <c r="Z138" s="673"/>
      <c r="AA138" s="673"/>
      <c r="AB138" s="673"/>
      <c r="AC138" s="673"/>
      <c r="AD138" s="673"/>
      <c r="AG138" s="853"/>
      <c r="AH138" s="661"/>
      <c r="AI138" s="661"/>
    </row>
    <row r="139" spans="2:35" s="24" customFormat="1">
      <c r="B139" s="27"/>
      <c r="C139" s="27"/>
      <c r="D139" s="28"/>
      <c r="E139" s="817"/>
      <c r="G139" s="29"/>
      <c r="H139" s="29"/>
      <c r="I139" s="29"/>
      <c r="J139" s="29"/>
      <c r="K139" s="29"/>
      <c r="L139" s="29"/>
      <c r="M139" s="843"/>
      <c r="N139" s="29"/>
      <c r="O139" s="29"/>
      <c r="P139" s="29"/>
      <c r="Q139" s="29"/>
      <c r="R139" s="29"/>
      <c r="S139" s="29"/>
      <c r="T139" s="29"/>
      <c r="U139" s="29"/>
      <c r="V139" s="29"/>
      <c r="W139" s="29"/>
      <c r="X139" s="29"/>
      <c r="Y139" s="29"/>
      <c r="Z139" s="673"/>
      <c r="AA139" s="673"/>
      <c r="AB139" s="673"/>
      <c r="AC139" s="673"/>
      <c r="AD139" s="673"/>
      <c r="AG139" s="853"/>
      <c r="AH139" s="661"/>
      <c r="AI139" s="661"/>
    </row>
    <row r="140" spans="2:35" s="24" customFormat="1">
      <c r="B140" s="27"/>
      <c r="C140" s="27"/>
      <c r="D140" s="28"/>
      <c r="E140" s="817"/>
      <c r="G140" s="29"/>
      <c r="H140" s="29"/>
      <c r="I140" s="29"/>
      <c r="J140" s="29"/>
      <c r="K140" s="29"/>
      <c r="L140" s="29"/>
      <c r="M140" s="843"/>
      <c r="N140" s="29"/>
      <c r="O140" s="29"/>
      <c r="P140" s="29"/>
      <c r="Q140" s="29"/>
      <c r="R140" s="29"/>
      <c r="S140" s="29"/>
      <c r="T140" s="29"/>
      <c r="U140" s="29"/>
      <c r="V140" s="29"/>
      <c r="W140" s="29"/>
      <c r="X140" s="29"/>
      <c r="Y140" s="29"/>
      <c r="Z140" s="673"/>
      <c r="AA140" s="673"/>
      <c r="AB140" s="673"/>
      <c r="AC140" s="673"/>
      <c r="AD140" s="673"/>
      <c r="AG140" s="853"/>
      <c r="AH140" s="661"/>
      <c r="AI140" s="661"/>
    </row>
    <row r="141" spans="2:35" s="24" customFormat="1">
      <c r="B141" s="27"/>
      <c r="C141" s="27"/>
      <c r="D141" s="28"/>
      <c r="E141" s="817"/>
      <c r="G141" s="29"/>
      <c r="H141" s="29"/>
      <c r="I141" s="29"/>
      <c r="J141" s="29"/>
      <c r="K141" s="29"/>
      <c r="L141" s="29"/>
      <c r="M141" s="843"/>
      <c r="N141" s="29"/>
      <c r="O141" s="29"/>
      <c r="P141" s="29"/>
      <c r="Q141" s="29"/>
      <c r="R141" s="29"/>
      <c r="S141" s="29"/>
      <c r="T141" s="29"/>
      <c r="U141" s="29"/>
      <c r="V141" s="29"/>
      <c r="W141" s="29"/>
      <c r="X141" s="29"/>
      <c r="Y141" s="29"/>
      <c r="Z141" s="673"/>
      <c r="AA141" s="673"/>
      <c r="AB141" s="673"/>
      <c r="AC141" s="673"/>
      <c r="AD141" s="673"/>
      <c r="AG141" s="853"/>
      <c r="AH141" s="661"/>
      <c r="AI141" s="661"/>
    </row>
    <row r="142" spans="2:35" s="24" customFormat="1">
      <c r="B142" s="27"/>
      <c r="C142" s="27"/>
      <c r="D142" s="28"/>
      <c r="E142" s="817"/>
      <c r="G142" s="29"/>
      <c r="H142" s="29"/>
      <c r="I142" s="29"/>
      <c r="J142" s="29"/>
      <c r="K142" s="29"/>
      <c r="L142" s="29"/>
      <c r="M142" s="843"/>
      <c r="N142" s="29"/>
      <c r="O142" s="29"/>
      <c r="P142" s="29"/>
      <c r="Q142" s="29"/>
      <c r="R142" s="29"/>
      <c r="S142" s="29"/>
      <c r="T142" s="29"/>
      <c r="U142" s="29"/>
      <c r="V142" s="29"/>
      <c r="W142" s="29"/>
      <c r="X142" s="29"/>
      <c r="Y142" s="29"/>
      <c r="Z142" s="673"/>
      <c r="AA142" s="673"/>
      <c r="AB142" s="673"/>
      <c r="AC142" s="673"/>
      <c r="AD142" s="673"/>
      <c r="AG142" s="853"/>
      <c r="AH142" s="661"/>
      <c r="AI142" s="661"/>
    </row>
    <row r="143" spans="2:35" s="24" customFormat="1">
      <c r="B143" s="27"/>
      <c r="C143" s="27"/>
      <c r="D143" s="28"/>
      <c r="E143" s="817"/>
      <c r="G143" s="29"/>
      <c r="H143" s="29"/>
      <c r="I143" s="29"/>
      <c r="J143" s="29"/>
      <c r="K143" s="29"/>
      <c r="L143" s="29"/>
      <c r="M143" s="843"/>
      <c r="N143" s="29"/>
      <c r="O143" s="29"/>
      <c r="P143" s="29"/>
      <c r="Q143" s="29"/>
      <c r="R143" s="29"/>
      <c r="S143" s="29"/>
      <c r="T143" s="29"/>
      <c r="U143" s="29"/>
      <c r="V143" s="29"/>
      <c r="W143" s="29"/>
      <c r="X143" s="29"/>
      <c r="Y143" s="29"/>
      <c r="Z143" s="673"/>
      <c r="AA143" s="673"/>
      <c r="AB143" s="673"/>
      <c r="AC143" s="673"/>
      <c r="AD143" s="673"/>
      <c r="AG143" s="853"/>
      <c r="AH143" s="661"/>
      <c r="AI143" s="661"/>
    </row>
    <row r="144" spans="2:35" s="24" customFormat="1">
      <c r="B144" s="27"/>
      <c r="C144" s="27"/>
      <c r="D144" s="28"/>
      <c r="E144" s="817"/>
      <c r="G144" s="29"/>
      <c r="H144" s="29"/>
      <c r="I144" s="29"/>
      <c r="J144" s="29"/>
      <c r="K144" s="29"/>
      <c r="L144" s="29"/>
      <c r="M144" s="843"/>
      <c r="N144" s="29"/>
      <c r="O144" s="29"/>
      <c r="P144" s="29"/>
      <c r="Q144" s="29"/>
      <c r="R144" s="29"/>
      <c r="S144" s="29"/>
      <c r="T144" s="29"/>
      <c r="U144" s="29"/>
      <c r="V144" s="29"/>
      <c r="W144" s="29"/>
      <c r="X144" s="29"/>
      <c r="Y144" s="29"/>
      <c r="Z144" s="673"/>
      <c r="AA144" s="673"/>
      <c r="AB144" s="673"/>
      <c r="AC144" s="673"/>
      <c r="AD144" s="673"/>
      <c r="AG144" s="853"/>
      <c r="AH144" s="661"/>
      <c r="AI144" s="661"/>
    </row>
    <row r="145" spans="2:35" s="24" customFormat="1">
      <c r="B145" s="27"/>
      <c r="C145" s="27"/>
      <c r="D145" s="28"/>
      <c r="E145" s="817"/>
      <c r="G145" s="29"/>
      <c r="H145" s="29"/>
      <c r="I145" s="29"/>
      <c r="J145" s="29"/>
      <c r="K145" s="29"/>
      <c r="L145" s="29"/>
      <c r="M145" s="843"/>
      <c r="N145" s="29"/>
      <c r="O145" s="29"/>
      <c r="P145" s="29"/>
      <c r="Q145" s="29"/>
      <c r="R145" s="29"/>
      <c r="S145" s="29"/>
      <c r="T145" s="29"/>
      <c r="U145" s="29"/>
      <c r="V145" s="29"/>
      <c r="W145" s="29"/>
      <c r="X145" s="29"/>
      <c r="Y145" s="29"/>
      <c r="Z145" s="673"/>
      <c r="AA145" s="673"/>
      <c r="AB145" s="673"/>
      <c r="AC145" s="673"/>
      <c r="AD145" s="673"/>
      <c r="AG145" s="853"/>
      <c r="AH145" s="661"/>
      <c r="AI145" s="661"/>
    </row>
    <row r="146" spans="2:35" s="24" customFormat="1">
      <c r="B146" s="27"/>
      <c r="C146" s="27"/>
      <c r="D146" s="28"/>
      <c r="E146" s="817"/>
      <c r="G146" s="29"/>
      <c r="H146" s="29"/>
      <c r="I146" s="29"/>
      <c r="J146" s="29"/>
      <c r="K146" s="29"/>
      <c r="L146" s="29"/>
      <c r="M146" s="843"/>
      <c r="N146" s="29"/>
      <c r="O146" s="29"/>
      <c r="P146" s="29"/>
      <c r="Q146" s="29"/>
      <c r="R146" s="29"/>
      <c r="S146" s="29"/>
      <c r="T146" s="29"/>
      <c r="U146" s="29"/>
      <c r="V146" s="29"/>
      <c r="W146" s="29"/>
      <c r="X146" s="29"/>
      <c r="Y146" s="29"/>
      <c r="Z146" s="673"/>
      <c r="AA146" s="673"/>
      <c r="AB146" s="673"/>
      <c r="AC146" s="673"/>
      <c r="AD146" s="673"/>
      <c r="AG146" s="853"/>
      <c r="AH146" s="661"/>
      <c r="AI146" s="661"/>
    </row>
    <row r="147" spans="2:35" s="24" customFormat="1">
      <c r="B147" s="27"/>
      <c r="C147" s="27"/>
      <c r="D147" s="28"/>
      <c r="E147" s="817"/>
      <c r="G147" s="29"/>
      <c r="H147" s="29"/>
      <c r="I147" s="29"/>
      <c r="J147" s="29"/>
      <c r="K147" s="29"/>
      <c r="L147" s="29"/>
      <c r="M147" s="843"/>
      <c r="N147" s="29"/>
      <c r="O147" s="29"/>
      <c r="P147" s="29"/>
      <c r="Q147" s="29"/>
      <c r="R147" s="29"/>
      <c r="S147" s="29"/>
      <c r="T147" s="29"/>
      <c r="U147" s="29"/>
      <c r="V147" s="29"/>
      <c r="W147" s="29"/>
      <c r="X147" s="29"/>
      <c r="Y147" s="29"/>
      <c r="Z147" s="673"/>
      <c r="AA147" s="673"/>
      <c r="AB147" s="673"/>
      <c r="AC147" s="673"/>
      <c r="AD147" s="673"/>
      <c r="AG147" s="853"/>
      <c r="AH147" s="661"/>
      <c r="AI147" s="661"/>
    </row>
    <row r="148" spans="2:35" s="24" customFormat="1">
      <c r="B148" s="27"/>
      <c r="C148" s="27"/>
      <c r="D148" s="28"/>
      <c r="E148" s="817"/>
      <c r="G148" s="29"/>
      <c r="H148" s="29"/>
      <c r="I148" s="29"/>
      <c r="J148" s="29"/>
      <c r="K148" s="29"/>
      <c r="L148" s="29"/>
      <c r="M148" s="843"/>
      <c r="N148" s="29"/>
      <c r="O148" s="29"/>
      <c r="P148" s="29"/>
      <c r="Q148" s="29"/>
      <c r="R148" s="29"/>
      <c r="S148" s="29"/>
      <c r="T148" s="29"/>
      <c r="U148" s="29"/>
      <c r="V148" s="29"/>
      <c r="W148" s="29"/>
      <c r="X148" s="29"/>
      <c r="Y148" s="29"/>
      <c r="Z148" s="673"/>
      <c r="AA148" s="673"/>
      <c r="AB148" s="673"/>
      <c r="AC148" s="673"/>
      <c r="AD148" s="673"/>
      <c r="AG148" s="853"/>
      <c r="AH148" s="661"/>
      <c r="AI148" s="661"/>
    </row>
    <row r="149" spans="2:35" s="24" customFormat="1">
      <c r="B149" s="27"/>
      <c r="C149" s="27"/>
      <c r="D149" s="28"/>
      <c r="E149" s="817"/>
      <c r="G149" s="29"/>
      <c r="H149" s="29"/>
      <c r="I149" s="29"/>
      <c r="J149" s="29"/>
      <c r="K149" s="29"/>
      <c r="L149" s="29"/>
      <c r="M149" s="843"/>
      <c r="N149" s="29"/>
      <c r="O149" s="29"/>
      <c r="P149" s="29"/>
      <c r="Q149" s="29"/>
      <c r="R149" s="29"/>
      <c r="S149" s="29"/>
      <c r="T149" s="29"/>
      <c r="U149" s="29"/>
      <c r="V149" s="29"/>
      <c r="W149" s="29"/>
      <c r="X149" s="29"/>
      <c r="Y149" s="29"/>
      <c r="Z149" s="673"/>
      <c r="AA149" s="673"/>
      <c r="AB149" s="673"/>
      <c r="AC149" s="673"/>
      <c r="AD149" s="673"/>
      <c r="AG149" s="853"/>
      <c r="AH149" s="661"/>
      <c r="AI149" s="661"/>
    </row>
    <row r="150" spans="2:35" s="24" customFormat="1">
      <c r="B150" s="27"/>
      <c r="C150" s="27"/>
      <c r="D150" s="28"/>
      <c r="E150" s="817"/>
      <c r="G150" s="29"/>
      <c r="H150" s="29"/>
      <c r="I150" s="29"/>
      <c r="J150" s="29"/>
      <c r="K150" s="29"/>
      <c r="L150" s="29"/>
      <c r="M150" s="843"/>
      <c r="N150" s="29"/>
      <c r="O150" s="29"/>
      <c r="P150" s="29"/>
      <c r="Q150" s="29"/>
      <c r="R150" s="29"/>
      <c r="S150" s="29"/>
      <c r="T150" s="29"/>
      <c r="U150" s="29"/>
      <c r="V150" s="29"/>
      <c r="W150" s="29"/>
      <c r="X150" s="29"/>
      <c r="Y150" s="29"/>
      <c r="Z150" s="673"/>
      <c r="AA150" s="673"/>
      <c r="AB150" s="673"/>
      <c r="AC150" s="673"/>
      <c r="AD150" s="673"/>
      <c r="AG150" s="853"/>
      <c r="AH150" s="661"/>
      <c r="AI150" s="661"/>
    </row>
    <row r="151" spans="2:35" s="24" customFormat="1">
      <c r="B151" s="27"/>
      <c r="C151" s="27"/>
      <c r="D151" s="28"/>
      <c r="E151" s="817"/>
      <c r="G151" s="29"/>
      <c r="H151" s="29"/>
      <c r="I151" s="29"/>
      <c r="J151" s="29"/>
      <c r="K151" s="29"/>
      <c r="L151" s="29"/>
      <c r="M151" s="843"/>
      <c r="N151" s="29"/>
      <c r="O151" s="29"/>
      <c r="P151" s="29"/>
      <c r="Q151" s="29"/>
      <c r="R151" s="29"/>
      <c r="S151" s="29"/>
      <c r="T151" s="29"/>
      <c r="U151" s="29"/>
      <c r="V151" s="29"/>
      <c r="W151" s="29"/>
      <c r="X151" s="29"/>
      <c r="Y151" s="29"/>
      <c r="Z151" s="673"/>
      <c r="AA151" s="673"/>
      <c r="AB151" s="673"/>
      <c r="AC151" s="673"/>
      <c r="AD151" s="673"/>
      <c r="AG151" s="853"/>
      <c r="AH151" s="661"/>
      <c r="AI151" s="661"/>
    </row>
  </sheetData>
  <mergeCells count="134">
    <mergeCell ref="B27:B28"/>
    <mergeCell ref="C27:C28"/>
    <mergeCell ref="F27:F28"/>
    <mergeCell ref="G27:H27"/>
    <mergeCell ref="Z27:AD27"/>
    <mergeCell ref="AE27:AF27"/>
    <mergeCell ref="AG27:AG28"/>
    <mergeCell ref="B8:B9"/>
    <mergeCell ref="C8:C9"/>
    <mergeCell ref="F8:F9"/>
    <mergeCell ref="G8:H8"/>
    <mergeCell ref="D8:E8"/>
    <mergeCell ref="Z8:AD8"/>
    <mergeCell ref="I27:K27"/>
    <mergeCell ref="D27:E27"/>
    <mergeCell ref="U8:Y8"/>
    <mergeCell ref="N8:S8"/>
    <mergeCell ref="M8:M9"/>
    <mergeCell ref="T27:T28"/>
    <mergeCell ref="B66:B67"/>
    <mergeCell ref="C66:C67"/>
    <mergeCell ref="F66:F67"/>
    <mergeCell ref="G66:H66"/>
    <mergeCell ref="Z66:AD66"/>
    <mergeCell ref="AE66:AF66"/>
    <mergeCell ref="AG66:AG67"/>
    <mergeCell ref="B47:B48"/>
    <mergeCell ref="C47:C48"/>
    <mergeCell ref="F47:F48"/>
    <mergeCell ref="G47:H47"/>
    <mergeCell ref="D47:E47"/>
    <mergeCell ref="Z47:AD47"/>
    <mergeCell ref="AE47:AF47"/>
    <mergeCell ref="D66:E66"/>
    <mergeCell ref="T66:T67"/>
    <mergeCell ref="B101:B102"/>
    <mergeCell ref="C101:C102"/>
    <mergeCell ref="F101:F102"/>
    <mergeCell ref="G101:H101"/>
    <mergeCell ref="Z101:AD101"/>
    <mergeCell ref="M101:M102"/>
    <mergeCell ref="B87:B88"/>
    <mergeCell ref="C87:C88"/>
    <mergeCell ref="F87:F88"/>
    <mergeCell ref="G87:H87"/>
    <mergeCell ref="D87:E87"/>
    <mergeCell ref="Z87:AD87"/>
    <mergeCell ref="L87:L88"/>
    <mergeCell ref="L101:L102"/>
    <mergeCell ref="D101:E101"/>
    <mergeCell ref="I87:K87"/>
    <mergeCell ref="I101:K101"/>
    <mergeCell ref="M87:M88"/>
    <mergeCell ref="T87:T88"/>
    <mergeCell ref="T101:T102"/>
    <mergeCell ref="N87:S87"/>
    <mergeCell ref="U87:Y87"/>
    <mergeCell ref="N101:S101"/>
    <mergeCell ref="U101:Y101"/>
    <mergeCell ref="B123:B124"/>
    <mergeCell ref="C123:C124"/>
    <mergeCell ref="F123:F124"/>
    <mergeCell ref="G123:H123"/>
    <mergeCell ref="Z123:AD123"/>
    <mergeCell ref="AE123:AF123"/>
    <mergeCell ref="AG123:AG124"/>
    <mergeCell ref="B115:B116"/>
    <mergeCell ref="C115:C116"/>
    <mergeCell ref="F115:F116"/>
    <mergeCell ref="G115:H115"/>
    <mergeCell ref="D115:E115"/>
    <mergeCell ref="I115:K115"/>
    <mergeCell ref="D123:E123"/>
    <mergeCell ref="L115:L116"/>
    <mergeCell ref="L123:L124"/>
    <mergeCell ref="I123:K123"/>
    <mergeCell ref="M115:M116"/>
    <mergeCell ref="M123:M124"/>
    <mergeCell ref="Z115:AD115"/>
    <mergeCell ref="AE115:AF115"/>
    <mergeCell ref="AG115:AG116"/>
    <mergeCell ref="T115:T116"/>
    <mergeCell ref="T123:T124"/>
    <mergeCell ref="AI123:AI124"/>
    <mergeCell ref="AI8:AI9"/>
    <mergeCell ref="AI27:AI28"/>
    <mergeCell ref="AI47:AI48"/>
    <mergeCell ref="AI66:AI67"/>
    <mergeCell ref="AI87:AI88"/>
    <mergeCell ref="AH101:AH102"/>
    <mergeCell ref="AH115:AH116"/>
    <mergeCell ref="AH123:AH124"/>
    <mergeCell ref="AH8:AH9"/>
    <mergeCell ref="AH27:AH28"/>
    <mergeCell ref="AH47:AH48"/>
    <mergeCell ref="AH66:AH67"/>
    <mergeCell ref="AH87:AH88"/>
    <mergeCell ref="G4:H5"/>
    <mergeCell ref="G2:H2"/>
    <mergeCell ref="AI101:AI102"/>
    <mergeCell ref="AI115:AI116"/>
    <mergeCell ref="AG101:AG102"/>
    <mergeCell ref="I47:K47"/>
    <mergeCell ref="I66:K66"/>
    <mergeCell ref="M66:M67"/>
    <mergeCell ref="AE8:AF8"/>
    <mergeCell ref="AG47:AG48"/>
    <mergeCell ref="I8:K8"/>
    <mergeCell ref="L66:L67"/>
    <mergeCell ref="L8:L9"/>
    <mergeCell ref="L27:L28"/>
    <mergeCell ref="L47:L48"/>
    <mergeCell ref="M27:M28"/>
    <mergeCell ref="M47:M48"/>
    <mergeCell ref="AE87:AF87"/>
    <mergeCell ref="AG87:AG88"/>
    <mergeCell ref="AH2:AI2"/>
    <mergeCell ref="AH4:AI5"/>
    <mergeCell ref="AE101:AF101"/>
    <mergeCell ref="AG8:AG9"/>
    <mergeCell ref="T47:T48"/>
    <mergeCell ref="N115:S115"/>
    <mergeCell ref="U115:Y115"/>
    <mergeCell ref="N123:S123"/>
    <mergeCell ref="U123:Y123"/>
    <mergeCell ref="M4:M5"/>
    <mergeCell ref="T4:T5"/>
    <mergeCell ref="T8:T9"/>
    <mergeCell ref="N27:S27"/>
    <mergeCell ref="U27:Y27"/>
    <mergeCell ref="N47:S47"/>
    <mergeCell ref="U47:Y47"/>
    <mergeCell ref="N66:S66"/>
    <mergeCell ref="U66:Y66"/>
  </mergeCells>
  <phoneticPr fontId="10" type="noConversion"/>
  <dataValidations count="13">
    <dataValidation type="list" allowBlank="1" showInputMessage="1" showErrorMessage="1" sqref="AE82:AF84 AE122:AF122 AE61:AF63 AE110:AF112 AE107:AF108 AE69:AF74 AE42:AF43 AE96:AF98 AE56:AF59 AE37:AF40 AE93:AF94 AE104:AF105 AE11:AF15 AE90:AF91 AE22:AF23 AE17:AF20 AE30:AF35 AE118:AF120 AE79:AF80 AE76:AF77 AE50:AF54 AE126:AF127">
      <formula1>DQ</formula1>
    </dataValidation>
    <dataValidation type="list" allowBlank="1" showInputMessage="1" showErrorMessage="1" sqref="F122 F103:F112 F68:F84 F49:F63 F89:F98 F117:F120 F125:F127 F29:F43 F10:F23">
      <formula1>NK</formula1>
    </dataValidation>
    <dataValidation type="list" allowBlank="1" showInputMessage="1" showErrorMessage="1" sqref="D42:D43 D56:D59 D61:D62 D76:D77 D79:D80 D107:D108 D110:D111 D22:D23 D96:D97 D93:D94 D17:D20 D37:D40">
      <formula1>Grid</formula1>
    </dataValidation>
    <dataValidation type="list" allowBlank="1" showInputMessage="1" showErrorMessage="1" sqref="D126:D127">
      <formula1>Fugitive_Oil_Gas</formula1>
    </dataValidation>
    <dataValidation type="list" allowBlank="1" showInputMessage="1" showErrorMessage="1" sqref="D118:D119">
      <formula1>Fugitive_Coal</formula1>
    </dataValidation>
    <dataValidation type="list" allowBlank="1" showInputMessage="1" showErrorMessage="1" sqref="L107:L108 L82:L83 L17:L20 L11:L15 L93:L94 L104:L105 L22:L23 L90:L91 L96:L97 L30:L35 L61:L62 L110:L111 L79:L80 L118:L119 L37:L40 L56:L59 L42:L43 L76:L77 L69:L74 L126:L127 L50:L54">
      <formula1>Gases</formula1>
    </dataValidation>
    <dataValidation type="list" allowBlank="1" showInputMessage="1" showErrorMessage="1" sqref="D82:D83">
      <formula1>Energy_Industries</formula1>
    </dataValidation>
    <dataValidation type="list" allowBlank="1" showInputMessage="1" showErrorMessage="1" sqref="M79:M80 M17:M20 M107:M108 M56:M59 M11:M15 M50:M54 M37:M40 M30:M35 M42:M43 M104:M105 M82:M83 M93:M94 M90:M91 M96:M97 M110:M111 M118:M119 M61:M62 M76:M77 M69:M74 M126:M127 M22:M23">
      <formula1>EmissionFactor</formula1>
    </dataValidation>
    <dataValidation type="list" allowBlank="1" showInputMessage="1" showErrorMessage="1" sqref="AH117:AH119 AH103:AH111 AH10:AH23 AH82:AH83 AH89:AH97 AH29:AH43 AH125:AH127 AH68:AH80 AH49:AH62">
      <formula1>CompleteDataSource.</formula1>
    </dataValidation>
    <dataValidation type="list" allowBlank="1" showInputMessage="1" showErrorMessage="1" sqref="K17:K20 K37:K40 K11:K15 K107:K108 K56:K59 K79:K80 K22:K23 K61:K62 K30:K35 K42:K43 K104:K105 K82:K83 K93:K94 K90:K91 K96:K97 K110:K111 K118:K119 K76:K77 K69:K74 K126:K127 K50:K54">
      <formula1>Multiplier</formula1>
    </dataValidation>
    <dataValidation type="list" allowBlank="1" showInputMessage="1" showErrorMessage="1" sqref="D104:D105 D12:D15 D50:D54 D69:D74 D90:D91 D31:D35">
      <formula1>GPC_Stationary</formula1>
    </dataValidation>
    <dataValidation type="list" allowBlank="1" showInputMessage="1" showErrorMessage="1" sqref="T50:T54 T17:T20 T22:T23 T30:T35 T37:T40 T42:T43 T79:T80 T56:T59 T61:T62 T90:T91 T93:T94 T96:T97 T104:T105 T107:T108 T110:T111 T118:T119 T126:T127 T82:T83 T69:T74 T76:T77 U11:W11">
      <formula1>Tick</formula1>
    </dataValidation>
    <dataValidation type="list" allowBlank="1" showInputMessage="1" showErrorMessage="1" sqref="D11 D30">
      <formula1>Stationary</formula1>
    </dataValidation>
  </dataValidations>
  <printOptions verticalCentered="1"/>
  <pageMargins left="0.15748031496062992" right="0.15748031496062992" top="0.15748031496062992" bottom="0.15748031496062992" header="0.30000000000000004" footer="0.30000000000000004"/>
  <pageSetup paperSize="9" scale="29" orientation="landscape" horizontalDpi="4294967292" verticalDpi="429496729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outlinePr summaryBelow="0" summaryRight="0"/>
    <pageSetUpPr autoPageBreaks="0"/>
  </sheetPr>
  <dimension ref="A1:BC101"/>
  <sheetViews>
    <sheetView showGridLines="0" topLeftCell="A7" zoomScale="80" zoomScaleNormal="80" zoomScalePageLayoutView="80" workbookViewId="0">
      <selection activeCell="AD11" sqref="AD11:AD14"/>
    </sheetView>
  </sheetViews>
  <sheetFormatPr defaultColWidth="10.875" defaultRowHeight="15.75" outlineLevelCol="1"/>
  <cols>
    <col min="1" max="1" width="8.5" style="46" customWidth="1"/>
    <col min="2" max="2" width="10.875" style="5" customWidth="1"/>
    <col min="3" max="3" width="10.875" style="5"/>
    <col min="4" max="5" width="36.375" style="1" customWidth="1"/>
    <col min="6" max="6" width="36.375" style="816" customWidth="1"/>
    <col min="7" max="8" width="12.375" style="1" customWidth="1"/>
    <col min="9" max="9" width="12.375" style="1" customWidth="1" collapsed="1"/>
    <col min="10" max="12" width="12.375" style="1" hidden="1" customWidth="1" outlineLevel="1"/>
    <col min="13" max="13" width="16.375" style="153" customWidth="1"/>
    <col min="14" max="14" width="24.875" style="3" customWidth="1" collapsed="1"/>
    <col min="15" max="15" width="12.875" style="1" hidden="1" customWidth="1" outlineLevel="1"/>
    <col min="16" max="20" width="12.375" style="1" hidden="1" customWidth="1" outlineLevel="1"/>
    <col min="21" max="21" width="24.875" style="1" customWidth="1" collapsed="1"/>
    <col min="22" max="26" width="12.375" style="1" hidden="1" customWidth="1" outlineLevel="1"/>
    <col min="27" max="27" width="14.375" style="687" customWidth="1"/>
    <col min="28" max="29" width="12.375" style="687" customWidth="1"/>
    <col min="30" max="30" width="14.875" style="687" customWidth="1"/>
    <col min="31" max="31" width="12.375" style="687" customWidth="1"/>
    <col min="32" max="33" width="6.125" style="1" customWidth="1"/>
    <col min="34" max="34" width="71.875" style="615" customWidth="1"/>
    <col min="35" max="35" width="71.875" style="615" customWidth="1" collapsed="1"/>
    <col min="36" max="36" width="71.875" style="3" hidden="1" customWidth="1" outlineLevel="1"/>
    <col min="37" max="55" width="10.875" style="43"/>
    <col min="56" max="16384" width="10.875" style="1"/>
  </cols>
  <sheetData>
    <row r="1" spans="1:55" s="43" customFormat="1">
      <c r="A1" s="46"/>
      <c r="B1" s="14"/>
      <c r="C1" s="14"/>
      <c r="F1" s="874"/>
      <c r="M1" s="152"/>
      <c r="N1" s="44"/>
      <c r="AA1" s="345"/>
      <c r="AB1" s="345"/>
      <c r="AC1" s="345"/>
      <c r="AD1" s="345"/>
      <c r="AE1" s="345"/>
      <c r="AH1" s="610"/>
      <c r="AI1" s="610"/>
      <c r="AJ1" s="44"/>
    </row>
    <row r="2" spans="1:55" s="43" customFormat="1" ht="23.25">
      <c r="A2" s="46"/>
      <c r="B2" s="17" t="s">
        <v>226</v>
      </c>
      <c r="C2" s="14"/>
      <c r="F2" s="874"/>
      <c r="H2" s="1125" t="s">
        <v>966</v>
      </c>
      <c r="I2" s="1125"/>
      <c r="J2" s="576"/>
      <c r="K2" s="576"/>
      <c r="L2" s="576"/>
      <c r="M2" s="29"/>
      <c r="N2" s="776" t="s">
        <v>966</v>
      </c>
      <c r="O2" s="29"/>
      <c r="P2" s="29"/>
      <c r="Q2" s="29"/>
      <c r="R2" s="29"/>
      <c r="S2" s="29"/>
      <c r="T2" s="29"/>
      <c r="U2" s="576" t="s">
        <v>966</v>
      </c>
      <c r="V2" s="29"/>
      <c r="W2" s="29"/>
      <c r="X2" s="29"/>
      <c r="Y2" s="29"/>
      <c r="Z2" s="29"/>
      <c r="AA2" s="345"/>
      <c r="AB2" s="345"/>
      <c r="AC2" s="345"/>
      <c r="AD2" s="345"/>
      <c r="AE2" s="345"/>
      <c r="AH2" s="611"/>
      <c r="AI2" s="1125" t="s">
        <v>966</v>
      </c>
      <c r="AJ2" s="1125"/>
    </row>
    <row r="3" spans="1:55" s="22" customFormat="1" ht="16.5" thickBot="1">
      <c r="A3" s="52"/>
      <c r="B3" s="18"/>
      <c r="C3" s="18"/>
      <c r="D3" s="19"/>
      <c r="E3" s="19"/>
      <c r="F3" s="21"/>
      <c r="G3" s="20"/>
      <c r="H3" s="576"/>
      <c r="I3" s="576"/>
      <c r="J3" s="576"/>
      <c r="K3" s="576"/>
      <c r="L3" s="576"/>
      <c r="M3" s="576"/>
      <c r="N3" s="776"/>
      <c r="O3" s="29"/>
      <c r="P3" s="29"/>
      <c r="Q3" s="29"/>
      <c r="R3" s="29"/>
      <c r="S3" s="29"/>
      <c r="T3" s="29"/>
      <c r="U3" s="29"/>
      <c r="V3" s="29"/>
      <c r="W3" s="29"/>
      <c r="X3" s="29"/>
      <c r="Y3" s="29"/>
      <c r="Z3" s="29"/>
      <c r="AA3" s="30"/>
      <c r="AB3" s="30"/>
      <c r="AC3" s="30"/>
      <c r="AD3" s="30"/>
      <c r="AE3" s="30"/>
      <c r="AF3" s="20"/>
      <c r="AG3" s="20"/>
      <c r="AH3" s="611"/>
      <c r="AI3" s="611"/>
      <c r="AJ3" s="602"/>
    </row>
    <row r="4" spans="1:55" s="22" customFormat="1">
      <c r="A4" s="52"/>
      <c r="B4" s="15" t="s">
        <v>1043</v>
      </c>
      <c r="C4" s="18"/>
      <c r="D4" s="19"/>
      <c r="E4" s="19"/>
      <c r="F4" s="21"/>
      <c r="G4" s="20"/>
      <c r="H4" s="1121" t="s">
        <v>968</v>
      </c>
      <c r="I4" s="1122"/>
      <c r="J4" s="574"/>
      <c r="K4" s="574"/>
      <c r="L4" s="572"/>
      <c r="M4" s="527"/>
      <c r="N4" s="1115" t="s">
        <v>974</v>
      </c>
      <c r="O4" s="533"/>
      <c r="P4" s="533"/>
      <c r="Q4" s="533"/>
      <c r="R4" s="533"/>
      <c r="S4" s="533"/>
      <c r="T4" s="534"/>
      <c r="U4" s="1117" t="s">
        <v>976</v>
      </c>
      <c r="V4" s="539"/>
      <c r="W4" s="539"/>
      <c r="X4" s="539"/>
      <c r="Y4" s="539"/>
      <c r="Z4" s="540"/>
      <c r="AA4" s="675"/>
      <c r="AB4" s="30"/>
      <c r="AC4" s="30"/>
      <c r="AD4" s="30"/>
      <c r="AE4" s="30"/>
      <c r="AF4" s="20"/>
      <c r="AG4" s="20"/>
      <c r="AH4" s="611"/>
      <c r="AI4" s="1121" t="s">
        <v>850</v>
      </c>
      <c r="AJ4" s="1122"/>
      <c r="AK4" s="601"/>
    </row>
    <row r="5" spans="1:55" s="22" customFormat="1" ht="16.5" thickBot="1">
      <c r="A5" s="52"/>
      <c r="B5" s="18"/>
      <c r="C5" s="18"/>
      <c r="D5" s="19"/>
      <c r="E5" s="19"/>
      <c r="F5" s="21"/>
      <c r="G5" s="20"/>
      <c r="H5" s="1123"/>
      <c r="I5" s="1124"/>
      <c r="J5" s="575"/>
      <c r="K5" s="575"/>
      <c r="L5" s="573"/>
      <c r="M5" s="527"/>
      <c r="N5" s="1116"/>
      <c r="O5" s="535"/>
      <c r="P5" s="535"/>
      <c r="Q5" s="535"/>
      <c r="R5" s="535"/>
      <c r="S5" s="535"/>
      <c r="T5" s="536"/>
      <c r="U5" s="1118"/>
      <c r="V5" s="541"/>
      <c r="W5" s="541"/>
      <c r="X5" s="541"/>
      <c r="Y5" s="541"/>
      <c r="Z5" s="542"/>
      <c r="AA5" s="675"/>
      <c r="AB5" s="30"/>
      <c r="AC5" s="30"/>
      <c r="AD5" s="30"/>
      <c r="AE5" s="30"/>
      <c r="AF5" s="20"/>
      <c r="AG5" s="20"/>
      <c r="AH5" s="611"/>
      <c r="AI5" s="1123"/>
      <c r="AJ5" s="1124"/>
      <c r="AK5" s="601"/>
    </row>
    <row r="6" spans="1:55" s="22" customFormat="1" ht="18.75">
      <c r="A6" s="52"/>
      <c r="B6" s="23" t="s">
        <v>225</v>
      </c>
      <c r="C6" s="18"/>
      <c r="D6" s="19"/>
      <c r="E6" s="19"/>
      <c r="F6" s="21"/>
      <c r="G6" s="20"/>
      <c r="H6" s="19"/>
      <c r="I6" s="19"/>
      <c r="J6" s="19"/>
      <c r="K6" s="19"/>
      <c r="L6" s="19"/>
      <c r="M6" s="12"/>
      <c r="N6" s="21"/>
      <c r="O6" s="19"/>
      <c r="P6" s="19"/>
      <c r="Q6" s="19"/>
      <c r="R6" s="19"/>
      <c r="S6" s="19"/>
      <c r="T6" s="19"/>
      <c r="U6" s="19"/>
      <c r="V6" s="19"/>
      <c r="W6" s="19"/>
      <c r="X6" s="19"/>
      <c r="Y6" s="19"/>
      <c r="Z6" s="19"/>
      <c r="AA6" s="30"/>
      <c r="AB6" s="30"/>
      <c r="AC6" s="30"/>
      <c r="AD6" s="30"/>
      <c r="AE6" s="30"/>
      <c r="AF6" s="20"/>
      <c r="AG6" s="20"/>
      <c r="AH6" s="611"/>
      <c r="AI6" s="611"/>
      <c r="AJ6" s="21"/>
    </row>
    <row r="7" spans="1:55" s="22" customFormat="1" ht="16.5" thickBot="1">
      <c r="A7" s="52"/>
      <c r="B7" s="18"/>
      <c r="C7" s="18"/>
      <c r="D7" s="19"/>
      <c r="E7" s="19"/>
      <c r="F7" s="21"/>
      <c r="G7" s="20"/>
      <c r="H7" s="19"/>
      <c r="I7" s="19"/>
      <c r="J7" s="19"/>
      <c r="K7" s="19"/>
      <c r="L7" s="19"/>
      <c r="M7" s="12"/>
      <c r="N7" s="21"/>
      <c r="O7" s="19"/>
      <c r="P7" s="19"/>
      <c r="Q7" s="19"/>
      <c r="R7" s="19"/>
      <c r="S7" s="19"/>
      <c r="T7" s="19"/>
      <c r="U7" s="19"/>
      <c r="V7" s="19"/>
      <c r="W7" s="19"/>
      <c r="X7" s="19"/>
      <c r="Y7" s="19"/>
      <c r="Z7" s="19"/>
      <c r="AA7" s="30"/>
      <c r="AB7" s="30"/>
      <c r="AC7" s="30"/>
      <c r="AD7" s="30"/>
      <c r="AE7" s="30"/>
      <c r="AF7" s="20"/>
      <c r="AG7" s="20"/>
      <c r="AH7" s="611"/>
      <c r="AI7" s="611"/>
      <c r="AJ7" s="21"/>
    </row>
    <row r="8" spans="1:55" s="5" customFormat="1" ht="15.95" customHeight="1">
      <c r="A8" s="53"/>
      <c r="B8" s="1139" t="s">
        <v>39</v>
      </c>
      <c r="C8" s="1133" t="s">
        <v>40</v>
      </c>
      <c r="D8" s="1056" t="s">
        <v>245</v>
      </c>
      <c r="E8" s="1147"/>
      <c r="F8" s="1144"/>
      <c r="G8" s="1134" t="s">
        <v>300</v>
      </c>
      <c r="H8" s="1141" t="s">
        <v>171</v>
      </c>
      <c r="I8" s="1142"/>
      <c r="J8" s="1130" t="s">
        <v>871</v>
      </c>
      <c r="K8" s="1131"/>
      <c r="L8" s="1132"/>
      <c r="M8" s="1063" t="s">
        <v>305</v>
      </c>
      <c r="N8" s="1063" t="s">
        <v>798</v>
      </c>
      <c r="O8" s="1112" t="s">
        <v>798</v>
      </c>
      <c r="P8" s="1112"/>
      <c r="Q8" s="1112"/>
      <c r="R8" s="1112"/>
      <c r="S8" s="1112"/>
      <c r="T8" s="1113"/>
      <c r="U8" s="1119" t="s">
        <v>967</v>
      </c>
      <c r="V8" s="1114" t="s">
        <v>975</v>
      </c>
      <c r="W8" s="1114"/>
      <c r="X8" s="1114"/>
      <c r="Y8" s="1114"/>
      <c r="Z8" s="1114"/>
      <c r="AA8" s="1148" t="s">
        <v>292</v>
      </c>
      <c r="AB8" s="1149"/>
      <c r="AC8" s="1149"/>
      <c r="AD8" s="1149"/>
      <c r="AE8" s="1150"/>
      <c r="AF8" s="1133" t="s">
        <v>43</v>
      </c>
      <c r="AG8" s="1133"/>
      <c r="AH8" s="1128" t="s">
        <v>981</v>
      </c>
      <c r="AI8" s="1073" t="s">
        <v>734</v>
      </c>
      <c r="AJ8" s="1126" t="s">
        <v>850</v>
      </c>
      <c r="AK8" s="14"/>
      <c r="AL8" s="14"/>
      <c r="AM8" s="14"/>
      <c r="AN8" s="14"/>
      <c r="AO8" s="14"/>
      <c r="AP8" s="14"/>
      <c r="AQ8" s="14"/>
      <c r="AR8" s="14"/>
      <c r="AS8" s="14"/>
      <c r="AT8" s="14"/>
      <c r="AU8" s="14"/>
      <c r="AV8" s="14"/>
      <c r="AW8" s="14"/>
      <c r="AX8" s="14"/>
      <c r="AY8" s="14"/>
      <c r="AZ8" s="14"/>
      <c r="BA8" s="14"/>
      <c r="BB8" s="14"/>
      <c r="BC8" s="14"/>
    </row>
    <row r="9" spans="1:55" s="5" customFormat="1" ht="19.5" thickBot="1">
      <c r="A9" s="53"/>
      <c r="B9" s="1140"/>
      <c r="C9" s="1135"/>
      <c r="D9" s="578" t="s">
        <v>257</v>
      </c>
      <c r="E9" s="578" t="s">
        <v>246</v>
      </c>
      <c r="F9" s="811" t="s">
        <v>244</v>
      </c>
      <c r="G9" s="1135"/>
      <c r="H9" s="578" t="s">
        <v>172</v>
      </c>
      <c r="I9" s="578" t="s">
        <v>173</v>
      </c>
      <c r="J9" s="528" t="s">
        <v>831</v>
      </c>
      <c r="K9" s="528" t="s">
        <v>832</v>
      </c>
      <c r="L9" s="528" t="s">
        <v>965</v>
      </c>
      <c r="M9" s="1064"/>
      <c r="N9" s="1064"/>
      <c r="O9" s="537" t="s">
        <v>173</v>
      </c>
      <c r="P9" s="538" t="s">
        <v>969</v>
      </c>
      <c r="Q9" s="538" t="s">
        <v>970</v>
      </c>
      <c r="R9" s="538" t="s">
        <v>971</v>
      </c>
      <c r="S9" s="538" t="s">
        <v>972</v>
      </c>
      <c r="T9" s="538" t="s">
        <v>973</v>
      </c>
      <c r="U9" s="1120"/>
      <c r="V9" s="538" t="s">
        <v>969</v>
      </c>
      <c r="W9" s="538" t="s">
        <v>970</v>
      </c>
      <c r="X9" s="538" t="s">
        <v>971</v>
      </c>
      <c r="Y9" s="538" t="s">
        <v>972</v>
      </c>
      <c r="Z9" s="538" t="s">
        <v>973</v>
      </c>
      <c r="AA9" s="100" t="s">
        <v>293</v>
      </c>
      <c r="AB9" s="100" t="s">
        <v>294</v>
      </c>
      <c r="AC9" s="100" t="s">
        <v>295</v>
      </c>
      <c r="AD9" s="100" t="s">
        <v>296</v>
      </c>
      <c r="AE9" s="100" t="s">
        <v>297</v>
      </c>
      <c r="AF9" s="578" t="s">
        <v>46</v>
      </c>
      <c r="AG9" s="578" t="s">
        <v>47</v>
      </c>
      <c r="AH9" s="1129"/>
      <c r="AI9" s="1074"/>
      <c r="AJ9" s="1127"/>
      <c r="AK9" s="14"/>
      <c r="AL9" s="14"/>
      <c r="AM9" s="14"/>
      <c r="AN9" s="14"/>
      <c r="AO9" s="14"/>
      <c r="AP9" s="14"/>
      <c r="AQ9" s="14"/>
      <c r="AR9" s="14"/>
      <c r="AS9" s="14"/>
      <c r="AT9" s="14"/>
      <c r="AU9" s="14"/>
      <c r="AV9" s="14"/>
      <c r="AW9" s="14"/>
      <c r="AX9" s="14"/>
      <c r="AY9" s="14"/>
      <c r="AZ9" s="14"/>
      <c r="BA9" s="14"/>
      <c r="BB9" s="14"/>
      <c r="BC9" s="14"/>
    </row>
    <row r="10" spans="1:55">
      <c r="B10" s="161" t="s">
        <v>92</v>
      </c>
      <c r="C10" s="598">
        <v>1</v>
      </c>
      <c r="D10" s="188" t="s">
        <v>93</v>
      </c>
      <c r="E10" s="189"/>
      <c r="F10" s="865"/>
      <c r="G10" s="620"/>
      <c r="H10" s="618"/>
      <c r="I10" s="619"/>
      <c r="J10" s="619"/>
      <c r="K10" s="619"/>
      <c r="L10" s="619"/>
      <c r="M10" s="468"/>
      <c r="N10" s="875"/>
      <c r="O10" s="619"/>
      <c r="P10" s="619"/>
      <c r="Q10" s="619"/>
      <c r="R10" s="619"/>
      <c r="S10" s="619"/>
      <c r="T10" s="619"/>
      <c r="U10" s="619"/>
      <c r="V10" s="619"/>
      <c r="W10" s="619"/>
      <c r="X10" s="619"/>
      <c r="Y10" s="619"/>
      <c r="Z10" s="619"/>
      <c r="AA10" s="676"/>
      <c r="AB10" s="676"/>
      <c r="AC10" s="676"/>
      <c r="AD10" s="676"/>
      <c r="AE10" s="676"/>
      <c r="AF10" s="468"/>
      <c r="AG10" s="468"/>
      <c r="AH10" s="543"/>
      <c r="AI10" s="603"/>
      <c r="AJ10" s="603"/>
    </row>
    <row r="11" spans="1:55" ht="47.25">
      <c r="B11" s="75" t="s">
        <v>92</v>
      </c>
      <c r="C11" s="76">
        <v>1</v>
      </c>
      <c r="D11" s="696" t="s">
        <v>258</v>
      </c>
      <c r="E11" s="696" t="s">
        <v>191</v>
      </c>
      <c r="F11" s="544" t="s">
        <v>1116</v>
      </c>
      <c r="G11" s="697"/>
      <c r="H11" s="714">
        <f>(738429+484)*'NCV&amp;Density'!G11*'NCV&amp;Density'!G12</f>
        <v>24059.376736499995</v>
      </c>
      <c r="I11" s="698" t="s">
        <v>913</v>
      </c>
      <c r="J11" s="79"/>
      <c r="K11" s="79"/>
      <c r="L11" s="79"/>
      <c r="M11" s="79" t="s">
        <v>312</v>
      </c>
      <c r="N11" s="750" t="s">
        <v>1186</v>
      </c>
      <c r="O11" s="508" t="str">
        <f>IFERROR(CONCATENATE("tCO2e/",VLOOKUP($N11,'Emission factors'!$C:$I,6,FALSE)),"")</f>
        <v>tCO2e/TJ</v>
      </c>
      <c r="P11" s="508">
        <f>IFERROR(VLOOKUP($N11,'Emission factors'!$C:$BQ,9,FALSE),"")</f>
        <v>69.3</v>
      </c>
      <c r="Q11" s="508">
        <f>IFERROR(VLOOKUP($N11,'Emission factors'!$C:$BQ,12,FALSE),"")</f>
        <v>6.25E-2</v>
      </c>
      <c r="R11" s="508">
        <f>IFERROR(VLOOKUP($N11,'Emission factors'!$C:$BQ,15,FALSE),"")</f>
        <v>0.2384</v>
      </c>
      <c r="S11" s="508" t="str">
        <f>IFERROR(VLOOKUP($N11,'Emission factors'!$C:$BQ,65,FALSE),"")</f>
        <v/>
      </c>
      <c r="T11" s="508">
        <f>IFERROR(VLOOKUP($N11,'Emission factors'!$C:$BQ,67,FALSE),"")</f>
        <v>0</v>
      </c>
      <c r="U11" s="79"/>
      <c r="V11" s="79"/>
      <c r="W11" s="79"/>
      <c r="X11" s="79"/>
      <c r="Y11" s="79"/>
      <c r="Z11" s="79"/>
      <c r="AA11" s="717">
        <f t="shared" ref="AA11:AC12" si="0">IFERROR(IF(AND($N11="",$U11=""),"",IF($N11="",IF(V11=0,"-",V11),IF(P11=0,"0",$H11*IF($L11="",1,$L11)*P11))),"-")</f>
        <v>1667314.8078394495</v>
      </c>
      <c r="AB11" s="717">
        <f t="shared" si="0"/>
        <v>1503.7110460312497</v>
      </c>
      <c r="AC11" s="717">
        <f t="shared" si="0"/>
        <v>5735.7554139815984</v>
      </c>
      <c r="AD11" s="717">
        <f>IFERROR(IF(AND($N11="",$U11=""),"",IF($N11="",IF(Y11="",SUM(AA11:AC11),IF(Y11=0,"0",Y11)),IF($S11="",SUM($AA11:$AC11),IF($S11=0,"0",$H11*IF($L11="",1,$L11)*$S11)))),"-")</f>
        <v>1674554.2742994623</v>
      </c>
      <c r="AE11" s="677" t="str">
        <f>IFERROR(IF(AND($N11="",$U11=""),"",IF($N11="",IF(Z11=0,"",Z11),IF(T11=0,"0",$H11*IF($L11="",1,$L11)*T11))),"-")</f>
        <v>0</v>
      </c>
      <c r="AF11" s="79" t="s">
        <v>181</v>
      </c>
      <c r="AG11" s="170" t="s">
        <v>181</v>
      </c>
      <c r="AH11" s="544" t="s">
        <v>1116</v>
      </c>
      <c r="AI11" s="545" t="s">
        <v>1201</v>
      </c>
      <c r="AJ11" s="604"/>
    </row>
    <row r="12" spans="1:55" ht="81" customHeight="1">
      <c r="B12" s="75" t="s">
        <v>92</v>
      </c>
      <c r="C12" s="76">
        <v>1</v>
      </c>
      <c r="D12" s="696" t="s">
        <v>258</v>
      </c>
      <c r="E12" s="696" t="s">
        <v>611</v>
      </c>
      <c r="F12" s="612" t="s">
        <v>1271</v>
      </c>
      <c r="G12" s="697"/>
      <c r="H12" s="746">
        <f>+(721880+1881)*(1-7.3%)*'NCV&amp;Density'!G13*'NCV&amp;Density'!G14</f>
        <v>24378.112451745001</v>
      </c>
      <c r="I12" s="700" t="s">
        <v>913</v>
      </c>
      <c r="J12" s="79"/>
      <c r="K12" s="79"/>
      <c r="L12" s="79"/>
      <c r="M12" s="79" t="s">
        <v>312</v>
      </c>
      <c r="N12" s="750" t="s">
        <v>1161</v>
      </c>
      <c r="O12" s="508" t="str">
        <f>IFERROR(CONCATENATE("tCO2e/",VLOOKUP($N12,'Emission factors'!$C:$I,6,FALSE)),"")</f>
        <v>tCO2e/TJ</v>
      </c>
      <c r="P12" s="508">
        <f>IFERROR(VLOOKUP($N12,'Emission factors'!$C:$BQ,9,FALSE),"")</f>
        <v>74.099999999999994</v>
      </c>
      <c r="Q12" s="508">
        <f>IFERROR(VLOOKUP($N12,'Emission factors'!$C:$BQ,12,FALSE),"")</f>
        <v>9.7499999999999989E-2</v>
      </c>
      <c r="R12" s="508">
        <f>IFERROR(VLOOKUP($N12,'Emission factors'!$C:$BQ,15,FALSE),"")</f>
        <v>1.1621999999999999</v>
      </c>
      <c r="S12" s="508" t="str">
        <f>IFERROR(VLOOKUP($N12,'Emission factors'!$C:$BQ,65,FALSE),"")</f>
        <v/>
      </c>
      <c r="T12" s="508">
        <f>IFERROR(VLOOKUP($N12,'Emission factors'!$C:$BQ,67,FALSE),"")</f>
        <v>0</v>
      </c>
      <c r="U12" s="79"/>
      <c r="V12" s="79"/>
      <c r="W12" s="79"/>
      <c r="X12" s="79"/>
      <c r="Y12" s="79"/>
      <c r="Z12" s="79"/>
      <c r="AA12" s="717">
        <f t="shared" si="0"/>
        <v>1806418.1326743043</v>
      </c>
      <c r="AB12" s="717">
        <f t="shared" si="0"/>
        <v>2376.8659640451374</v>
      </c>
      <c r="AC12" s="717">
        <f t="shared" si="0"/>
        <v>28332.242291418039</v>
      </c>
      <c r="AD12" s="717">
        <f>IFERROR(IF(AND($N12="",$U12=""),"",IF($N12="",IF(Y12="",SUM(AA12:AC12),IF(Y12=0,"0",Y12)),IF($S12="",SUM($AA12:$AC12),IF($S12=0,"0",$H12*IF($L12="",1,$L12)*$S12)))),"-")</f>
        <v>1837127.2409297675</v>
      </c>
      <c r="AE12" s="677" t="str">
        <f>IFERROR(IF(AND($N12="",$U12=""),"",IF($N12="",IF(Z12=0,"",Z12),IF(T12=0,"0",$H12*IF($L12="",1,$L12)*T12))),"-")</f>
        <v>0</v>
      </c>
      <c r="AF12" s="79" t="s">
        <v>181</v>
      </c>
      <c r="AG12" s="170" t="s">
        <v>181</v>
      </c>
      <c r="AH12" s="612" t="s">
        <v>1117</v>
      </c>
      <c r="AI12" s="545" t="s">
        <v>1201</v>
      </c>
      <c r="AJ12" s="604"/>
    </row>
    <row r="13" spans="1:55" ht="30.95" customHeight="1">
      <c r="B13" s="75" t="s">
        <v>92</v>
      </c>
      <c r="C13" s="76">
        <v>1</v>
      </c>
      <c r="D13" s="696" t="s">
        <v>258</v>
      </c>
      <c r="E13" s="696" t="s">
        <v>616</v>
      </c>
      <c r="F13" s="612" t="s">
        <v>1118</v>
      </c>
      <c r="G13" s="697"/>
      <c r="H13" s="746">
        <f>234951000*'NCV&amp;Density'!G15*'NCV&amp;Density'!G16</f>
        <v>8108.6289120000001</v>
      </c>
      <c r="I13" s="700" t="s">
        <v>913</v>
      </c>
      <c r="J13" s="79"/>
      <c r="K13" s="79"/>
      <c r="L13" s="79"/>
      <c r="M13" s="79" t="s">
        <v>312</v>
      </c>
      <c r="N13" s="750" t="s">
        <v>1246</v>
      </c>
      <c r="O13" s="508" t="str">
        <f>IFERROR(CONCATENATE("tCO2e/",VLOOKUP($N13,'Emission factors'!$C:$I,6,FALSE)),"")</f>
        <v>tCO2e/TJ</v>
      </c>
      <c r="P13" s="508">
        <f>IFERROR(VLOOKUP($N13,'Emission factors'!$C:$BQ,9,FALSE),"")</f>
        <v>56.1</v>
      </c>
      <c r="Q13" s="508">
        <f>IFERROR(VLOOKUP($N13,'Emission factors'!$C:$BQ,12,FALSE),"")</f>
        <v>2.2999999999999998</v>
      </c>
      <c r="R13" s="508">
        <f>IFERROR(VLOOKUP($N13,'Emission factors'!$C:$BQ,15,FALSE),"")</f>
        <v>0.89400000000000002</v>
      </c>
      <c r="S13" s="508" t="str">
        <f>IFERROR(VLOOKUP($N13,'Emission factors'!$C:$BQ,65,FALSE),"")</f>
        <v/>
      </c>
      <c r="T13" s="508">
        <f>IFERROR(VLOOKUP($N13,'Emission factors'!$C:$BQ,67,FALSE),"")</f>
        <v>0</v>
      </c>
      <c r="U13" s="79"/>
      <c r="V13" s="79"/>
      <c r="W13" s="79"/>
      <c r="X13" s="79"/>
      <c r="Y13" s="79"/>
      <c r="Z13" s="79"/>
      <c r="AA13" s="717">
        <f t="shared" ref="AA13:AC14" si="1">IFERROR(IF(AND($N13="",$U13=""),"",IF($N13="",IF(V13=0,"-",V13),IF(P13=0,"0",$H13*IF($L13="",1,$L13)*P13))),"-")</f>
        <v>454894.08196320001</v>
      </c>
      <c r="AB13" s="717">
        <f t="shared" si="1"/>
        <v>18649.8464976</v>
      </c>
      <c r="AC13" s="717">
        <f t="shared" si="1"/>
        <v>7249.1142473280006</v>
      </c>
      <c r="AD13" s="717">
        <f>IFERROR(IF(AND($N13="",$U13=""),"",IF($N13="",IF(Y13="",SUM(AA13:AC13),IF(Y13=0,"0",Y13)),IF($S13="",SUM($AA13:$AC13),IF($S13=0,"0",$H13*IF($L13="",1,$L13)*$S13)))),"-")</f>
        <v>480793.04270812805</v>
      </c>
      <c r="AE13" s="677" t="str">
        <f>IFERROR(IF(AND($N13="",$U13=""),"",IF($N13="",IF(Z13=0,"",Z13),IF(T13=0,"0",$H13*IF($L13="",1,$L13)*T13))),"-")</f>
        <v>0</v>
      </c>
      <c r="AF13" s="79" t="s">
        <v>183</v>
      </c>
      <c r="AG13" s="170" t="s">
        <v>181</v>
      </c>
      <c r="AH13" s="612" t="s">
        <v>1118</v>
      </c>
      <c r="AI13" s="545" t="s">
        <v>1119</v>
      </c>
      <c r="AJ13" s="604"/>
    </row>
    <row r="14" spans="1:55" ht="30.95" customHeight="1">
      <c r="B14" s="75" t="s">
        <v>92</v>
      </c>
      <c r="C14" s="76">
        <v>1</v>
      </c>
      <c r="D14" s="696" t="s">
        <v>258</v>
      </c>
      <c r="E14" s="696" t="s">
        <v>1269</v>
      </c>
      <c r="F14" s="612" t="s">
        <v>1270</v>
      </c>
      <c r="G14" s="697"/>
      <c r="H14" s="746">
        <f>+(721880+1881)*(7.3%)*'NCV&amp;Density'!G13*'NCV&amp;Density'!G14</f>
        <v>1919.743483255</v>
      </c>
      <c r="I14" s="700" t="s">
        <v>913</v>
      </c>
      <c r="J14" s="79"/>
      <c r="K14" s="79"/>
      <c r="L14" s="79"/>
      <c r="M14" s="79" t="s">
        <v>312</v>
      </c>
      <c r="N14" s="750" t="s">
        <v>1272</v>
      </c>
      <c r="O14" s="508" t="str">
        <f>IFERROR(CONCATENATE("tCO2e/",VLOOKUP($N14,'Emission factors'!$C:$I,6,FALSE)),"")</f>
        <v>tCO2e/TJ</v>
      </c>
      <c r="P14" s="508">
        <f>IFERROR(VLOOKUP($N14,'Emission factors'!$C:$BQ,9,FALSE),"")</f>
        <v>0</v>
      </c>
      <c r="Q14" s="508">
        <f>IFERROR(VLOOKUP($N14,'Emission factors'!$C:$BQ,12,FALSE),"")</f>
        <v>9.7499999999999989E-2</v>
      </c>
      <c r="R14" s="508">
        <f>IFERROR(VLOOKUP($N14,'Emission factors'!$C:$BQ,15,FALSE),"")</f>
        <v>1.1621999999999999</v>
      </c>
      <c r="S14" s="508" t="str">
        <f>IFERROR(VLOOKUP($N14,'Emission factors'!$C:$BQ,65,FALSE),"")</f>
        <v/>
      </c>
      <c r="T14" s="508">
        <f>IFERROR(VLOOKUP($N14,'Emission factors'!$C:$BQ,67,FALSE),"")</f>
        <v>74.099999999999994</v>
      </c>
      <c r="U14" s="79"/>
      <c r="V14" s="79"/>
      <c r="W14" s="79"/>
      <c r="X14" s="79"/>
      <c r="Y14" s="79"/>
      <c r="Z14" s="79"/>
      <c r="AA14" s="717" t="str">
        <f t="shared" si="1"/>
        <v>0</v>
      </c>
      <c r="AB14" s="717">
        <f t="shared" si="1"/>
        <v>187.17498961736248</v>
      </c>
      <c r="AC14" s="717">
        <f t="shared" si="1"/>
        <v>2231.1258762389607</v>
      </c>
      <c r="AD14" s="717">
        <f>IFERROR(IF(AND($N14="",$U14=""),"",IF($N14="",IF(Y14="",SUM(AA14:AC14),IF(Y14=0,"0",Y14)),IF($S14="",SUM($AA14:$AC14),IF($S14=0,"0",$H14*IF($L14="",1,$L14)*$S14)))),"-")</f>
        <v>2418.3008658563231</v>
      </c>
      <c r="AE14" s="717">
        <f>IFERROR(IF(AND($N14="",$U14=""),"",IF($N14="",IF(Z14=0,"",Z14),IF(T14=0,"0",$H14*IF($L14="",1,$L14)*T14))),"-")</f>
        <v>142252.99210919547</v>
      </c>
      <c r="AF14" s="79" t="s">
        <v>183</v>
      </c>
      <c r="AG14" s="170" t="s">
        <v>181</v>
      </c>
      <c r="AH14" s="612" t="s">
        <v>1286</v>
      </c>
      <c r="AI14" s="545" t="s">
        <v>1283</v>
      </c>
      <c r="AJ14" s="604"/>
    </row>
    <row r="15" spans="1:55">
      <c r="B15" s="82" t="s">
        <v>94</v>
      </c>
      <c r="C15" s="83">
        <v>2</v>
      </c>
      <c r="D15" s="84" t="s">
        <v>95</v>
      </c>
      <c r="E15" s="158"/>
      <c r="F15" s="866"/>
      <c r="G15" s="102" t="s">
        <v>177</v>
      </c>
      <c r="H15" s="86"/>
      <c r="I15" s="86"/>
      <c r="J15" s="86"/>
      <c r="K15" s="86"/>
      <c r="L15" s="86"/>
      <c r="M15" s="86"/>
      <c r="N15" s="845"/>
      <c r="O15" s="86"/>
      <c r="P15" s="86"/>
      <c r="Q15" s="86"/>
      <c r="R15" s="86"/>
      <c r="S15" s="86"/>
      <c r="T15" s="86"/>
      <c r="U15" s="86"/>
      <c r="V15" s="86"/>
      <c r="W15" s="86"/>
      <c r="X15" s="86"/>
      <c r="Y15" s="86"/>
      <c r="Z15" s="86"/>
      <c r="AA15" s="678"/>
      <c r="AB15" s="678"/>
      <c r="AC15" s="678"/>
      <c r="AD15" s="678"/>
      <c r="AE15" s="678"/>
      <c r="AF15" s="73"/>
      <c r="AG15" s="86"/>
      <c r="AH15" s="546" t="s">
        <v>1122</v>
      </c>
      <c r="AI15" s="605"/>
      <c r="AJ15" s="605"/>
    </row>
    <row r="16" spans="1:55">
      <c r="B16" s="75" t="s">
        <v>94</v>
      </c>
      <c r="C16" s="76">
        <v>2</v>
      </c>
      <c r="D16" s="77"/>
      <c r="E16" s="77"/>
      <c r="F16" s="705"/>
      <c r="G16" s="76"/>
      <c r="H16" s="78"/>
      <c r="I16" s="79"/>
      <c r="J16" s="79"/>
      <c r="K16" s="79"/>
      <c r="L16" s="79"/>
      <c r="M16" s="79"/>
      <c r="N16" s="750"/>
      <c r="O16" s="508" t="str">
        <f>IFERROR(CONCATENATE("tCO2e/",VLOOKUP($N16,'Emission factors'!$C:$I,6,FALSE)),"")</f>
        <v/>
      </c>
      <c r="P16" s="508" t="str">
        <f>IFERROR(VLOOKUP($N16,'Emission factors'!$C:$BQ,9,FALSE),"")</f>
        <v/>
      </c>
      <c r="Q16" s="508" t="str">
        <f>IFERROR(VLOOKUP($N16,'Emission factors'!$C:$BQ,12,FALSE),"")</f>
        <v/>
      </c>
      <c r="R16" s="508" t="str">
        <f>IFERROR(VLOOKUP($N16,'Emission factors'!$C:$BQ,15,FALSE),"")</f>
        <v/>
      </c>
      <c r="S16" s="508" t="str">
        <f>IFERROR(VLOOKUP($N16,'Emission factors'!$C:$BQ,65,FALSE),"")</f>
        <v/>
      </c>
      <c r="T16" s="508" t="str">
        <f>IFERROR(VLOOKUP($N16,'Emission factors'!$C:$BQ,67,FALSE),"")</f>
        <v/>
      </c>
      <c r="U16" s="79"/>
      <c r="V16" s="79"/>
      <c r="W16" s="79"/>
      <c r="X16" s="79"/>
      <c r="Y16" s="79"/>
      <c r="Z16" s="79"/>
      <c r="AA16" s="677" t="str">
        <f t="shared" ref="AA16:AC17" si="2">IFERROR(IF(AND($N16="",$U16=""),"",IF($N16="",IF(V16=0,"-",V16),IF(P16=0,"0",$H16*IF($L16="",1,$L16)*P16))),"-")</f>
        <v/>
      </c>
      <c r="AB16" s="677" t="str">
        <f t="shared" si="2"/>
        <v/>
      </c>
      <c r="AC16" s="677" t="str">
        <f t="shared" si="2"/>
        <v/>
      </c>
      <c r="AD16" s="677" t="str">
        <f>IFERROR(IF(AND($N16="",$U16=""),"",IF($N16="",IF(Y16="",SUM(AA16:AC16),IF(Y16=0,"0",Y16)),IF($S16="",SUM($AA16:$AC16),IF($S16=0,"0",$H16*IF($L16="",1,$L16)*$S16)))),"-")</f>
        <v/>
      </c>
      <c r="AE16" s="677" t="str">
        <f>IFERROR(IF(AND($N16="",$U16=""),"",IF($N16="",IF(Z16=0,"",Z16),IF(T16=0,"0",$H16*IF($L16="",1,$L16)*T16))),"-")</f>
        <v/>
      </c>
      <c r="AF16" s="79"/>
      <c r="AG16" s="170"/>
      <c r="AH16" s="544"/>
      <c r="AI16" s="545"/>
      <c r="AJ16" s="604"/>
    </row>
    <row r="17" spans="1:55">
      <c r="B17" s="75" t="s">
        <v>94</v>
      </c>
      <c r="C17" s="76">
        <v>2</v>
      </c>
      <c r="D17" s="77"/>
      <c r="E17" s="77"/>
      <c r="F17" s="867"/>
      <c r="G17" s="76"/>
      <c r="H17" s="78"/>
      <c r="I17" s="79"/>
      <c r="J17" s="79"/>
      <c r="K17" s="79"/>
      <c r="L17" s="79"/>
      <c r="M17" s="79"/>
      <c r="N17" s="750"/>
      <c r="O17" s="508" t="str">
        <f>IFERROR(CONCATENATE("tCO2e/",VLOOKUP($N17,'Emission factors'!$C:$I,6,FALSE)),"")</f>
        <v/>
      </c>
      <c r="P17" s="508" t="str">
        <f>IFERROR(VLOOKUP($N17,'Emission factors'!$C:$BQ,9,FALSE),"")</f>
        <v/>
      </c>
      <c r="Q17" s="508" t="str">
        <f>IFERROR(VLOOKUP($N17,'Emission factors'!$C:$BQ,12,FALSE),"")</f>
        <v/>
      </c>
      <c r="R17" s="508" t="str">
        <f>IFERROR(VLOOKUP($N17,'Emission factors'!$C:$BQ,15,FALSE),"")</f>
        <v/>
      </c>
      <c r="S17" s="508" t="str">
        <f>IFERROR(VLOOKUP($N17,'Emission factors'!$C:$BQ,65,FALSE),"")</f>
        <v/>
      </c>
      <c r="T17" s="508" t="str">
        <f>IFERROR(VLOOKUP($N17,'Emission factors'!$C:$BQ,67,FALSE),"")</f>
        <v/>
      </c>
      <c r="U17" s="79"/>
      <c r="V17" s="79"/>
      <c r="W17" s="79"/>
      <c r="X17" s="79"/>
      <c r="Y17" s="79"/>
      <c r="Z17" s="79"/>
      <c r="AA17" s="677" t="str">
        <f t="shared" si="2"/>
        <v/>
      </c>
      <c r="AB17" s="677" t="str">
        <f t="shared" si="2"/>
        <v/>
      </c>
      <c r="AC17" s="677" t="str">
        <f t="shared" si="2"/>
        <v/>
      </c>
      <c r="AD17" s="677" t="str">
        <f>IFERROR(IF(AND($N17="",$U17=""),"",IF($N17="",IF(Y17="",SUM(AA17:AC17),IF(Y17=0,"0",Y17)),IF($S17="",SUM($AA17:$AC17),IF($S17=0,"0",$H17*IF($L17="",1,$L17)*$S17)))),"-")</f>
        <v/>
      </c>
      <c r="AE17" s="677" t="str">
        <f>IFERROR(IF(AND($N17="",$U17=""),"",IF($N17="",IF(Z17=0,"",Z17),IF(T17=0,"0",$H17*IF($L17="",1,$L17)*T17))),"-")</f>
        <v/>
      </c>
      <c r="AF17" s="79"/>
      <c r="AG17" s="170"/>
      <c r="AH17" s="612"/>
      <c r="AI17" s="545"/>
      <c r="AJ17" s="604"/>
    </row>
    <row r="18" spans="1:55">
      <c r="B18" s="105" t="s">
        <v>96</v>
      </c>
      <c r="C18" s="106">
        <v>3</v>
      </c>
      <c r="D18" s="159" t="s">
        <v>627</v>
      </c>
      <c r="E18" s="159"/>
      <c r="F18" s="868"/>
      <c r="G18" s="91" t="s">
        <v>179</v>
      </c>
      <c r="H18" s="92"/>
      <c r="I18" s="91"/>
      <c r="J18" s="91"/>
      <c r="K18" s="91"/>
      <c r="L18" s="91"/>
      <c r="M18" s="91"/>
      <c r="N18" s="846"/>
      <c r="O18" s="91"/>
      <c r="P18" s="91"/>
      <c r="Q18" s="91"/>
      <c r="R18" s="91"/>
      <c r="S18" s="91"/>
      <c r="T18" s="91"/>
      <c r="U18" s="91"/>
      <c r="V18" s="91"/>
      <c r="W18" s="91"/>
      <c r="X18" s="91"/>
      <c r="Y18" s="91"/>
      <c r="Z18" s="91"/>
      <c r="AA18" s="679"/>
      <c r="AB18" s="679"/>
      <c r="AC18" s="679"/>
      <c r="AD18" s="679"/>
      <c r="AE18" s="679"/>
      <c r="AF18" s="91"/>
      <c r="AG18" s="91"/>
      <c r="AH18" s="547" t="s">
        <v>1066</v>
      </c>
      <c r="AI18" s="606"/>
      <c r="AJ18" s="606"/>
    </row>
    <row r="19" spans="1:55">
      <c r="B19" s="75" t="s">
        <v>96</v>
      </c>
      <c r="C19" s="76">
        <v>3</v>
      </c>
      <c r="D19" s="77"/>
      <c r="E19" s="77"/>
      <c r="F19" s="869"/>
      <c r="G19" s="76"/>
      <c r="H19" s="78"/>
      <c r="I19" s="79"/>
      <c r="J19" s="79"/>
      <c r="K19" s="79"/>
      <c r="L19" s="79"/>
      <c r="M19" s="79"/>
      <c r="N19" s="750"/>
      <c r="O19" s="508" t="str">
        <f>IFERROR(CONCATENATE("tCO2e/",VLOOKUP($N19,'Emission factors'!$C:$I,6,FALSE)),"")</f>
        <v/>
      </c>
      <c r="P19" s="508" t="str">
        <f>IFERROR(VLOOKUP($N19,'Emission factors'!$C:$BQ,9,FALSE),"")</f>
        <v/>
      </c>
      <c r="Q19" s="508" t="str">
        <f>IFERROR(VLOOKUP($N19,'Emission factors'!$C:$BQ,12,FALSE),"")</f>
        <v/>
      </c>
      <c r="R19" s="508" t="str">
        <f>IFERROR(VLOOKUP($N19,'Emission factors'!$C:$BQ,15,FALSE),"")</f>
        <v/>
      </c>
      <c r="S19" s="508" t="str">
        <f>IFERROR(VLOOKUP($N19,'Emission factors'!$C:$BQ,65,FALSE),"")</f>
        <v/>
      </c>
      <c r="T19" s="508" t="str">
        <f>IFERROR(VLOOKUP($N19,'Emission factors'!$C:$BQ,67,FALSE),"")</f>
        <v/>
      </c>
      <c r="U19" s="79"/>
      <c r="V19" s="79"/>
      <c r="W19" s="79"/>
      <c r="X19" s="79"/>
      <c r="Y19" s="79"/>
      <c r="Z19" s="79"/>
      <c r="AA19" s="677" t="str">
        <f t="shared" ref="AA19:AC20" si="3">IFERROR(IF(AND($N19="",$U19=""),"",IF($N19="",IF(V19=0,"-",V19),IF(P19=0,"0",$H19*IF($L19="",1,$L19)*P19))),"-")</f>
        <v/>
      </c>
      <c r="AB19" s="677" t="str">
        <f t="shared" si="3"/>
        <v/>
      </c>
      <c r="AC19" s="677" t="str">
        <f t="shared" si="3"/>
        <v/>
      </c>
      <c r="AD19" s="677" t="str">
        <f>IFERROR(IF(AND($N19="",$U19=""),"",IF($N19="",IF(Y19="",SUM(AA19:AC19),IF(Y19=0,"0",Y19)),IF($S19="",SUM($AA19:$AC19),IF($S19=0,"0",$H19*IF($L19="",1,$L19)*$S19)))),"-")</f>
        <v/>
      </c>
      <c r="AE19" s="677" t="str">
        <f>IFERROR(IF(AND($N19="",$U19=""),"",IF($N19="",IF(Z19=0,"",Z19),IF(T19=0,"0",$H19*IF($L19="",1,$L19)*T19))),"-")</f>
        <v/>
      </c>
      <c r="AF19" s="79"/>
      <c r="AG19" s="170"/>
      <c r="AH19" s="544"/>
      <c r="AI19" s="545"/>
      <c r="AJ19" s="604"/>
    </row>
    <row r="20" spans="1:55" ht="15" customHeight="1" thickBot="1">
      <c r="B20" s="107" t="s">
        <v>96</v>
      </c>
      <c r="C20" s="99">
        <v>3</v>
      </c>
      <c r="D20" s="160"/>
      <c r="E20" s="160"/>
      <c r="F20" s="813"/>
      <c r="G20" s="99"/>
      <c r="H20" s="525"/>
      <c r="I20" s="148"/>
      <c r="J20" s="148"/>
      <c r="K20" s="148"/>
      <c r="L20" s="148"/>
      <c r="M20" s="148"/>
      <c r="N20" s="609"/>
      <c r="O20" s="526" t="str">
        <f>IFERROR(CONCATENATE("tCO2e/",VLOOKUP($N20,'Emission factors'!$C:$I,6,FALSE)),"")</f>
        <v/>
      </c>
      <c r="P20" s="526" t="str">
        <f>IFERROR(VLOOKUP($N20,'Emission factors'!$C:$BQ,9,FALSE),"")</f>
        <v/>
      </c>
      <c r="Q20" s="526" t="str">
        <f>IFERROR(VLOOKUP($N20,'Emission factors'!$C:$BQ,12,FALSE),"")</f>
        <v/>
      </c>
      <c r="R20" s="526" t="str">
        <f>IFERROR(VLOOKUP($N20,'Emission factors'!$C:$BQ,15,FALSE),"")</f>
        <v/>
      </c>
      <c r="S20" s="526" t="str">
        <f>IFERROR(VLOOKUP($N20,'Emission factors'!$C:$BQ,65,FALSE),"")</f>
        <v/>
      </c>
      <c r="T20" s="526" t="str">
        <f>IFERROR(VLOOKUP($N20,'Emission factors'!$C:$BQ,67,FALSE),"")</f>
        <v/>
      </c>
      <c r="U20" s="99"/>
      <c r="V20" s="148"/>
      <c r="W20" s="148"/>
      <c r="X20" s="148"/>
      <c r="Y20" s="148"/>
      <c r="Z20" s="148"/>
      <c r="AA20" s="680" t="str">
        <f t="shared" si="3"/>
        <v/>
      </c>
      <c r="AB20" s="680" t="str">
        <f t="shared" si="3"/>
        <v/>
      </c>
      <c r="AC20" s="680" t="str">
        <f t="shared" si="3"/>
        <v/>
      </c>
      <c r="AD20" s="680" t="str">
        <f>IFERROR(IF(AND($N20="",$U20=""),"",IF($N20="",IF(Y20="",SUM(AA20:AC20),IF(Y20=0,"0",Y20)),IF($S20="",SUM($AA20:$AC20),IF($S20=0,"0",$H20*IF($L20="",1,$L20)*$S20)))),"-")</f>
        <v/>
      </c>
      <c r="AE20" s="680" t="str">
        <f>IFERROR(IF(AND($N20="",$U20=""),"",IF($N20="",IF(Z20=0,"",Z20),IF(T20=0,"0",$H20*IF($L20="",1,$L20)*T20))),"-")</f>
        <v/>
      </c>
      <c r="AF20" s="148"/>
      <c r="AG20" s="600"/>
      <c r="AH20" s="613"/>
      <c r="AI20" s="548"/>
      <c r="AJ20" s="607"/>
    </row>
    <row r="21" spans="1:55" s="28" customFormat="1">
      <c r="A21" s="343"/>
      <c r="B21" s="7"/>
      <c r="C21" s="7"/>
      <c r="D21" s="8"/>
      <c r="E21" s="8"/>
      <c r="F21" s="608"/>
      <c r="G21" s="9"/>
      <c r="H21" s="8"/>
      <c r="I21" s="8"/>
      <c r="J21" s="8"/>
      <c r="K21" s="8"/>
      <c r="L21" s="8"/>
      <c r="M21" s="8"/>
      <c r="N21" s="608"/>
      <c r="O21" s="8"/>
      <c r="P21" s="8"/>
      <c r="Q21" s="8"/>
      <c r="R21" s="8"/>
      <c r="S21" s="8"/>
      <c r="T21" s="8"/>
      <c r="U21" s="8"/>
      <c r="V21" s="8"/>
      <c r="W21" s="8"/>
      <c r="X21" s="8"/>
      <c r="Y21" s="8"/>
      <c r="Z21" s="8"/>
      <c r="AA21" s="10"/>
      <c r="AB21" s="10"/>
      <c r="AC21" s="10"/>
      <c r="AD21" s="10"/>
      <c r="AE21" s="10"/>
      <c r="AF21" s="9"/>
      <c r="AG21" s="9"/>
      <c r="AH21" s="614"/>
      <c r="AI21" s="614"/>
      <c r="AJ21" s="608"/>
    </row>
    <row r="22" spans="1:55" s="28" customFormat="1" ht="18.75">
      <c r="A22" s="343"/>
      <c r="B22" s="23" t="s">
        <v>224</v>
      </c>
      <c r="C22" s="7"/>
      <c r="D22" s="8"/>
      <c r="E22" s="8"/>
      <c r="F22" s="608"/>
      <c r="G22" s="9"/>
      <c r="H22" s="8"/>
      <c r="I22" s="8"/>
      <c r="J22" s="8"/>
      <c r="K22" s="8"/>
      <c r="L22" s="8"/>
      <c r="M22" s="8"/>
      <c r="N22" s="608"/>
      <c r="O22" s="8"/>
      <c r="P22" s="8"/>
      <c r="Q22" s="8"/>
      <c r="R22" s="8"/>
      <c r="S22" s="8"/>
      <c r="T22" s="8"/>
      <c r="U22" s="8"/>
      <c r="V22" s="8"/>
      <c r="W22" s="8"/>
      <c r="X22" s="8"/>
      <c r="Y22" s="8"/>
      <c r="Z22" s="8"/>
      <c r="AA22" s="10"/>
      <c r="AB22" s="10"/>
      <c r="AC22" s="10"/>
      <c r="AD22" s="10"/>
      <c r="AE22" s="10"/>
      <c r="AF22" s="9"/>
      <c r="AG22" s="9"/>
      <c r="AH22" s="614"/>
      <c r="AI22" s="614"/>
      <c r="AJ22" s="608"/>
    </row>
    <row r="23" spans="1:55" s="28" customFormat="1" ht="16.5" thickBot="1">
      <c r="A23" s="343"/>
      <c r="B23" s="7"/>
      <c r="C23" s="7"/>
      <c r="D23" s="8"/>
      <c r="E23" s="8"/>
      <c r="F23" s="608"/>
      <c r="G23" s="9"/>
      <c r="H23" s="8"/>
      <c r="I23" s="8"/>
      <c r="J23" s="8"/>
      <c r="K23" s="8"/>
      <c r="L23" s="8"/>
      <c r="M23" s="8"/>
      <c r="N23" s="608"/>
      <c r="O23" s="8"/>
      <c r="P23" s="8"/>
      <c r="Q23" s="8"/>
      <c r="R23" s="8"/>
      <c r="S23" s="8"/>
      <c r="T23" s="8"/>
      <c r="U23" s="8"/>
      <c r="V23" s="8"/>
      <c r="W23" s="8"/>
      <c r="X23" s="8"/>
      <c r="Y23" s="8"/>
      <c r="Z23" s="8"/>
      <c r="AA23" s="10"/>
      <c r="AB23" s="10"/>
      <c r="AC23" s="10"/>
      <c r="AD23" s="10"/>
      <c r="AE23" s="10"/>
      <c r="AF23" s="9"/>
      <c r="AG23" s="9"/>
      <c r="AH23" s="614"/>
      <c r="AI23" s="614"/>
      <c r="AJ23" s="608"/>
    </row>
    <row r="24" spans="1:55" s="5" customFormat="1" ht="15.95" customHeight="1">
      <c r="A24" s="53"/>
      <c r="B24" s="1139" t="s">
        <v>39</v>
      </c>
      <c r="C24" s="1133" t="s">
        <v>40</v>
      </c>
      <c r="D24" s="1056" t="s">
        <v>245</v>
      </c>
      <c r="E24" s="1147"/>
      <c r="F24" s="1144"/>
      <c r="G24" s="1134" t="s">
        <v>300</v>
      </c>
      <c r="H24" s="1141" t="s">
        <v>171</v>
      </c>
      <c r="I24" s="1142"/>
      <c r="J24" s="1130" t="s">
        <v>871</v>
      </c>
      <c r="K24" s="1131"/>
      <c r="L24" s="1132"/>
      <c r="M24" s="1134" t="s">
        <v>305</v>
      </c>
      <c r="N24" s="1063" t="s">
        <v>798</v>
      </c>
      <c r="O24" s="1112" t="s">
        <v>798</v>
      </c>
      <c r="P24" s="1112"/>
      <c r="Q24" s="1112"/>
      <c r="R24" s="1112"/>
      <c r="S24" s="1112"/>
      <c r="T24" s="1113"/>
      <c r="U24" s="1119" t="s">
        <v>967</v>
      </c>
      <c r="V24" s="1114" t="s">
        <v>975</v>
      </c>
      <c r="W24" s="1114"/>
      <c r="X24" s="1114"/>
      <c r="Y24" s="1114"/>
      <c r="Z24" s="1114"/>
      <c r="AA24" s="1148" t="s">
        <v>292</v>
      </c>
      <c r="AB24" s="1149"/>
      <c r="AC24" s="1149"/>
      <c r="AD24" s="1149"/>
      <c r="AE24" s="1150"/>
      <c r="AF24" s="1133" t="s">
        <v>43</v>
      </c>
      <c r="AG24" s="1133"/>
      <c r="AH24" s="1128" t="s">
        <v>799</v>
      </c>
      <c r="AI24" s="1073" t="s">
        <v>734</v>
      </c>
      <c r="AJ24" s="1145" t="s">
        <v>850</v>
      </c>
      <c r="AK24" s="14"/>
      <c r="AL24" s="14"/>
      <c r="AM24" s="14"/>
      <c r="AN24" s="14"/>
      <c r="AO24" s="14"/>
      <c r="AP24" s="14"/>
      <c r="AQ24" s="14"/>
      <c r="AR24" s="14"/>
      <c r="AS24" s="14"/>
      <c r="AT24" s="14"/>
      <c r="AU24" s="14"/>
      <c r="AV24" s="14"/>
      <c r="AW24" s="14"/>
      <c r="AX24" s="14"/>
      <c r="AY24" s="14"/>
      <c r="AZ24" s="14"/>
      <c r="BA24" s="14"/>
      <c r="BB24" s="14"/>
      <c r="BC24" s="14"/>
    </row>
    <row r="25" spans="1:55" s="5" customFormat="1" ht="19.5" thickBot="1">
      <c r="A25" s="53"/>
      <c r="B25" s="1140"/>
      <c r="C25" s="1135"/>
      <c r="D25" s="577" t="s">
        <v>257</v>
      </c>
      <c r="E25" s="577" t="s">
        <v>246</v>
      </c>
      <c r="F25" s="811" t="s">
        <v>244</v>
      </c>
      <c r="G25" s="1135"/>
      <c r="H25" s="577" t="s">
        <v>172</v>
      </c>
      <c r="I25" s="577" t="s">
        <v>173</v>
      </c>
      <c r="J25" s="528" t="s">
        <v>831</v>
      </c>
      <c r="K25" s="528" t="s">
        <v>832</v>
      </c>
      <c r="L25" s="528" t="s">
        <v>965</v>
      </c>
      <c r="M25" s="1135"/>
      <c r="N25" s="1064"/>
      <c r="O25" s="537" t="s">
        <v>173</v>
      </c>
      <c r="P25" s="538" t="s">
        <v>969</v>
      </c>
      <c r="Q25" s="538" t="s">
        <v>970</v>
      </c>
      <c r="R25" s="538" t="s">
        <v>971</v>
      </c>
      <c r="S25" s="538" t="s">
        <v>972</v>
      </c>
      <c r="T25" s="538" t="s">
        <v>973</v>
      </c>
      <c r="U25" s="1120"/>
      <c r="V25" s="538" t="s">
        <v>969</v>
      </c>
      <c r="W25" s="538" t="s">
        <v>970</v>
      </c>
      <c r="X25" s="538" t="s">
        <v>971</v>
      </c>
      <c r="Y25" s="538" t="s">
        <v>972</v>
      </c>
      <c r="Z25" s="538" t="s">
        <v>973</v>
      </c>
      <c r="AA25" s="100" t="s">
        <v>293</v>
      </c>
      <c r="AB25" s="100" t="s">
        <v>294</v>
      </c>
      <c r="AC25" s="100" t="s">
        <v>295</v>
      </c>
      <c r="AD25" s="100" t="s">
        <v>296</v>
      </c>
      <c r="AE25" s="100" t="s">
        <v>297</v>
      </c>
      <c r="AF25" s="577" t="s">
        <v>46</v>
      </c>
      <c r="AG25" s="577" t="s">
        <v>47</v>
      </c>
      <c r="AH25" s="1129"/>
      <c r="AI25" s="1074"/>
      <c r="AJ25" s="1146"/>
      <c r="AK25" s="14"/>
      <c r="AL25" s="14"/>
      <c r="AM25" s="14"/>
      <c r="AN25" s="14"/>
      <c r="AO25" s="14"/>
      <c r="AP25" s="14"/>
      <c r="AQ25" s="14"/>
      <c r="AR25" s="14"/>
      <c r="AS25" s="14"/>
      <c r="AT25" s="14"/>
      <c r="AU25" s="14"/>
      <c r="AV25" s="14"/>
      <c r="AW25" s="14"/>
      <c r="AX25" s="14"/>
      <c r="AY25" s="14"/>
      <c r="AZ25" s="14"/>
      <c r="BA25" s="14"/>
      <c r="BB25" s="14"/>
      <c r="BC25" s="14"/>
    </row>
    <row r="26" spans="1:55">
      <c r="B26" s="161" t="s">
        <v>98</v>
      </c>
      <c r="C26" s="162">
        <v>1</v>
      </c>
      <c r="D26" s="84" t="s">
        <v>254</v>
      </c>
      <c r="E26" s="158"/>
      <c r="F26" s="866"/>
      <c r="G26" s="119"/>
      <c r="H26" s="156"/>
      <c r="I26" s="157"/>
      <c r="J26" s="157"/>
      <c r="K26" s="157"/>
      <c r="L26" s="157"/>
      <c r="M26" s="73"/>
      <c r="N26" s="876"/>
      <c r="O26" s="157"/>
      <c r="P26" s="157"/>
      <c r="Q26" s="157"/>
      <c r="R26" s="157"/>
      <c r="S26" s="157"/>
      <c r="T26" s="157"/>
      <c r="U26" s="157"/>
      <c r="V26" s="157"/>
      <c r="W26" s="157"/>
      <c r="X26" s="157"/>
      <c r="Y26" s="157"/>
      <c r="Z26" s="157"/>
      <c r="AA26" s="685"/>
      <c r="AB26" s="685"/>
      <c r="AC26" s="685"/>
      <c r="AD26" s="685"/>
      <c r="AE26" s="685"/>
      <c r="AF26" s="73"/>
      <c r="AG26" s="468"/>
      <c r="AH26" s="543"/>
      <c r="AI26" s="603"/>
      <c r="AJ26" s="603"/>
    </row>
    <row r="27" spans="1:55" ht="47.25">
      <c r="B27" s="75" t="s">
        <v>98</v>
      </c>
      <c r="C27" s="76">
        <v>1</v>
      </c>
      <c r="D27" s="77" t="s">
        <v>259</v>
      </c>
      <c r="E27" s="163" t="s">
        <v>611</v>
      </c>
      <c r="F27" s="544" t="s">
        <v>1278</v>
      </c>
      <c r="G27" s="76"/>
      <c r="H27" s="714">
        <f>5943.7*'NCV&amp;Density'!$G$13*'NCV&amp;Density'!$G$14</f>
        <v>215.96433949999997</v>
      </c>
      <c r="I27" s="79" t="s">
        <v>913</v>
      </c>
      <c r="J27" s="79"/>
      <c r="K27" s="79"/>
      <c r="L27" s="79"/>
      <c r="M27" s="79" t="s">
        <v>312</v>
      </c>
      <c r="N27" s="750" t="s">
        <v>1167</v>
      </c>
      <c r="O27" s="508" t="str">
        <f>IFERROR(CONCATENATE("tCO2e/",VLOOKUP($N27,'Emission factors'!$C:$I,6,FALSE)),"")</f>
        <v>tCO2e/TJ</v>
      </c>
      <c r="P27" s="508">
        <f>IFERROR(VLOOKUP($N27,'Emission factors'!$C:$BQ,9,FALSE),"")</f>
        <v>74.099999999999994</v>
      </c>
      <c r="Q27" s="508">
        <f>IFERROR(VLOOKUP($N27,'Emission factors'!$C:$BQ,12,FALSE),"")</f>
        <v>0.10375</v>
      </c>
      <c r="R27" s="508">
        <f>IFERROR(VLOOKUP($N27,'Emission factors'!$C:$BQ,15,FALSE),"")</f>
        <v>0.85228000000000004</v>
      </c>
      <c r="S27" s="508" t="str">
        <f>IFERROR(VLOOKUP($N27,'Emission factors'!$C:$BQ,65,FALSE),"")</f>
        <v/>
      </c>
      <c r="T27" s="508">
        <f>IFERROR(VLOOKUP($N27,'Emission factors'!$C:$BQ,67,FALSE),"")</f>
        <v>0</v>
      </c>
      <c r="U27" s="79"/>
      <c r="V27" s="79"/>
      <c r="W27" s="79"/>
      <c r="X27" s="79"/>
      <c r="Y27" s="79"/>
      <c r="Z27" s="79"/>
      <c r="AA27" s="717">
        <f t="shared" ref="AA27:AC28" si="4">IFERROR(IF(AND($N27="",$U27=""),"",IF($N27="",IF(V27=0,"-",V27),IF(P27=0,"0",$H27*IF($L27="",1,$L27)*P27))),"-")</f>
        <v>16002.957556949996</v>
      </c>
      <c r="AB27" s="717">
        <f t="shared" si="4"/>
        <v>22.406300223124994</v>
      </c>
      <c r="AC27" s="717">
        <f t="shared" si="4"/>
        <v>184.06208726905999</v>
      </c>
      <c r="AD27" s="717">
        <f>IFERROR(IF(AND($N27="",$U27=""),"",IF($N27="",IF(Y27="",SUM(AA27:AC27),IF(Y27=0,"0",Y27)),IF($S27="",SUM($AA27:$AC27),IF($S27=0,"0",$H27*IF($L27="",1,$L27)*$S27)))),"-")</f>
        <v>16209.42594444218</v>
      </c>
      <c r="AE27" s="677" t="str">
        <f>IFERROR(IF(AND($N27="",$U27=""),"",IF($N27="",IF(Z27=0,"",Z27),IF(T27=0,"0",$H27*IF($L27="",1,$L27)*T27))),"-")</f>
        <v>0</v>
      </c>
      <c r="AF27" s="79" t="s">
        <v>182</v>
      </c>
      <c r="AG27" s="170" t="s">
        <v>181</v>
      </c>
      <c r="AH27" s="544" t="s">
        <v>1257</v>
      </c>
      <c r="AI27" s="545" t="s">
        <v>1205</v>
      </c>
      <c r="AJ27" s="604"/>
    </row>
    <row r="28" spans="1:55" s="769" customFormat="1" ht="47.25">
      <c r="A28" s="765"/>
      <c r="B28" s="766" t="s">
        <v>98</v>
      </c>
      <c r="C28" s="727">
        <v>1</v>
      </c>
      <c r="D28" s="737" t="s">
        <v>259</v>
      </c>
      <c r="E28" s="767" t="s">
        <v>611</v>
      </c>
      <c r="F28" s="731" t="s">
        <v>1291</v>
      </c>
      <c r="G28" s="727"/>
      <c r="H28" s="714">
        <f>488.546*'NCV&amp;Density'!$G$13*'NCV&amp;Density'!$G$14</f>
        <v>17.751318909999998</v>
      </c>
      <c r="I28" s="79" t="s">
        <v>913</v>
      </c>
      <c r="J28" s="725"/>
      <c r="K28" s="725"/>
      <c r="L28" s="725"/>
      <c r="M28" s="725" t="s">
        <v>312</v>
      </c>
      <c r="N28" s="851" t="s">
        <v>1167</v>
      </c>
      <c r="O28" s="728" t="str">
        <f>IFERROR(CONCATENATE("tCO2e/",VLOOKUP($N28,'Emission factors'!$C:$I,6,FALSE)),"")</f>
        <v>tCO2e/TJ</v>
      </c>
      <c r="P28" s="728">
        <f>IFERROR(VLOOKUP($N28,'Emission factors'!$C:$BQ,9,FALSE),"")</f>
        <v>74.099999999999994</v>
      </c>
      <c r="Q28" s="728">
        <f>IFERROR(VLOOKUP($N28,'Emission factors'!$C:$BQ,12,FALSE),"")</f>
        <v>0.10375</v>
      </c>
      <c r="R28" s="728">
        <f>IFERROR(VLOOKUP($N28,'Emission factors'!$C:$BQ,15,FALSE),"")</f>
        <v>0.85228000000000004</v>
      </c>
      <c r="S28" s="728" t="str">
        <f>IFERROR(VLOOKUP($N28,'Emission factors'!$C:$BQ,65,FALSE),"")</f>
        <v/>
      </c>
      <c r="T28" s="728">
        <f>IFERROR(VLOOKUP($N28,'Emission factors'!$C:$BQ,67,FALSE),"")</f>
        <v>0</v>
      </c>
      <c r="U28" s="725"/>
      <c r="V28" s="725"/>
      <c r="W28" s="725"/>
      <c r="X28" s="725"/>
      <c r="Y28" s="725"/>
      <c r="Z28" s="725"/>
      <c r="AA28" s="716">
        <f t="shared" si="4"/>
        <v>1315.3727312309998</v>
      </c>
      <c r="AB28" s="716">
        <f t="shared" si="4"/>
        <v>1.8416993369124997</v>
      </c>
      <c r="AC28" s="716">
        <f t="shared" si="4"/>
        <v>15.129094080614799</v>
      </c>
      <c r="AD28" s="716">
        <f>IFERROR(IF(AND($N28="",$U28=""),"",IF($N28="",IF(Y28="",SUM(AA28:AC28),IF(Y28=0,"0",Y28)),IF($S28="",SUM($AA28:$AC28),IF($S28=0,"0",$H28*IF($L28="",1,$L28)*$S28)))),"-")</f>
        <v>1332.3435246485271</v>
      </c>
      <c r="AE28" s="716" t="str">
        <f>IFERROR(IF(AND($N28="",$U28=""),"",IF($N28="",IF(Z28=0,"",Z28),IF(T28=0,"0",$H28*IF($L28="",1,$L28)*T28))),"-")</f>
        <v>0</v>
      </c>
      <c r="AF28" s="725" t="s">
        <v>181</v>
      </c>
      <c r="AG28" s="170" t="s">
        <v>181</v>
      </c>
      <c r="AH28" s="768" t="s">
        <v>1296</v>
      </c>
      <c r="AI28" s="435" t="s">
        <v>1293</v>
      </c>
      <c r="AJ28" s="732"/>
      <c r="AK28" s="49"/>
      <c r="AL28" s="49"/>
      <c r="AM28" s="49"/>
      <c r="AN28" s="49"/>
      <c r="AO28" s="49"/>
      <c r="AP28" s="49"/>
      <c r="AQ28" s="49"/>
      <c r="AR28" s="49"/>
      <c r="AS28" s="49"/>
      <c r="AT28" s="49"/>
      <c r="AU28" s="49"/>
      <c r="AV28" s="49"/>
      <c r="AW28" s="49"/>
      <c r="AX28" s="49"/>
      <c r="AY28" s="49"/>
      <c r="AZ28" s="49"/>
      <c r="BA28" s="49"/>
      <c r="BB28" s="49"/>
      <c r="BC28" s="49"/>
    </row>
    <row r="29" spans="1:55">
      <c r="B29" s="164" t="s">
        <v>100</v>
      </c>
      <c r="C29" s="165">
        <v>2</v>
      </c>
      <c r="D29" s="158" t="s">
        <v>101</v>
      </c>
      <c r="E29" s="158"/>
      <c r="F29" s="866"/>
      <c r="G29" s="102"/>
      <c r="H29" s="86"/>
      <c r="I29" s="86"/>
      <c r="J29" s="86"/>
      <c r="K29" s="86"/>
      <c r="L29" s="86"/>
      <c r="M29" s="86"/>
      <c r="N29" s="845"/>
      <c r="O29" s="86"/>
      <c r="P29" s="86"/>
      <c r="Q29" s="86"/>
      <c r="R29" s="86"/>
      <c r="S29" s="86"/>
      <c r="T29" s="86"/>
      <c r="U29" s="86"/>
      <c r="V29" s="86"/>
      <c r="W29" s="86"/>
      <c r="X29" s="86"/>
      <c r="Y29" s="86"/>
      <c r="Z29" s="86"/>
      <c r="AA29" s="678"/>
      <c r="AB29" s="678"/>
      <c r="AC29" s="678"/>
      <c r="AD29" s="678"/>
      <c r="AE29" s="678"/>
      <c r="AF29" s="73"/>
      <c r="AG29" s="86"/>
      <c r="AH29" s="546"/>
      <c r="AI29" s="605"/>
      <c r="AJ29" s="605"/>
    </row>
    <row r="30" spans="1:55" ht="47.25">
      <c r="B30" s="75" t="s">
        <v>100</v>
      </c>
      <c r="C30" s="76">
        <v>2</v>
      </c>
      <c r="D30" s="77" t="s">
        <v>258</v>
      </c>
      <c r="E30" s="163" t="s">
        <v>185</v>
      </c>
      <c r="F30" s="705" t="s">
        <v>1123</v>
      </c>
      <c r="G30" s="76"/>
      <c r="H30" s="733">
        <v>237419.454</v>
      </c>
      <c r="I30" s="79" t="s">
        <v>1061</v>
      </c>
      <c r="J30" s="79"/>
      <c r="K30" s="79"/>
      <c r="L30" s="79"/>
      <c r="M30" s="79" t="s">
        <v>312</v>
      </c>
      <c r="N30" s="750" t="s">
        <v>1152</v>
      </c>
      <c r="O30" s="508" t="str">
        <f>IFERROR(CONCATENATE("tCO2e/",VLOOKUP($N30,'Emission factors'!$C:$I,6,FALSE)),"")</f>
        <v>tCO2e/MWh</v>
      </c>
      <c r="P30" s="508">
        <f>IFERROR(VLOOKUP($N30,'Emission factors'!$C:$BQ,9,FALSE),"")</f>
        <v>0.33164958450222071</v>
      </c>
      <c r="Q30" s="508">
        <f>IFERROR(VLOOKUP($N30,'Emission factors'!$C:$BQ,12,FALSE),"")</f>
        <v>2.0350702395489903E-4</v>
      </c>
      <c r="R30" s="508">
        <f>IFERROR(VLOOKUP($N30,'Emission factors'!$C:$BQ,15,FALSE),"")</f>
        <v>4.401698135050407E-4</v>
      </c>
      <c r="S30" s="508" t="str">
        <f>IFERROR(VLOOKUP($N30,'Emission factors'!$C:$BQ,65,FALSE),"")</f>
        <v/>
      </c>
      <c r="T30" s="508">
        <f>IFERROR(VLOOKUP($N30,'Emission factors'!$C:$BQ,67,FALSE),"")</f>
        <v>0</v>
      </c>
      <c r="U30" s="79"/>
      <c r="V30" s="78"/>
      <c r="W30" s="79"/>
      <c r="X30" s="79"/>
      <c r="Y30" s="79"/>
      <c r="Z30" s="79"/>
      <c r="AA30" s="717">
        <f t="shared" ref="AA30:AC31" si="5">IFERROR(IF(AND($N30="",$U30=""),"",IF($N30="",IF(V30=0,"-",V30),IF(P30=0,"0",$H30*IF($L30="",1,$L30)*P30))),"-")</f>
        <v>78740.063271844105</v>
      </c>
      <c r="AB30" s="717">
        <f t="shared" si="5"/>
        <v>48.316526512537045</v>
      </c>
      <c r="AC30" s="717">
        <f t="shared" si="5"/>
        <v>104.50487678964859</v>
      </c>
      <c r="AD30" s="717">
        <f>IFERROR(IF(AND($N30="",$U30=""),"",IF($N30="",IF(Y30="",SUM(AA30:AC30),IF(Y30=0,"0",Y30)),IF($S30="",SUM($AA30:$AC30),IF($S30=0,"0",$H30*IF($L30="",1,$L30)*$S30)))),"-")</f>
        <v>78892.884675146299</v>
      </c>
      <c r="AE30" s="677" t="str">
        <f>IFERROR(IF(AND($N30="",$U30=""),"",IF($N30="",IF(Z30=0,"",Z30),IF(T30=0,"0",$H30*IF($L30="",1,$L30)*T30))),"-")</f>
        <v>0</v>
      </c>
      <c r="AF30" s="79" t="s">
        <v>182</v>
      </c>
      <c r="AG30" s="170" t="s">
        <v>182</v>
      </c>
      <c r="AH30" s="731" t="s">
        <v>1258</v>
      </c>
      <c r="AI30" s="545" t="s">
        <v>1199</v>
      </c>
      <c r="AJ30" s="604"/>
    </row>
    <row r="31" spans="1:55">
      <c r="B31" s="75" t="s">
        <v>100</v>
      </c>
      <c r="C31" s="76">
        <v>2</v>
      </c>
      <c r="D31" s="77"/>
      <c r="E31" s="163"/>
      <c r="F31" s="869"/>
      <c r="G31" s="76"/>
      <c r="H31" s="78"/>
      <c r="I31" s="79"/>
      <c r="J31" s="79"/>
      <c r="K31" s="79"/>
      <c r="L31" s="79"/>
      <c r="M31" s="79"/>
      <c r="N31" s="750"/>
      <c r="O31" s="508" t="str">
        <f>IFERROR(CONCATENATE("tCO2e/",VLOOKUP($N31,'Emission factors'!$C:$I,6,FALSE)),"")</f>
        <v/>
      </c>
      <c r="P31" s="508" t="str">
        <f>IFERROR(VLOOKUP($N31,'Emission factors'!$C:$BQ,9,FALSE),"")</f>
        <v/>
      </c>
      <c r="Q31" s="508" t="str">
        <f>IFERROR(VLOOKUP($N31,'Emission factors'!$C:$BQ,12,FALSE),"")</f>
        <v/>
      </c>
      <c r="R31" s="508" t="str">
        <f>IFERROR(VLOOKUP($N31,'Emission factors'!$C:$BQ,15,FALSE),"")</f>
        <v/>
      </c>
      <c r="S31" s="508" t="str">
        <f>IFERROR(VLOOKUP($N31,'Emission factors'!$C:$BQ,65,FALSE),"")</f>
        <v/>
      </c>
      <c r="T31" s="508" t="str">
        <f>IFERROR(VLOOKUP($N31,'Emission factors'!$C:$BQ,67,FALSE),"")</f>
        <v/>
      </c>
      <c r="U31" s="79"/>
      <c r="V31" s="79"/>
      <c r="W31" s="79"/>
      <c r="X31" s="79"/>
      <c r="Y31" s="79"/>
      <c r="Z31" s="79"/>
      <c r="AA31" s="677" t="str">
        <f t="shared" si="5"/>
        <v/>
      </c>
      <c r="AB31" s="677" t="str">
        <f t="shared" si="5"/>
        <v/>
      </c>
      <c r="AC31" s="677" t="str">
        <f t="shared" si="5"/>
        <v/>
      </c>
      <c r="AD31" s="677" t="str">
        <f>IFERROR(IF(AND($N31="",$U31=""),"",IF($N31="",IF(Y31="",SUM(AA31:AC31),IF(Y31=0,"0",Y31)),IF($S31="",SUM($AA31:$AC31),IF($S31=0,"0",$H31*IF($L31="",1,$L31)*$S31)))),"-")</f>
        <v/>
      </c>
      <c r="AE31" s="677" t="str">
        <f>IFERROR(IF(AND($N31="",$U31=""),"",IF($N31="",IF(Z31=0,"",Z31),IF(T31=0,"0",$H31*IF($L31="",1,$L31)*T31))),"-")</f>
        <v/>
      </c>
      <c r="AF31" s="79"/>
      <c r="AG31" s="170"/>
      <c r="AH31" s="612"/>
      <c r="AI31" s="545"/>
      <c r="AJ31" s="604"/>
    </row>
    <row r="32" spans="1:55">
      <c r="B32" s="166" t="s">
        <v>102</v>
      </c>
      <c r="C32" s="167">
        <v>3</v>
      </c>
      <c r="D32" s="159" t="s">
        <v>627</v>
      </c>
      <c r="E32" s="168"/>
      <c r="F32" s="868"/>
      <c r="G32" s="91"/>
      <c r="H32" s="92"/>
      <c r="I32" s="91"/>
      <c r="J32" s="91"/>
      <c r="K32" s="91"/>
      <c r="L32" s="91"/>
      <c r="M32" s="91"/>
      <c r="N32" s="846"/>
      <c r="O32" s="91"/>
      <c r="P32" s="91"/>
      <c r="Q32" s="91"/>
      <c r="R32" s="91"/>
      <c r="S32" s="91"/>
      <c r="T32" s="91"/>
      <c r="U32" s="91"/>
      <c r="V32" s="91"/>
      <c r="W32" s="91"/>
      <c r="X32" s="91"/>
      <c r="Y32" s="91"/>
      <c r="Z32" s="91"/>
      <c r="AA32" s="679"/>
      <c r="AB32" s="679"/>
      <c r="AC32" s="679"/>
      <c r="AD32" s="679"/>
      <c r="AE32" s="679"/>
      <c r="AF32" s="91"/>
      <c r="AG32" s="91"/>
      <c r="AH32" s="547"/>
      <c r="AI32" s="606"/>
      <c r="AJ32" s="606"/>
    </row>
    <row r="33" spans="1:55" ht="63">
      <c r="B33" s="75" t="s">
        <v>102</v>
      </c>
      <c r="C33" s="76">
        <v>3</v>
      </c>
      <c r="D33" s="77" t="s">
        <v>259</v>
      </c>
      <c r="E33" s="163" t="s">
        <v>611</v>
      </c>
      <c r="F33" s="544" t="s">
        <v>1289</v>
      </c>
      <c r="G33" s="76"/>
      <c r="H33" s="719">
        <f>2139.4*'NCV&amp;Density'!G13*'NCV&amp;Density'!G14</f>
        <v>77.735099000000005</v>
      </c>
      <c r="I33" s="79" t="s">
        <v>913</v>
      </c>
      <c r="J33" s="79"/>
      <c r="K33" s="79"/>
      <c r="L33" s="79"/>
      <c r="M33" s="79" t="s">
        <v>312</v>
      </c>
      <c r="N33" s="750" t="s">
        <v>1167</v>
      </c>
      <c r="O33" s="508" t="str">
        <f>IFERROR(CONCATENATE("tCO2e/",VLOOKUP($N33,'Emission factors'!$C:$I,6,FALSE)),"")</f>
        <v>tCO2e/TJ</v>
      </c>
      <c r="P33" s="508">
        <f>IFERROR(VLOOKUP($N33,'Emission factors'!$C:$BQ,9,FALSE),"")</f>
        <v>74.099999999999994</v>
      </c>
      <c r="Q33" s="508">
        <f>IFERROR(VLOOKUP($N33,'Emission factors'!$C:$BQ,12,FALSE),"")</f>
        <v>0.10375</v>
      </c>
      <c r="R33" s="508">
        <f>IFERROR(VLOOKUP($N33,'Emission factors'!$C:$BQ,15,FALSE),"")</f>
        <v>0.85228000000000004</v>
      </c>
      <c r="S33" s="508" t="str">
        <f>IFERROR(VLOOKUP($N33,'Emission factors'!$C:$BQ,65,FALSE),"")</f>
        <v/>
      </c>
      <c r="T33" s="508">
        <f>IFERROR(VLOOKUP($N33,'Emission factors'!$C:$BQ,67,FALSE),"")</f>
        <v>0</v>
      </c>
      <c r="U33" s="79"/>
      <c r="V33" s="79"/>
      <c r="W33" s="79"/>
      <c r="X33" s="79"/>
      <c r="Y33" s="79"/>
      <c r="Z33" s="79"/>
      <c r="AA33" s="717">
        <f t="shared" ref="AA33:AC34" si="6">IFERROR(IF(AND($N33="",$U33=""),"",IF($N33="",IF(V33=0,"-",V33),IF(P33=0,"0",$H33*IF($L33="",1,$L33)*P33))),"-")</f>
        <v>5760.1708359000004</v>
      </c>
      <c r="AB33" s="717">
        <f t="shared" si="6"/>
        <v>8.0650165212499996</v>
      </c>
      <c r="AC33" s="717">
        <f t="shared" si="6"/>
        <v>66.252070175720007</v>
      </c>
      <c r="AD33" s="717">
        <f>IFERROR(IF(AND($N33="",$U33=""),"",IF($N33="",IF(Y33="",SUM(AA33:AC33),IF(Y33=0,"0",Y33)),IF($S33="",SUM($AA33:$AC33),IF($S33=0,"0",$H33*IF($L33="",1,$L33)*$S33)))),"-")</f>
        <v>5834.4879225969707</v>
      </c>
      <c r="AE33" s="677" t="str">
        <f>IFERROR(IF(AND($N33="",$U33=""),"",IF($N33="",IF(Z33=0,"",Z33),IF(T33=0,"0",$H33*IF($L33="",1,$L33)*T33))),"-")</f>
        <v>0</v>
      </c>
      <c r="AF33" s="79" t="s">
        <v>182</v>
      </c>
      <c r="AG33" s="170" t="s">
        <v>181</v>
      </c>
      <c r="AH33" s="544" t="s">
        <v>1290</v>
      </c>
      <c r="AI33" s="545" t="s">
        <v>1205</v>
      </c>
      <c r="AJ33" s="604"/>
    </row>
    <row r="34" spans="1:55" ht="36" customHeight="1" thickBot="1">
      <c r="B34" s="171" t="s">
        <v>102</v>
      </c>
      <c r="C34" s="148">
        <v>3</v>
      </c>
      <c r="D34" s="160" t="s">
        <v>258</v>
      </c>
      <c r="E34" s="172" t="s">
        <v>185</v>
      </c>
      <c r="F34" s="754" t="s">
        <v>622</v>
      </c>
      <c r="G34" s="99"/>
      <c r="H34" s="752">
        <v>33702</v>
      </c>
      <c r="I34" s="148" t="s">
        <v>1061</v>
      </c>
      <c r="J34" s="148"/>
      <c r="K34" s="148"/>
      <c r="L34" s="148"/>
      <c r="M34" s="148" t="s">
        <v>312</v>
      </c>
      <c r="N34" s="609" t="s">
        <v>1152</v>
      </c>
      <c r="O34" s="526" t="str">
        <f>IFERROR(CONCATENATE("tCO2e/",VLOOKUP($N34,'Emission factors'!$C:$I,6,FALSE)),"")</f>
        <v>tCO2e/MWh</v>
      </c>
      <c r="P34" s="526">
        <f>IFERROR(VLOOKUP($N34,'Emission factors'!$C:$BQ,9,FALSE),"")</f>
        <v>0.33164958450222071</v>
      </c>
      <c r="Q34" s="526">
        <f>IFERROR(VLOOKUP($N34,'Emission factors'!$C:$BQ,12,FALSE),"")</f>
        <v>2.0350702395489903E-4</v>
      </c>
      <c r="R34" s="526">
        <f>IFERROR(VLOOKUP($N34,'Emission factors'!$C:$BQ,15,FALSE),"")</f>
        <v>4.401698135050407E-4</v>
      </c>
      <c r="S34" s="526" t="str">
        <f>IFERROR(VLOOKUP($N34,'Emission factors'!$C:$BQ,65,FALSE),"")</f>
        <v/>
      </c>
      <c r="T34" s="526">
        <f>IFERROR(VLOOKUP($N34,'Emission factors'!$C:$BQ,67,FALSE),"")</f>
        <v>0</v>
      </c>
      <c r="U34" s="99"/>
      <c r="V34" s="148"/>
      <c r="W34" s="148"/>
      <c r="X34" s="148"/>
      <c r="Y34" s="148"/>
      <c r="Z34" s="148"/>
      <c r="AA34" s="753">
        <f t="shared" si="6"/>
        <v>11177.254296893841</v>
      </c>
      <c r="AB34" s="753">
        <f t="shared" si="6"/>
        <v>6.858593721328007</v>
      </c>
      <c r="AC34" s="753">
        <f t="shared" si="6"/>
        <v>14.834603054746882</v>
      </c>
      <c r="AD34" s="753">
        <f>IFERROR(IF(AND($N34="",$U34=""),"",IF($N34="",IF(Y34="",SUM(AA34:AC34),IF(Y34=0,"0",Y34)),IF($S34="",SUM($AA34:$AC34),IF($S34=0,"0",$H34*IF($L34="",1,$L34)*$S34)))),"-")</f>
        <v>11198.947493669917</v>
      </c>
      <c r="AE34" s="680" t="str">
        <f>IFERROR(IF(AND($N34="",$U34=""),"",IF($N34="",IF(Z34=0,"",Z34),IF(T34=0,"0",$H34*IF($L34="",1,$L34)*T34))),"-")</f>
        <v>0</v>
      </c>
      <c r="AF34" s="148" t="s">
        <v>182</v>
      </c>
      <c r="AG34" s="600" t="s">
        <v>182</v>
      </c>
      <c r="AH34" s="613" t="s">
        <v>1255</v>
      </c>
      <c r="AI34" s="548" t="s">
        <v>1199</v>
      </c>
      <c r="AJ34" s="607"/>
    </row>
    <row r="35" spans="1:55" s="28" customFormat="1">
      <c r="A35" s="343"/>
      <c r="B35" s="7"/>
      <c r="C35" s="7"/>
      <c r="D35" s="8"/>
      <c r="E35" s="8"/>
      <c r="F35" s="608"/>
      <c r="G35" s="9"/>
      <c r="H35" s="751"/>
      <c r="I35" s="7"/>
      <c r="J35" s="7"/>
      <c r="K35" s="7"/>
      <c r="L35" s="7"/>
      <c r="M35" s="7"/>
      <c r="N35" s="848"/>
      <c r="O35" s="7"/>
      <c r="P35" s="7"/>
      <c r="Q35" s="7"/>
      <c r="R35" s="7"/>
      <c r="S35" s="7"/>
      <c r="T35" s="7"/>
      <c r="U35" s="7"/>
      <c r="V35" s="7"/>
      <c r="W35" s="7"/>
      <c r="X35" s="7"/>
      <c r="Y35" s="7"/>
      <c r="Z35" s="7"/>
      <c r="AA35" s="10"/>
      <c r="AB35" s="10"/>
      <c r="AC35" s="10"/>
      <c r="AD35" s="10"/>
      <c r="AE35" s="10"/>
      <c r="AF35" s="9"/>
      <c r="AG35" s="9"/>
      <c r="AH35" s="614"/>
      <c r="AI35" s="614"/>
      <c r="AJ35" s="608"/>
    </row>
    <row r="36" spans="1:55" s="28" customFormat="1" ht="18.75">
      <c r="A36" s="343"/>
      <c r="B36" s="23" t="s">
        <v>227</v>
      </c>
      <c r="C36" s="7"/>
      <c r="D36" s="8"/>
      <c r="E36" s="8"/>
      <c r="F36" s="608"/>
      <c r="G36" s="9"/>
      <c r="H36" s="7"/>
      <c r="I36" s="7"/>
      <c r="J36" s="7"/>
      <c r="K36" s="7"/>
      <c r="L36" s="7"/>
      <c r="M36" s="7"/>
      <c r="N36" s="848"/>
      <c r="O36" s="7"/>
      <c r="P36" s="7"/>
      <c r="Q36" s="7"/>
      <c r="R36" s="7"/>
      <c r="S36" s="7"/>
      <c r="T36" s="7"/>
      <c r="U36" s="7"/>
      <c r="V36" s="7"/>
      <c r="W36" s="7"/>
      <c r="X36" s="7"/>
      <c r="Y36" s="7"/>
      <c r="Z36" s="7"/>
      <c r="AA36" s="10"/>
      <c r="AB36" s="10"/>
      <c r="AC36" s="10"/>
      <c r="AD36" s="10"/>
      <c r="AE36" s="10"/>
      <c r="AF36" s="9"/>
      <c r="AG36" s="9"/>
      <c r="AH36" s="614"/>
      <c r="AI36" s="614"/>
      <c r="AJ36" s="608"/>
    </row>
    <row r="37" spans="1:55" s="28" customFormat="1" ht="16.5" thickBot="1">
      <c r="A37" s="343"/>
      <c r="B37" s="7"/>
      <c r="C37" s="7"/>
      <c r="D37" s="8"/>
      <c r="E37" s="8"/>
      <c r="F37" s="608"/>
      <c r="G37" s="9"/>
      <c r="H37" s="7"/>
      <c r="I37" s="7"/>
      <c r="J37" s="7"/>
      <c r="K37" s="7"/>
      <c r="L37" s="7"/>
      <c r="M37" s="7"/>
      <c r="N37" s="848"/>
      <c r="O37" s="7"/>
      <c r="P37" s="7"/>
      <c r="Q37" s="7"/>
      <c r="R37" s="7"/>
      <c r="S37" s="7"/>
      <c r="T37" s="7"/>
      <c r="U37" s="7"/>
      <c r="V37" s="7"/>
      <c r="W37" s="7"/>
      <c r="X37" s="7"/>
      <c r="Y37" s="7"/>
      <c r="Z37" s="7"/>
      <c r="AA37" s="10"/>
      <c r="AB37" s="10"/>
      <c r="AC37" s="10"/>
      <c r="AD37" s="10"/>
      <c r="AE37" s="10"/>
      <c r="AF37" s="9"/>
      <c r="AG37" s="9"/>
      <c r="AH37" s="614"/>
      <c r="AI37" s="614"/>
      <c r="AJ37" s="608"/>
    </row>
    <row r="38" spans="1:55" s="5" customFormat="1" ht="15.95" customHeight="1">
      <c r="A38" s="53"/>
      <c r="B38" s="1139" t="s">
        <v>39</v>
      </c>
      <c r="C38" s="1133" t="s">
        <v>40</v>
      </c>
      <c r="D38" s="1056" t="s">
        <v>245</v>
      </c>
      <c r="E38" s="1147"/>
      <c r="F38" s="1144"/>
      <c r="G38" s="1134" t="s">
        <v>300</v>
      </c>
      <c r="H38" s="1141" t="s">
        <v>171</v>
      </c>
      <c r="I38" s="1142"/>
      <c r="J38" s="1130" t="s">
        <v>871</v>
      </c>
      <c r="K38" s="1131"/>
      <c r="L38" s="1132"/>
      <c r="M38" s="1134" t="s">
        <v>305</v>
      </c>
      <c r="N38" s="1063" t="s">
        <v>798</v>
      </c>
      <c r="O38" s="1112" t="s">
        <v>798</v>
      </c>
      <c r="P38" s="1112"/>
      <c r="Q38" s="1112"/>
      <c r="R38" s="1112"/>
      <c r="S38" s="1112"/>
      <c r="T38" s="1113"/>
      <c r="U38" s="1119" t="s">
        <v>967</v>
      </c>
      <c r="V38" s="1114" t="s">
        <v>975</v>
      </c>
      <c r="W38" s="1114"/>
      <c r="X38" s="1114"/>
      <c r="Y38" s="1114"/>
      <c r="Z38" s="1114"/>
      <c r="AA38" s="1148" t="s">
        <v>292</v>
      </c>
      <c r="AB38" s="1149"/>
      <c r="AC38" s="1149"/>
      <c r="AD38" s="1149"/>
      <c r="AE38" s="1150"/>
      <c r="AF38" s="1133" t="s">
        <v>43</v>
      </c>
      <c r="AG38" s="1133"/>
      <c r="AH38" s="1151" t="s">
        <v>799</v>
      </c>
      <c r="AI38" s="1073" t="s">
        <v>734</v>
      </c>
      <c r="AJ38" s="1145" t="s">
        <v>850</v>
      </c>
      <c r="AK38" s="14"/>
      <c r="AL38" s="14"/>
      <c r="AM38" s="14"/>
      <c r="AN38" s="14"/>
      <c r="AO38" s="14"/>
      <c r="AP38" s="14"/>
      <c r="AQ38" s="14"/>
      <c r="AR38" s="14"/>
      <c r="AS38" s="14"/>
      <c r="AT38" s="14"/>
      <c r="AU38" s="14"/>
      <c r="AV38" s="14"/>
      <c r="AW38" s="14"/>
      <c r="AX38" s="14"/>
      <c r="AY38" s="14"/>
      <c r="AZ38" s="14"/>
      <c r="BA38" s="14"/>
      <c r="BB38" s="14"/>
      <c r="BC38" s="14"/>
    </row>
    <row r="39" spans="1:55" s="5" customFormat="1" ht="19.5" thickBot="1">
      <c r="A39" s="53"/>
      <c r="B39" s="1140"/>
      <c r="C39" s="1135"/>
      <c r="D39" s="577" t="s">
        <v>257</v>
      </c>
      <c r="E39" s="577" t="s">
        <v>246</v>
      </c>
      <c r="F39" s="811" t="s">
        <v>244</v>
      </c>
      <c r="G39" s="1135"/>
      <c r="H39" s="577" t="s">
        <v>172</v>
      </c>
      <c r="I39" s="577" t="s">
        <v>173</v>
      </c>
      <c r="J39" s="528" t="s">
        <v>831</v>
      </c>
      <c r="K39" s="528" t="s">
        <v>832</v>
      </c>
      <c r="L39" s="528" t="s">
        <v>965</v>
      </c>
      <c r="M39" s="1135"/>
      <c r="N39" s="1064"/>
      <c r="O39" s="537" t="s">
        <v>173</v>
      </c>
      <c r="P39" s="538" t="s">
        <v>969</v>
      </c>
      <c r="Q39" s="538" t="s">
        <v>970</v>
      </c>
      <c r="R39" s="538" t="s">
        <v>971</v>
      </c>
      <c r="S39" s="538" t="s">
        <v>972</v>
      </c>
      <c r="T39" s="538" t="s">
        <v>973</v>
      </c>
      <c r="U39" s="1120"/>
      <c r="V39" s="538" t="s">
        <v>969</v>
      </c>
      <c r="W39" s="538" t="s">
        <v>970</v>
      </c>
      <c r="X39" s="538" t="s">
        <v>971</v>
      </c>
      <c r="Y39" s="538" t="s">
        <v>972</v>
      </c>
      <c r="Z39" s="538" t="s">
        <v>973</v>
      </c>
      <c r="AA39" s="100" t="s">
        <v>293</v>
      </c>
      <c r="AB39" s="100" t="s">
        <v>294</v>
      </c>
      <c r="AC39" s="100" t="s">
        <v>295</v>
      </c>
      <c r="AD39" s="100" t="s">
        <v>296</v>
      </c>
      <c r="AE39" s="100" t="s">
        <v>297</v>
      </c>
      <c r="AF39" s="577" t="s">
        <v>46</v>
      </c>
      <c r="AG39" s="577" t="s">
        <v>47</v>
      </c>
      <c r="AH39" s="1152"/>
      <c r="AI39" s="1074"/>
      <c r="AJ39" s="1146"/>
      <c r="AK39" s="14"/>
      <c r="AL39" s="14"/>
      <c r="AM39" s="14"/>
      <c r="AN39" s="14"/>
      <c r="AO39" s="14"/>
      <c r="AP39" s="14"/>
      <c r="AQ39" s="14"/>
      <c r="AR39" s="14"/>
      <c r="AS39" s="14"/>
      <c r="AT39" s="14"/>
      <c r="AU39" s="14"/>
      <c r="AV39" s="14"/>
      <c r="AW39" s="14"/>
      <c r="AX39" s="14"/>
      <c r="AY39" s="14"/>
      <c r="AZ39" s="14"/>
      <c r="BA39" s="14"/>
      <c r="BB39" s="14"/>
      <c r="BC39" s="14"/>
    </row>
    <row r="40" spans="1:55">
      <c r="B40" s="70" t="s">
        <v>104</v>
      </c>
      <c r="C40" s="173">
        <v>1</v>
      </c>
      <c r="D40" s="72" t="s">
        <v>105</v>
      </c>
      <c r="E40" s="155"/>
      <c r="F40" s="870"/>
      <c r="G40" s="119" t="s">
        <v>177</v>
      </c>
      <c r="H40" s="156"/>
      <c r="I40" s="157"/>
      <c r="J40" s="157"/>
      <c r="K40" s="157"/>
      <c r="L40" s="157"/>
      <c r="M40" s="73"/>
      <c r="N40" s="876"/>
      <c r="O40" s="157"/>
      <c r="P40" s="157"/>
      <c r="Q40" s="157"/>
      <c r="R40" s="157"/>
      <c r="S40" s="157"/>
      <c r="T40" s="157"/>
      <c r="U40" s="157"/>
      <c r="V40" s="157"/>
      <c r="W40" s="157"/>
      <c r="X40" s="157"/>
      <c r="Y40" s="157"/>
      <c r="Z40" s="157"/>
      <c r="AA40" s="685"/>
      <c r="AB40" s="685"/>
      <c r="AC40" s="685"/>
      <c r="AD40" s="685"/>
      <c r="AE40" s="685"/>
      <c r="AF40" s="73"/>
      <c r="AG40" s="468"/>
      <c r="AH40" s="543" t="s">
        <v>1124</v>
      </c>
      <c r="AI40" s="603"/>
      <c r="AJ40" s="603"/>
    </row>
    <row r="41" spans="1:55">
      <c r="B41" s="75" t="s">
        <v>104</v>
      </c>
      <c r="C41" s="76">
        <v>1</v>
      </c>
      <c r="D41" s="77"/>
      <c r="E41" s="163"/>
      <c r="F41" s="705"/>
      <c r="G41" s="76"/>
      <c r="H41" s="78"/>
      <c r="I41" s="79"/>
      <c r="J41" s="79"/>
      <c r="K41" s="79"/>
      <c r="L41" s="79"/>
      <c r="M41" s="79"/>
      <c r="N41" s="750"/>
      <c r="O41" s="508" t="str">
        <f>IFERROR(CONCATENATE("tCO2e/",VLOOKUP($N41,'Emission factors'!$C:$I,6,FALSE)),"")</f>
        <v/>
      </c>
      <c r="P41" s="508" t="str">
        <f>IFERROR(VLOOKUP($N41,'Emission factors'!$C:$BQ,9,FALSE),"")</f>
        <v/>
      </c>
      <c r="Q41" s="508" t="str">
        <f>IFERROR(VLOOKUP($N41,'Emission factors'!$C:$BQ,12,FALSE),"")</f>
        <v/>
      </c>
      <c r="R41" s="508" t="str">
        <f>IFERROR(VLOOKUP($N41,'Emission factors'!$C:$BQ,15,FALSE),"")</f>
        <v/>
      </c>
      <c r="S41" s="508" t="str">
        <f>IFERROR(VLOOKUP($N41,'Emission factors'!$C:$BQ,65,FALSE),"")</f>
        <v/>
      </c>
      <c r="T41" s="508" t="str">
        <f>IFERROR(VLOOKUP($N41,'Emission factors'!$C:$BQ,67,FALSE),"")</f>
        <v/>
      </c>
      <c r="U41" s="79"/>
      <c r="V41" s="79"/>
      <c r="W41" s="79"/>
      <c r="X41" s="79"/>
      <c r="Y41" s="79"/>
      <c r="Z41" s="79"/>
      <c r="AA41" s="677" t="str">
        <f t="shared" ref="AA41:AC42" si="7">IFERROR(IF(AND($N41="",$U41=""),"",IF($N41="",IF(V41=0,"-",V41),IF(P41=0,"0",$H41*IF($L41="",1,$L41)*P41))),"-")</f>
        <v/>
      </c>
      <c r="AB41" s="677" t="str">
        <f t="shared" si="7"/>
        <v/>
      </c>
      <c r="AC41" s="677" t="str">
        <f t="shared" si="7"/>
        <v/>
      </c>
      <c r="AD41" s="677" t="str">
        <f>IFERROR(IF(AND($N41="",$U41=""),"",IF($N41="",IF(Y41="",SUM(AA41:AC41),IF(Y41=0,"0",Y41)),IF($S41="",SUM($AA41:$AC41),IF($S41=0,"0",$H41*IF($L41="",1,$L41)*$S41)))),"-")</f>
        <v/>
      </c>
      <c r="AE41" s="677" t="str">
        <f>IFERROR(IF(AND($N41="",$U41=""),"",IF($N41="",IF(Z41=0,"",Z41),IF(T41=0,"0",$H41*IF($L41="",1,$L41)*T41))),"-")</f>
        <v/>
      </c>
      <c r="AF41" s="79"/>
      <c r="AG41" s="170"/>
      <c r="AH41" s="544"/>
      <c r="AI41" s="545"/>
      <c r="AJ41" s="604"/>
    </row>
    <row r="42" spans="1:55">
      <c r="B42" s="75" t="s">
        <v>104</v>
      </c>
      <c r="C42" s="76">
        <v>1</v>
      </c>
      <c r="D42" s="77"/>
      <c r="E42" s="163"/>
      <c r="F42" s="867"/>
      <c r="G42" s="76"/>
      <c r="H42" s="78"/>
      <c r="I42" s="79"/>
      <c r="J42" s="79"/>
      <c r="K42" s="79"/>
      <c r="L42" s="79"/>
      <c r="M42" s="79"/>
      <c r="N42" s="750"/>
      <c r="O42" s="508" t="str">
        <f>IFERROR(CONCATENATE("tCO2e/",VLOOKUP($N42,'Emission factors'!$C:$I,6,FALSE)),"")</f>
        <v/>
      </c>
      <c r="P42" s="508" t="str">
        <f>IFERROR(VLOOKUP($N42,'Emission factors'!$C:$BQ,9,FALSE),"")</f>
        <v/>
      </c>
      <c r="Q42" s="508" t="str">
        <f>IFERROR(VLOOKUP($N42,'Emission factors'!$C:$BQ,12,FALSE),"")</f>
        <v/>
      </c>
      <c r="R42" s="508" t="str">
        <f>IFERROR(VLOOKUP($N42,'Emission factors'!$C:$BQ,15,FALSE),"")</f>
        <v/>
      </c>
      <c r="S42" s="508" t="str">
        <f>IFERROR(VLOOKUP($N42,'Emission factors'!$C:$BQ,65,FALSE),"")</f>
        <v/>
      </c>
      <c r="T42" s="508" t="str">
        <f>IFERROR(VLOOKUP($N42,'Emission factors'!$C:$BQ,67,FALSE),"")</f>
        <v/>
      </c>
      <c r="U42" s="79"/>
      <c r="V42" s="79"/>
      <c r="W42" s="79"/>
      <c r="X42" s="79"/>
      <c r="Y42" s="79"/>
      <c r="Z42" s="79"/>
      <c r="AA42" s="677" t="str">
        <f t="shared" si="7"/>
        <v/>
      </c>
      <c r="AB42" s="677" t="str">
        <f t="shared" si="7"/>
        <v/>
      </c>
      <c r="AC42" s="677" t="str">
        <f t="shared" si="7"/>
        <v/>
      </c>
      <c r="AD42" s="677" t="str">
        <f>IFERROR(IF(AND($N42="",$U42=""),"",IF($N42="",IF(Y42="",SUM(AA42:AC42),IF(Y42=0,"0",Y42)),IF($S42="",SUM($AA42:$AC42),IF($S42=0,"0",$H42*IF($L42="",1,$L42)*$S42)))),"-")</f>
        <v/>
      </c>
      <c r="AE42" s="677" t="str">
        <f>IFERROR(IF(AND($N42="",$U42=""),"",IF($N42="",IF(Z42=0,"",Z42),IF(T42=0,"0",$H42*IF($L42="",1,$L42)*T42))),"-")</f>
        <v/>
      </c>
      <c r="AF42" s="79"/>
      <c r="AG42" s="170"/>
      <c r="AH42" s="612"/>
      <c r="AI42" s="545"/>
      <c r="AJ42" s="604"/>
    </row>
    <row r="43" spans="1:55">
      <c r="B43" s="82" t="s">
        <v>106</v>
      </c>
      <c r="C43" s="71">
        <v>2</v>
      </c>
      <c r="D43" s="84" t="s">
        <v>107</v>
      </c>
      <c r="E43" s="158"/>
      <c r="F43" s="871"/>
      <c r="G43" s="102" t="s">
        <v>177</v>
      </c>
      <c r="H43" s="86"/>
      <c r="I43" s="86"/>
      <c r="J43" s="86"/>
      <c r="K43" s="86"/>
      <c r="L43" s="86"/>
      <c r="M43" s="86"/>
      <c r="N43" s="845"/>
      <c r="O43" s="86"/>
      <c r="P43" s="86"/>
      <c r="Q43" s="86"/>
      <c r="R43" s="86"/>
      <c r="S43" s="86"/>
      <c r="T43" s="86"/>
      <c r="U43" s="86"/>
      <c r="V43" s="86"/>
      <c r="W43" s="86"/>
      <c r="X43" s="86"/>
      <c r="Y43" s="86"/>
      <c r="Z43" s="86"/>
      <c r="AA43" s="678"/>
      <c r="AB43" s="678"/>
      <c r="AC43" s="678"/>
      <c r="AD43" s="678"/>
      <c r="AE43" s="678"/>
      <c r="AF43" s="73"/>
      <c r="AG43" s="86"/>
      <c r="AH43" s="546" t="s">
        <v>1076</v>
      </c>
      <c r="AI43" s="605"/>
      <c r="AJ43" s="605"/>
    </row>
    <row r="44" spans="1:55">
      <c r="B44" s="75" t="s">
        <v>106</v>
      </c>
      <c r="C44" s="76">
        <v>2</v>
      </c>
      <c r="D44" s="77"/>
      <c r="E44" s="163"/>
      <c r="F44" s="705"/>
      <c r="G44" s="76"/>
      <c r="H44" s="78"/>
      <c r="I44" s="79"/>
      <c r="J44" s="79"/>
      <c r="K44" s="79"/>
      <c r="L44" s="79"/>
      <c r="M44" s="79"/>
      <c r="N44" s="750"/>
      <c r="O44" s="508" t="str">
        <f>IFERROR(CONCATENATE("tCO2e/",VLOOKUP($N44,'Emission factors'!$C:$I,6,FALSE)),"")</f>
        <v/>
      </c>
      <c r="P44" s="508" t="str">
        <f>IFERROR(VLOOKUP($N44,'Emission factors'!$C:$BQ,9,FALSE),"")</f>
        <v/>
      </c>
      <c r="Q44" s="508" t="str">
        <f>IFERROR(VLOOKUP($N44,'Emission factors'!$C:$BQ,12,FALSE),"")</f>
        <v/>
      </c>
      <c r="R44" s="508" t="str">
        <f>IFERROR(VLOOKUP($N44,'Emission factors'!$C:$BQ,15,FALSE),"")</f>
        <v/>
      </c>
      <c r="S44" s="508" t="str">
        <f>IFERROR(VLOOKUP($N44,'Emission factors'!$C:$BQ,65,FALSE),"")</f>
        <v/>
      </c>
      <c r="T44" s="508" t="str">
        <f>IFERROR(VLOOKUP($N44,'Emission factors'!$C:$BQ,67,FALSE),"")</f>
        <v/>
      </c>
      <c r="U44" s="79"/>
      <c r="V44" s="79"/>
      <c r="W44" s="79"/>
      <c r="X44" s="79"/>
      <c r="Y44" s="79"/>
      <c r="Z44" s="79"/>
      <c r="AA44" s="677" t="str">
        <f t="shared" ref="AA44:AC45" si="8">IFERROR(IF(AND($N44="",$U44=""),"",IF($N44="",IF(V44=0,"-",V44),IF(P44=0,"0",$H44*IF($L44="",1,$L44)*P44))),"-")</f>
        <v/>
      </c>
      <c r="AB44" s="677" t="str">
        <f t="shared" si="8"/>
        <v/>
      </c>
      <c r="AC44" s="677" t="str">
        <f t="shared" si="8"/>
        <v/>
      </c>
      <c r="AD44" s="677" t="str">
        <f>IFERROR(IF(AND($N44="",$U44=""),"",IF($N44="",IF(Y44="",SUM(AA44:AC44),IF(Y44=0,"0",Y44)),IF($S44="",SUM($AA44:$AC44),IF($S44=0,"0",$H44*IF($L44="",1,$L44)*$S44)))),"-")</f>
        <v/>
      </c>
      <c r="AE44" s="677" t="str">
        <f>IFERROR(IF(AND($N44="",$U44=""),"",IF($N44="",IF(Z44=0,"",Z44),IF(T44=0,"0",$H44*IF($L44="",1,$L44)*T44))),"-")</f>
        <v/>
      </c>
      <c r="AF44" s="79"/>
      <c r="AG44" s="170"/>
      <c r="AH44" s="544"/>
      <c r="AI44" s="545"/>
      <c r="AJ44" s="604"/>
    </row>
    <row r="45" spans="1:55">
      <c r="B45" s="75" t="s">
        <v>106</v>
      </c>
      <c r="C45" s="76">
        <v>2</v>
      </c>
      <c r="D45" s="77"/>
      <c r="E45" s="163"/>
      <c r="F45" s="869"/>
      <c r="G45" s="76"/>
      <c r="H45" s="78"/>
      <c r="I45" s="79"/>
      <c r="J45" s="79"/>
      <c r="K45" s="79"/>
      <c r="L45" s="79"/>
      <c r="M45" s="79"/>
      <c r="N45" s="750"/>
      <c r="O45" s="508" t="str">
        <f>IFERROR(CONCATENATE("tCO2e/",VLOOKUP($N45,'Emission factors'!$C:$I,6,FALSE)),"")</f>
        <v/>
      </c>
      <c r="P45" s="508" t="str">
        <f>IFERROR(VLOOKUP($N45,'Emission factors'!$C:$BQ,9,FALSE),"")</f>
        <v/>
      </c>
      <c r="Q45" s="508" t="str">
        <f>IFERROR(VLOOKUP($N45,'Emission factors'!$C:$BQ,12,FALSE),"")</f>
        <v/>
      </c>
      <c r="R45" s="508" t="str">
        <f>IFERROR(VLOOKUP($N45,'Emission factors'!$C:$BQ,15,FALSE),"")</f>
        <v/>
      </c>
      <c r="S45" s="508" t="str">
        <f>IFERROR(VLOOKUP($N45,'Emission factors'!$C:$BQ,65,FALSE),"")</f>
        <v/>
      </c>
      <c r="T45" s="508" t="str">
        <f>IFERROR(VLOOKUP($N45,'Emission factors'!$C:$BQ,67,FALSE),"")</f>
        <v/>
      </c>
      <c r="U45" s="79"/>
      <c r="V45" s="79"/>
      <c r="W45" s="79"/>
      <c r="X45" s="79"/>
      <c r="Y45" s="79"/>
      <c r="Z45" s="79"/>
      <c r="AA45" s="677" t="str">
        <f t="shared" si="8"/>
        <v/>
      </c>
      <c r="AB45" s="677" t="str">
        <f t="shared" si="8"/>
        <v/>
      </c>
      <c r="AC45" s="677" t="str">
        <f t="shared" si="8"/>
        <v/>
      </c>
      <c r="AD45" s="677" t="str">
        <f>IFERROR(IF(AND($N45="",$U45=""),"",IF($N45="",IF(Y45="",SUM(AA45:AC45),IF(Y45=0,"0",Y45)),IF($S45="",SUM($AA45:$AC45),IF($S45=0,"0",$H45*IF($L45="",1,$L45)*$S45)))),"-")</f>
        <v/>
      </c>
      <c r="AE45" s="677" t="str">
        <f>IFERROR(IF(AND($N45="",$U45=""),"",IF($N45="",IF(Z45=0,"",Z45),IF(T45=0,"0",$H45*IF($L45="",1,$L45)*T45))),"-")</f>
        <v/>
      </c>
      <c r="AF45" s="79"/>
      <c r="AG45" s="170"/>
      <c r="AH45" s="612"/>
      <c r="AI45" s="545"/>
      <c r="AJ45" s="604"/>
    </row>
    <row r="46" spans="1:55">
      <c r="B46" s="174" t="s">
        <v>108</v>
      </c>
      <c r="C46" s="106">
        <v>3</v>
      </c>
      <c r="D46" s="159" t="s">
        <v>627</v>
      </c>
      <c r="E46" s="159"/>
      <c r="F46" s="872"/>
      <c r="G46" s="91" t="s">
        <v>179</v>
      </c>
      <c r="H46" s="92"/>
      <c r="I46" s="91"/>
      <c r="J46" s="91"/>
      <c r="K46" s="91"/>
      <c r="L46" s="91"/>
      <c r="M46" s="91"/>
      <c r="N46" s="846"/>
      <c r="O46" s="91"/>
      <c r="P46" s="91"/>
      <c r="Q46" s="91"/>
      <c r="R46" s="91"/>
      <c r="S46" s="91"/>
      <c r="T46" s="91"/>
      <c r="U46" s="91"/>
      <c r="V46" s="91"/>
      <c r="W46" s="91"/>
      <c r="X46" s="91"/>
      <c r="Y46" s="91"/>
      <c r="Z46" s="91"/>
      <c r="AA46" s="679"/>
      <c r="AB46" s="679"/>
      <c r="AC46" s="679"/>
      <c r="AD46" s="679"/>
      <c r="AE46" s="679"/>
      <c r="AF46" s="91"/>
      <c r="AG46" s="91"/>
      <c r="AH46" s="547" t="s">
        <v>1125</v>
      </c>
      <c r="AI46" s="606"/>
      <c r="AJ46" s="606"/>
    </row>
    <row r="47" spans="1:55">
      <c r="B47" s="75" t="s">
        <v>108</v>
      </c>
      <c r="C47" s="76">
        <v>3</v>
      </c>
      <c r="D47" s="77"/>
      <c r="E47" s="163"/>
      <c r="F47" s="869"/>
      <c r="G47" s="76"/>
      <c r="H47" s="78"/>
      <c r="I47" s="79"/>
      <c r="J47" s="79"/>
      <c r="K47" s="79"/>
      <c r="L47" s="79"/>
      <c r="M47" s="79"/>
      <c r="N47" s="750"/>
      <c r="O47" s="508" t="str">
        <f>IFERROR(CONCATENATE("tCO2e/",VLOOKUP($N47,'Emission factors'!$C:$I,6,FALSE)),"")</f>
        <v/>
      </c>
      <c r="P47" s="508" t="str">
        <f>IFERROR(VLOOKUP($N47,'Emission factors'!$C:$BQ,9,FALSE),"")</f>
        <v/>
      </c>
      <c r="Q47" s="508" t="str">
        <f>IFERROR(VLOOKUP($N47,'Emission factors'!$C:$BQ,12,FALSE),"")</f>
        <v/>
      </c>
      <c r="R47" s="508" t="str">
        <f>IFERROR(VLOOKUP($N47,'Emission factors'!$C:$BQ,15,FALSE),"")</f>
        <v/>
      </c>
      <c r="S47" s="508" t="str">
        <f>IFERROR(VLOOKUP($N47,'Emission factors'!$C:$BQ,65,FALSE),"")</f>
        <v/>
      </c>
      <c r="T47" s="508" t="str">
        <f>IFERROR(VLOOKUP($N47,'Emission factors'!$C:$BQ,67,FALSE),"")</f>
        <v/>
      </c>
      <c r="U47" s="79"/>
      <c r="V47" s="79"/>
      <c r="W47" s="79"/>
      <c r="X47" s="79"/>
      <c r="Y47" s="79"/>
      <c r="Z47" s="79"/>
      <c r="AA47" s="677" t="str">
        <f t="shared" ref="AA47:AC48" si="9">IFERROR(IF(AND($N47="",$U47=""),"",IF($N47="",IF(V47=0,"-",V47),IF(P47=0,"0",$H47*IF($L47="",1,$L47)*P47))),"-")</f>
        <v/>
      </c>
      <c r="AB47" s="677" t="str">
        <f t="shared" si="9"/>
        <v/>
      </c>
      <c r="AC47" s="677" t="str">
        <f t="shared" si="9"/>
        <v/>
      </c>
      <c r="AD47" s="677" t="str">
        <f>IFERROR(IF(AND($N47="",$U47=""),"",IF($N47="",IF(Y47="",SUM(AA47:AC47),IF(Y47=0,"0",Y47)),IF($S47="",SUM($AA47:$AC47),IF($S47=0,"0",$H47*IF($L47="",1,$L47)*$S47)))),"-")</f>
        <v/>
      </c>
      <c r="AE47" s="677" t="str">
        <f>IFERROR(IF(AND($N47="",$U47=""),"",IF($N47="",IF(Z47=0,"",Z47),IF(T47=0,"0",$H47*IF($L47="",1,$L47)*T47))),"-")</f>
        <v/>
      </c>
      <c r="AF47" s="79"/>
      <c r="AG47" s="170"/>
      <c r="AH47" s="544"/>
      <c r="AI47" s="545"/>
      <c r="AJ47" s="604"/>
    </row>
    <row r="48" spans="1:55" s="344" customFormat="1" ht="15" customHeight="1" thickBot="1">
      <c r="A48" s="46"/>
      <c r="B48" s="175" t="s">
        <v>108</v>
      </c>
      <c r="C48" s="148">
        <v>3</v>
      </c>
      <c r="D48" s="160"/>
      <c r="E48" s="176"/>
      <c r="F48" s="754"/>
      <c r="G48" s="99"/>
      <c r="H48" s="525"/>
      <c r="I48" s="148"/>
      <c r="J48" s="148"/>
      <c r="K48" s="148"/>
      <c r="L48" s="148"/>
      <c r="M48" s="148"/>
      <c r="N48" s="609"/>
      <c r="O48" s="526" t="str">
        <f>IFERROR(CONCATENATE("tCO2e/",VLOOKUP($N48,'Emission factors'!$C:$I,6,FALSE)),"")</f>
        <v/>
      </c>
      <c r="P48" s="526" t="str">
        <f>IFERROR(VLOOKUP($N48,'Emission factors'!$C:$BQ,9,FALSE),"")</f>
        <v/>
      </c>
      <c r="Q48" s="526" t="str">
        <f>IFERROR(VLOOKUP($N48,'Emission factors'!$C:$BQ,12,FALSE),"")</f>
        <v/>
      </c>
      <c r="R48" s="526" t="str">
        <f>IFERROR(VLOOKUP($N48,'Emission factors'!$C:$BQ,15,FALSE),"")</f>
        <v/>
      </c>
      <c r="S48" s="526" t="str">
        <f>IFERROR(VLOOKUP($N48,'Emission factors'!$C:$BQ,65,FALSE),"")</f>
        <v/>
      </c>
      <c r="T48" s="526" t="str">
        <f>IFERROR(VLOOKUP($N48,'Emission factors'!$C:$BQ,67,FALSE),"")</f>
        <v/>
      </c>
      <c r="U48" s="99"/>
      <c r="V48" s="148"/>
      <c r="W48" s="148"/>
      <c r="X48" s="148"/>
      <c r="Y48" s="148"/>
      <c r="Z48" s="148"/>
      <c r="AA48" s="680" t="str">
        <f t="shared" si="9"/>
        <v/>
      </c>
      <c r="AB48" s="680" t="str">
        <f t="shared" si="9"/>
        <v/>
      </c>
      <c r="AC48" s="680" t="str">
        <f t="shared" si="9"/>
        <v/>
      </c>
      <c r="AD48" s="680" t="str">
        <f>IFERROR(IF(AND($N48="",$U48=""),"",IF($N48="",IF(Y48="",SUM(AA48:AC48),IF(Y48=0,"0",Y48)),IF($S48="",SUM($AA48:$AC48),IF($S48=0,"0",$H48*IF($L48="",1,$L48)*$S48)))),"-")</f>
        <v/>
      </c>
      <c r="AE48" s="680" t="str">
        <f>IFERROR(IF(AND($N48="",$U48=""),"",IF($N48="",IF(Z48=0,"",Z48),IF(T48=0,"0",$H48*IF($L48="",1,$L48)*T48))),"-")</f>
        <v/>
      </c>
      <c r="AF48" s="148"/>
      <c r="AG48" s="600"/>
      <c r="AH48" s="613"/>
      <c r="AI48" s="548"/>
      <c r="AJ48" s="607"/>
      <c r="AK48" s="28"/>
      <c r="AL48" s="28"/>
      <c r="AM48" s="28"/>
      <c r="AN48" s="28"/>
      <c r="AO48" s="28"/>
      <c r="AP48" s="28"/>
      <c r="AQ48" s="28"/>
      <c r="AR48" s="28"/>
      <c r="AS48" s="28"/>
      <c r="AT48" s="28"/>
      <c r="AU48" s="28"/>
      <c r="AV48" s="28"/>
      <c r="AW48" s="28"/>
      <c r="AX48" s="28"/>
      <c r="AY48" s="28"/>
      <c r="AZ48" s="28"/>
      <c r="BA48" s="28"/>
      <c r="BB48" s="28"/>
      <c r="BC48" s="28"/>
    </row>
    <row r="49" spans="1:55" s="28" customFormat="1">
      <c r="A49" s="343"/>
      <c r="B49" s="11"/>
      <c r="C49" s="11"/>
      <c r="D49" s="8"/>
      <c r="E49" s="8"/>
      <c r="F49" s="814"/>
      <c r="G49" s="9"/>
      <c r="H49" s="7"/>
      <c r="I49" s="7"/>
      <c r="J49" s="7"/>
      <c r="K49" s="7"/>
      <c r="L49" s="7"/>
      <c r="M49" s="7"/>
      <c r="N49" s="848"/>
      <c r="O49" s="7"/>
      <c r="P49" s="7"/>
      <c r="Q49" s="7"/>
      <c r="R49" s="7"/>
      <c r="S49" s="7"/>
      <c r="T49" s="7"/>
      <c r="U49" s="7"/>
      <c r="V49" s="7"/>
      <c r="W49" s="7"/>
      <c r="X49" s="7"/>
      <c r="Y49" s="7"/>
      <c r="Z49" s="7"/>
      <c r="AA49" s="10"/>
      <c r="AB49" s="10"/>
      <c r="AC49" s="10"/>
      <c r="AD49" s="10"/>
      <c r="AE49" s="686"/>
      <c r="AF49" s="9"/>
      <c r="AG49" s="9"/>
      <c r="AH49" s="614"/>
      <c r="AI49" s="614"/>
      <c r="AJ49" s="608"/>
    </row>
    <row r="50" spans="1:55" s="28" customFormat="1" ht="18.75">
      <c r="A50" s="343"/>
      <c r="B50" s="23" t="s">
        <v>228</v>
      </c>
      <c r="C50" s="11"/>
      <c r="D50" s="8"/>
      <c r="E50" s="8"/>
      <c r="F50" s="814"/>
      <c r="G50" s="9"/>
      <c r="H50" s="7"/>
      <c r="I50" s="7"/>
      <c r="J50" s="7"/>
      <c r="K50" s="7"/>
      <c r="L50" s="7"/>
      <c r="M50" s="7"/>
      <c r="N50" s="848"/>
      <c r="O50" s="7"/>
      <c r="P50" s="7"/>
      <c r="Q50" s="7"/>
      <c r="R50" s="7"/>
      <c r="S50" s="7"/>
      <c r="T50" s="7"/>
      <c r="U50" s="7"/>
      <c r="V50" s="7"/>
      <c r="W50" s="7"/>
      <c r="X50" s="7"/>
      <c r="Y50" s="7"/>
      <c r="Z50" s="7"/>
      <c r="AA50" s="10"/>
      <c r="AB50" s="10"/>
      <c r="AC50" s="10"/>
      <c r="AD50" s="10"/>
      <c r="AE50" s="686"/>
      <c r="AF50" s="9"/>
      <c r="AG50" s="9"/>
      <c r="AH50" s="614"/>
      <c r="AI50" s="614"/>
      <c r="AJ50" s="608"/>
    </row>
    <row r="51" spans="1:55" s="28" customFormat="1" ht="16.5" thickBot="1">
      <c r="A51" s="343"/>
      <c r="B51" s="11"/>
      <c r="C51" s="11"/>
      <c r="D51" s="8"/>
      <c r="E51" s="8"/>
      <c r="F51" s="814"/>
      <c r="G51" s="9"/>
      <c r="H51" s="7"/>
      <c r="I51" s="7"/>
      <c r="J51" s="7"/>
      <c r="K51" s="7"/>
      <c r="L51" s="7"/>
      <c r="M51" s="7"/>
      <c r="N51" s="848"/>
      <c r="O51" s="7"/>
      <c r="P51" s="7"/>
      <c r="Q51" s="7"/>
      <c r="R51" s="7"/>
      <c r="S51" s="7"/>
      <c r="T51" s="7"/>
      <c r="U51" s="7"/>
      <c r="V51" s="7"/>
      <c r="W51" s="7"/>
      <c r="X51" s="7"/>
      <c r="Y51" s="7"/>
      <c r="Z51" s="7"/>
      <c r="AA51" s="10"/>
      <c r="AB51" s="10"/>
      <c r="AC51" s="10"/>
      <c r="AD51" s="10"/>
      <c r="AE51" s="686"/>
      <c r="AF51" s="9"/>
      <c r="AG51" s="9"/>
      <c r="AH51" s="614"/>
      <c r="AI51" s="614"/>
      <c r="AJ51" s="608"/>
    </row>
    <row r="52" spans="1:55" s="5" customFormat="1" ht="15.95" customHeight="1">
      <c r="A52" s="53"/>
      <c r="B52" s="1139" t="s">
        <v>39</v>
      </c>
      <c r="C52" s="1133" t="s">
        <v>40</v>
      </c>
      <c r="D52" s="1056" t="s">
        <v>245</v>
      </c>
      <c r="E52" s="1147"/>
      <c r="F52" s="1144"/>
      <c r="G52" s="1134" t="s">
        <v>300</v>
      </c>
      <c r="H52" s="1141" t="s">
        <v>171</v>
      </c>
      <c r="I52" s="1142"/>
      <c r="J52" s="1130" t="s">
        <v>871</v>
      </c>
      <c r="K52" s="1131"/>
      <c r="L52" s="1132"/>
      <c r="M52" s="1134" t="s">
        <v>305</v>
      </c>
      <c r="N52" s="1063" t="s">
        <v>798</v>
      </c>
      <c r="O52" s="1112" t="s">
        <v>798</v>
      </c>
      <c r="P52" s="1112"/>
      <c r="Q52" s="1112"/>
      <c r="R52" s="1112"/>
      <c r="S52" s="1112"/>
      <c r="T52" s="1113"/>
      <c r="U52" s="1119" t="s">
        <v>967</v>
      </c>
      <c r="V52" s="1114" t="s">
        <v>975</v>
      </c>
      <c r="W52" s="1114"/>
      <c r="X52" s="1114"/>
      <c r="Y52" s="1114"/>
      <c r="Z52" s="1114"/>
      <c r="AA52" s="1148" t="s">
        <v>292</v>
      </c>
      <c r="AB52" s="1149"/>
      <c r="AC52" s="1149"/>
      <c r="AD52" s="1149"/>
      <c r="AE52" s="1150"/>
      <c r="AF52" s="1133" t="s">
        <v>43</v>
      </c>
      <c r="AG52" s="1133"/>
      <c r="AH52" s="1128" t="s">
        <v>799</v>
      </c>
      <c r="AI52" s="1073" t="s">
        <v>734</v>
      </c>
      <c r="AJ52" s="1145" t="s">
        <v>850</v>
      </c>
      <c r="AK52" s="14"/>
      <c r="AL52" s="14"/>
      <c r="AM52" s="14"/>
      <c r="AN52" s="14"/>
      <c r="AO52" s="14"/>
      <c r="AP52" s="14"/>
      <c r="AQ52" s="14"/>
      <c r="AR52" s="14"/>
      <c r="AS52" s="14"/>
      <c r="AT52" s="14"/>
      <c r="AU52" s="14"/>
      <c r="AV52" s="14"/>
      <c r="AW52" s="14"/>
      <c r="AX52" s="14"/>
      <c r="AY52" s="14"/>
      <c r="AZ52" s="14"/>
      <c r="BA52" s="14"/>
      <c r="BB52" s="14"/>
      <c r="BC52" s="14"/>
    </row>
    <row r="53" spans="1:55" s="5" customFormat="1" ht="19.5" thickBot="1">
      <c r="A53" s="53"/>
      <c r="B53" s="1140"/>
      <c r="C53" s="1135"/>
      <c r="D53" s="577" t="s">
        <v>257</v>
      </c>
      <c r="E53" s="577" t="s">
        <v>246</v>
      </c>
      <c r="F53" s="811" t="s">
        <v>244</v>
      </c>
      <c r="G53" s="1135"/>
      <c r="H53" s="577" t="s">
        <v>172</v>
      </c>
      <c r="I53" s="577" t="s">
        <v>173</v>
      </c>
      <c r="J53" s="528" t="s">
        <v>831</v>
      </c>
      <c r="K53" s="528" t="s">
        <v>832</v>
      </c>
      <c r="L53" s="528" t="s">
        <v>965</v>
      </c>
      <c r="M53" s="1135"/>
      <c r="N53" s="1064"/>
      <c r="O53" s="537" t="s">
        <v>173</v>
      </c>
      <c r="P53" s="538" t="s">
        <v>969</v>
      </c>
      <c r="Q53" s="538" t="s">
        <v>970</v>
      </c>
      <c r="R53" s="538" t="s">
        <v>971</v>
      </c>
      <c r="S53" s="538" t="s">
        <v>972</v>
      </c>
      <c r="T53" s="538" t="s">
        <v>973</v>
      </c>
      <c r="U53" s="1120"/>
      <c r="V53" s="538" t="s">
        <v>969</v>
      </c>
      <c r="W53" s="538" t="s">
        <v>970</v>
      </c>
      <c r="X53" s="538" t="s">
        <v>971</v>
      </c>
      <c r="Y53" s="538" t="s">
        <v>972</v>
      </c>
      <c r="Z53" s="538" t="s">
        <v>973</v>
      </c>
      <c r="AA53" s="100" t="s">
        <v>293</v>
      </c>
      <c r="AB53" s="100" t="s">
        <v>294</v>
      </c>
      <c r="AC53" s="100" t="s">
        <v>295</v>
      </c>
      <c r="AD53" s="100" t="s">
        <v>296</v>
      </c>
      <c r="AE53" s="100" t="s">
        <v>297</v>
      </c>
      <c r="AF53" s="577" t="s">
        <v>46</v>
      </c>
      <c r="AG53" s="577" t="s">
        <v>47</v>
      </c>
      <c r="AH53" s="1129"/>
      <c r="AI53" s="1074"/>
      <c r="AJ53" s="1146"/>
      <c r="AK53" s="14"/>
      <c r="AL53" s="14"/>
      <c r="AM53" s="14"/>
      <c r="AN53" s="14"/>
      <c r="AO53" s="14"/>
      <c r="AP53" s="14"/>
      <c r="AQ53" s="14"/>
      <c r="AR53" s="14"/>
      <c r="AS53" s="14"/>
      <c r="AT53" s="14"/>
      <c r="AU53" s="14"/>
      <c r="AV53" s="14"/>
      <c r="AW53" s="14"/>
      <c r="AX53" s="14"/>
      <c r="AY53" s="14"/>
      <c r="AZ53" s="14"/>
      <c r="BA53" s="14"/>
      <c r="BB53" s="14"/>
      <c r="BC53" s="14"/>
    </row>
    <row r="54" spans="1:55">
      <c r="B54" s="70" t="s">
        <v>110</v>
      </c>
      <c r="C54" s="71">
        <v>1</v>
      </c>
      <c r="D54" s="72" t="s">
        <v>111</v>
      </c>
      <c r="E54" s="155"/>
      <c r="F54" s="870"/>
      <c r="G54" s="119" t="s">
        <v>177</v>
      </c>
      <c r="H54" s="156"/>
      <c r="I54" s="157"/>
      <c r="J54" s="157"/>
      <c r="K54" s="157"/>
      <c r="L54" s="157"/>
      <c r="M54" s="73"/>
      <c r="N54" s="876"/>
      <c r="O54" s="157"/>
      <c r="P54" s="157"/>
      <c r="Q54" s="157"/>
      <c r="R54" s="157"/>
      <c r="S54" s="157"/>
      <c r="T54" s="157"/>
      <c r="U54" s="157"/>
      <c r="V54" s="157"/>
      <c r="W54" s="157"/>
      <c r="X54" s="157"/>
      <c r="Y54" s="157"/>
      <c r="Z54" s="157"/>
      <c r="AA54" s="685"/>
      <c r="AB54" s="685"/>
      <c r="AC54" s="685"/>
      <c r="AD54" s="685"/>
      <c r="AE54" s="685"/>
      <c r="AF54" s="73"/>
      <c r="AG54" s="468"/>
      <c r="AH54" s="543" t="s">
        <v>1126</v>
      </c>
      <c r="AI54" s="603"/>
      <c r="AJ54" s="603"/>
    </row>
    <row r="55" spans="1:55">
      <c r="B55" s="75" t="s">
        <v>110</v>
      </c>
      <c r="C55" s="76">
        <v>1</v>
      </c>
      <c r="D55" s="77"/>
      <c r="E55" s="77"/>
      <c r="F55" s="705"/>
      <c r="G55" s="76"/>
      <c r="H55" s="78"/>
      <c r="I55" s="79"/>
      <c r="J55" s="79"/>
      <c r="K55" s="79"/>
      <c r="L55" s="79"/>
      <c r="M55" s="79"/>
      <c r="N55" s="750"/>
      <c r="O55" s="508" t="str">
        <f>IFERROR(CONCATENATE("tCO2e/",VLOOKUP($N55,'Emission factors'!$C:$I,6,FALSE)),"")</f>
        <v/>
      </c>
      <c r="P55" s="508" t="str">
        <f>IFERROR(VLOOKUP($N55,'Emission factors'!$C:$BQ,9,FALSE),"")</f>
        <v/>
      </c>
      <c r="Q55" s="508" t="str">
        <f>IFERROR(VLOOKUP($N55,'Emission factors'!$C:$BQ,12,FALSE),"")</f>
        <v/>
      </c>
      <c r="R55" s="508" t="str">
        <f>IFERROR(VLOOKUP($N55,'Emission factors'!$C:$BQ,15,FALSE),"")</f>
        <v/>
      </c>
      <c r="S55" s="508" t="str">
        <f>IFERROR(VLOOKUP($N55,'Emission factors'!$C:$BQ,65,FALSE),"")</f>
        <v/>
      </c>
      <c r="T55" s="508" t="str">
        <f>IFERROR(VLOOKUP($N55,'Emission factors'!$C:$BQ,67,FALSE),"")</f>
        <v/>
      </c>
      <c r="U55" s="79"/>
      <c r="V55" s="79"/>
      <c r="W55" s="79"/>
      <c r="X55" s="79"/>
      <c r="Y55" s="79"/>
      <c r="Z55" s="79"/>
      <c r="AA55" s="677" t="str">
        <f t="shared" ref="AA55:AC56" si="10">IFERROR(IF(AND($N55="",$U55=""),"",IF($N55="",IF(V55=0,"-",V55),IF(P55=0,"0",$H55*IF($L55="",1,$L55)*P55))),"-")</f>
        <v/>
      </c>
      <c r="AB55" s="677" t="str">
        <f t="shared" si="10"/>
        <v/>
      </c>
      <c r="AC55" s="677" t="str">
        <f t="shared" si="10"/>
        <v/>
      </c>
      <c r="AD55" s="677" t="str">
        <f>IFERROR(IF(AND($N55="",$U55=""),"",IF($N55="",IF(Y55="",SUM(AA55:AC55),IF(Y55=0,"0",Y55)),IF($S55="",SUM($AA55:$AC55),IF($S55=0,"0",$H55*IF($L55="",1,$L55)*$S55)))),"-")</f>
        <v/>
      </c>
      <c r="AE55" s="677" t="str">
        <f>IFERROR(IF(AND($N55="",$U55=""),"",IF($N55="",IF(Z55=0,"",Z55),IF(T55=0,"0",$H55*IF($L55="",1,$L55)*T55))),"-")</f>
        <v/>
      </c>
      <c r="AF55" s="79"/>
      <c r="AG55" s="170"/>
      <c r="AH55" s="544"/>
      <c r="AI55" s="545"/>
      <c r="AJ55" s="604"/>
    </row>
    <row r="56" spans="1:55">
      <c r="B56" s="75" t="s">
        <v>110</v>
      </c>
      <c r="C56" s="76">
        <v>1</v>
      </c>
      <c r="D56" s="77"/>
      <c r="E56" s="77"/>
      <c r="F56" s="867"/>
      <c r="G56" s="76"/>
      <c r="H56" s="78"/>
      <c r="I56" s="79"/>
      <c r="J56" s="79"/>
      <c r="K56" s="79"/>
      <c r="L56" s="79"/>
      <c r="M56" s="79"/>
      <c r="N56" s="750"/>
      <c r="O56" s="508" t="str">
        <f>IFERROR(CONCATENATE("tCO2e/",VLOOKUP($N56,'Emission factors'!$C:$I,6,FALSE)),"")</f>
        <v/>
      </c>
      <c r="P56" s="508" t="str">
        <f>IFERROR(VLOOKUP($N56,'Emission factors'!$C:$BQ,9,FALSE),"")</f>
        <v/>
      </c>
      <c r="Q56" s="508" t="str">
        <f>IFERROR(VLOOKUP($N56,'Emission factors'!$C:$BQ,12,FALSE),"")</f>
        <v/>
      </c>
      <c r="R56" s="508" t="str">
        <f>IFERROR(VLOOKUP($N56,'Emission factors'!$C:$BQ,15,FALSE),"")</f>
        <v/>
      </c>
      <c r="S56" s="508" t="str">
        <f>IFERROR(VLOOKUP($N56,'Emission factors'!$C:$BQ,65,FALSE),"")</f>
        <v/>
      </c>
      <c r="T56" s="508" t="str">
        <f>IFERROR(VLOOKUP($N56,'Emission factors'!$C:$BQ,67,FALSE),"")</f>
        <v/>
      </c>
      <c r="U56" s="79"/>
      <c r="V56" s="79"/>
      <c r="W56" s="79"/>
      <c r="X56" s="79"/>
      <c r="Y56" s="79"/>
      <c r="Z56" s="79"/>
      <c r="AA56" s="677" t="str">
        <f t="shared" si="10"/>
        <v/>
      </c>
      <c r="AB56" s="677" t="str">
        <f t="shared" si="10"/>
        <v/>
      </c>
      <c r="AC56" s="677" t="str">
        <f t="shared" si="10"/>
        <v/>
      </c>
      <c r="AD56" s="677" t="str">
        <f>IFERROR(IF(AND($N56="",$U56=""),"",IF($N56="",IF(Y56="",SUM(AA56:AC56),IF(Y56=0,"0",Y56)),IF($S56="",SUM($AA56:$AC56),IF($S56=0,"0",$H56*IF($L56="",1,$L56)*$S56)))),"-")</f>
        <v/>
      </c>
      <c r="AE56" s="677" t="str">
        <f>IFERROR(IF(AND($N56="",$U56=""),"",IF($N56="",IF(Z56=0,"",Z56),IF(T56=0,"0",$H56*IF($L56="",1,$L56)*T56))),"-")</f>
        <v/>
      </c>
      <c r="AF56" s="79"/>
      <c r="AG56" s="170"/>
      <c r="AH56" s="612"/>
      <c r="AI56" s="545"/>
      <c r="AJ56" s="604"/>
    </row>
    <row r="57" spans="1:55">
      <c r="B57" s="82" t="s">
        <v>112</v>
      </c>
      <c r="C57" s="83">
        <v>2</v>
      </c>
      <c r="D57" s="84" t="s">
        <v>113</v>
      </c>
      <c r="E57" s="158"/>
      <c r="F57" s="871"/>
      <c r="G57" s="102" t="s">
        <v>177</v>
      </c>
      <c r="H57" s="86"/>
      <c r="I57" s="86"/>
      <c r="J57" s="86"/>
      <c r="K57" s="86"/>
      <c r="L57" s="86"/>
      <c r="M57" s="86"/>
      <c r="N57" s="845"/>
      <c r="O57" s="86"/>
      <c r="P57" s="86"/>
      <c r="Q57" s="86"/>
      <c r="R57" s="86"/>
      <c r="S57" s="86"/>
      <c r="T57" s="86"/>
      <c r="U57" s="86"/>
      <c r="V57" s="86"/>
      <c r="W57" s="86"/>
      <c r="X57" s="86"/>
      <c r="Y57" s="86"/>
      <c r="Z57" s="86"/>
      <c r="AA57" s="678"/>
      <c r="AB57" s="678"/>
      <c r="AC57" s="678"/>
      <c r="AD57" s="678"/>
      <c r="AE57" s="678"/>
      <c r="AF57" s="73"/>
      <c r="AG57" s="86"/>
      <c r="AH57" s="546" t="s">
        <v>1075</v>
      </c>
      <c r="AI57" s="605"/>
      <c r="AJ57" s="605"/>
    </row>
    <row r="58" spans="1:55">
      <c r="B58" s="75" t="s">
        <v>112</v>
      </c>
      <c r="C58" s="76">
        <v>2</v>
      </c>
      <c r="D58" s="77"/>
      <c r="E58" s="77"/>
      <c r="F58" s="705"/>
      <c r="G58" s="76"/>
      <c r="H58" s="78"/>
      <c r="I58" s="79"/>
      <c r="J58" s="79"/>
      <c r="K58" s="79"/>
      <c r="L58" s="79"/>
      <c r="M58" s="79"/>
      <c r="N58" s="750"/>
      <c r="O58" s="508" t="str">
        <f>IFERROR(CONCATENATE("tCO2e/",VLOOKUP($N58,'Emission factors'!$C:$I,6,FALSE)),"")</f>
        <v/>
      </c>
      <c r="P58" s="508" t="str">
        <f>IFERROR(VLOOKUP($N58,'Emission factors'!$C:$BQ,9,FALSE),"")</f>
        <v/>
      </c>
      <c r="Q58" s="508" t="str">
        <f>IFERROR(VLOOKUP($N58,'Emission factors'!$C:$BQ,12,FALSE),"")</f>
        <v/>
      </c>
      <c r="R58" s="508" t="str">
        <f>IFERROR(VLOOKUP($N58,'Emission factors'!$C:$BQ,15,FALSE),"")</f>
        <v/>
      </c>
      <c r="S58" s="508" t="str">
        <f>IFERROR(VLOOKUP($N58,'Emission factors'!$C:$BQ,65,FALSE),"")</f>
        <v/>
      </c>
      <c r="T58" s="508" t="str">
        <f>IFERROR(VLOOKUP($N58,'Emission factors'!$C:$BQ,67,FALSE),"")</f>
        <v/>
      </c>
      <c r="U58" s="79"/>
      <c r="V58" s="79"/>
      <c r="W58" s="79"/>
      <c r="X58" s="79"/>
      <c r="Y58" s="79"/>
      <c r="Z58" s="79"/>
      <c r="AA58" s="677" t="str">
        <f t="shared" ref="AA58:AC59" si="11">IFERROR(IF(AND($N58="",$U58=""),"",IF($N58="",IF(V58=0,"-",V58),IF(P58=0,"0",$H58*IF($L58="",1,$L58)*P58))),"-")</f>
        <v/>
      </c>
      <c r="AB58" s="677" t="str">
        <f t="shared" si="11"/>
        <v/>
      </c>
      <c r="AC58" s="677" t="str">
        <f t="shared" si="11"/>
        <v/>
      </c>
      <c r="AD58" s="677" t="str">
        <f>IFERROR(IF(AND($N58="",$U58=""),"",IF($N58="",IF(Y58="",SUM(AA58:AC58),IF(Y58=0,"0",Y58)),IF($S58="",SUM($AA58:$AC58),IF($S58=0,"0",$H58*IF($L58="",1,$L58)*$S58)))),"-")</f>
        <v/>
      </c>
      <c r="AE58" s="677" t="str">
        <f>IFERROR(IF(AND($N58="",$U58=""),"",IF($N58="",IF(Z58=0,"",Z58),IF(T58=0,"0",$H58*IF($L58="",1,$L58)*T58))),"-")</f>
        <v/>
      </c>
      <c r="AF58" s="79"/>
      <c r="AG58" s="170"/>
      <c r="AH58" s="544"/>
      <c r="AI58" s="545"/>
      <c r="AJ58" s="604"/>
    </row>
    <row r="59" spans="1:55">
      <c r="B59" s="75" t="s">
        <v>112</v>
      </c>
      <c r="C59" s="76">
        <v>2</v>
      </c>
      <c r="D59" s="77"/>
      <c r="E59" s="77"/>
      <c r="F59" s="867"/>
      <c r="G59" s="76"/>
      <c r="H59" s="78"/>
      <c r="I59" s="79"/>
      <c r="J59" s="79"/>
      <c r="K59" s="79"/>
      <c r="L59" s="79"/>
      <c r="M59" s="79"/>
      <c r="N59" s="750"/>
      <c r="O59" s="508" t="str">
        <f>IFERROR(CONCATENATE("tCO2e/",VLOOKUP($N59,'Emission factors'!$C:$I,6,FALSE)),"")</f>
        <v/>
      </c>
      <c r="P59" s="508" t="str">
        <f>IFERROR(VLOOKUP($N59,'Emission factors'!$C:$BQ,9,FALSE),"")</f>
        <v/>
      </c>
      <c r="Q59" s="508" t="str">
        <f>IFERROR(VLOOKUP($N59,'Emission factors'!$C:$BQ,12,FALSE),"")</f>
        <v/>
      </c>
      <c r="R59" s="508" t="str">
        <f>IFERROR(VLOOKUP($N59,'Emission factors'!$C:$BQ,15,FALSE),"")</f>
        <v/>
      </c>
      <c r="S59" s="508" t="str">
        <f>IFERROR(VLOOKUP($N59,'Emission factors'!$C:$BQ,65,FALSE),"")</f>
        <v/>
      </c>
      <c r="T59" s="508" t="str">
        <f>IFERROR(VLOOKUP($N59,'Emission factors'!$C:$BQ,67,FALSE),"")</f>
        <v/>
      </c>
      <c r="U59" s="79"/>
      <c r="V59" s="79"/>
      <c r="W59" s="79"/>
      <c r="X59" s="79"/>
      <c r="Y59" s="79"/>
      <c r="Z59" s="79"/>
      <c r="AA59" s="677" t="str">
        <f t="shared" si="11"/>
        <v/>
      </c>
      <c r="AB59" s="677" t="str">
        <f t="shared" si="11"/>
        <v/>
      </c>
      <c r="AC59" s="677" t="str">
        <f t="shared" si="11"/>
        <v/>
      </c>
      <c r="AD59" s="677" t="str">
        <f>IFERROR(IF(AND($N59="",$U59=""),"",IF($N59="",IF(Y59="",SUM(AA59:AC59),IF(Y59=0,"0",Y59)),IF($S59="",SUM($AA59:$AC59),IF($S59=0,"0",$H59*IF($L59="",1,$L59)*$S59)))),"-")</f>
        <v/>
      </c>
      <c r="AE59" s="677" t="str">
        <f>IFERROR(IF(AND($N59="",$U59=""),"",IF($N59="",IF(Z59=0,"",Z59),IF(T59=0,"0",$H59*IF($L59="",1,$L59)*T59))),"-")</f>
        <v/>
      </c>
      <c r="AF59" s="79"/>
      <c r="AG59" s="170"/>
      <c r="AH59" s="612"/>
      <c r="AI59" s="545"/>
      <c r="AJ59" s="604"/>
    </row>
    <row r="60" spans="1:55">
      <c r="B60" s="105" t="s">
        <v>114</v>
      </c>
      <c r="C60" s="116">
        <v>3</v>
      </c>
      <c r="D60" s="159" t="s">
        <v>627</v>
      </c>
      <c r="E60" s="177"/>
      <c r="F60" s="873"/>
      <c r="G60" s="91" t="s">
        <v>179</v>
      </c>
      <c r="H60" s="92"/>
      <c r="I60" s="91"/>
      <c r="J60" s="91"/>
      <c r="K60" s="91"/>
      <c r="L60" s="91"/>
      <c r="M60" s="91"/>
      <c r="N60" s="846"/>
      <c r="O60" s="91"/>
      <c r="P60" s="91"/>
      <c r="Q60" s="91"/>
      <c r="R60" s="91"/>
      <c r="S60" s="91"/>
      <c r="T60" s="91"/>
      <c r="U60" s="91"/>
      <c r="V60" s="91"/>
      <c r="W60" s="91"/>
      <c r="X60" s="91"/>
      <c r="Y60" s="91"/>
      <c r="Z60" s="91"/>
      <c r="AA60" s="679"/>
      <c r="AB60" s="679"/>
      <c r="AC60" s="679"/>
      <c r="AD60" s="679"/>
      <c r="AE60" s="679"/>
      <c r="AF60" s="91"/>
      <c r="AG60" s="91"/>
      <c r="AH60" s="547" t="s">
        <v>1127</v>
      </c>
      <c r="AI60" s="606"/>
      <c r="AJ60" s="606"/>
    </row>
    <row r="61" spans="1:55">
      <c r="B61" s="75" t="s">
        <v>114</v>
      </c>
      <c r="C61" s="76">
        <v>3</v>
      </c>
      <c r="D61" s="77"/>
      <c r="E61" s="77"/>
      <c r="F61" s="705"/>
      <c r="G61" s="76"/>
      <c r="H61" s="78"/>
      <c r="I61" s="79"/>
      <c r="J61" s="79"/>
      <c r="K61" s="79"/>
      <c r="L61" s="79"/>
      <c r="M61" s="79"/>
      <c r="N61" s="750"/>
      <c r="O61" s="508" t="str">
        <f>IFERROR(CONCATENATE("tCO2e/",VLOOKUP($N61,'Emission factors'!$C:$I,6,FALSE)),"")</f>
        <v/>
      </c>
      <c r="P61" s="508" t="str">
        <f>IFERROR(VLOOKUP($N61,'Emission factors'!$C:$BQ,9,FALSE),"")</f>
        <v/>
      </c>
      <c r="Q61" s="508" t="str">
        <f>IFERROR(VLOOKUP($N61,'Emission factors'!$C:$BQ,12,FALSE),"")</f>
        <v/>
      </c>
      <c r="R61" s="508" t="str">
        <f>IFERROR(VLOOKUP($N61,'Emission factors'!$C:$BQ,15,FALSE),"")</f>
        <v/>
      </c>
      <c r="S61" s="508" t="str">
        <f>IFERROR(VLOOKUP($N61,'Emission factors'!$C:$BQ,65,FALSE),"")</f>
        <v/>
      </c>
      <c r="T61" s="508" t="str">
        <f>IFERROR(VLOOKUP($N61,'Emission factors'!$C:$BQ,67,FALSE),"")</f>
        <v/>
      </c>
      <c r="U61" s="79"/>
      <c r="V61" s="79"/>
      <c r="W61" s="79"/>
      <c r="X61" s="79"/>
      <c r="Y61" s="79"/>
      <c r="Z61" s="79"/>
      <c r="AA61" s="677" t="str">
        <f t="shared" ref="AA61:AC62" si="12">IFERROR(IF(AND($N61="",$U61=""),"",IF($N61="",IF(V61=0,"-",V61),IF(P61=0,"0",$H61*IF($L61="",1,$L61)*P61))),"-")</f>
        <v/>
      </c>
      <c r="AB61" s="677" t="str">
        <f t="shared" si="12"/>
        <v/>
      </c>
      <c r="AC61" s="677" t="str">
        <f t="shared" si="12"/>
        <v/>
      </c>
      <c r="AD61" s="677" t="str">
        <f>IFERROR(IF(AND($N61="",$U61=""),"",IF($N61="",IF(Y61="",SUM(AA61:AC61),IF(Y61=0,"0",Y61)),IF($S61="",SUM($AA61:$AC61),IF($S61=0,"0",$H61*IF($L61="",1,$L61)*$S61)))),"-")</f>
        <v/>
      </c>
      <c r="AE61" s="677" t="str">
        <f>IFERROR(IF(AND($N61="",$U61=""),"",IF($N61="",IF(Z61=0,"",Z61),IF(T61=0,"0",$H61*IF($L61="",1,$L61)*T61))),"-")</f>
        <v/>
      </c>
      <c r="AF61" s="79"/>
      <c r="AG61" s="170"/>
      <c r="AH61" s="544"/>
      <c r="AI61" s="545"/>
      <c r="AJ61" s="604"/>
    </row>
    <row r="62" spans="1:55" s="344" customFormat="1" ht="15" customHeight="1" thickBot="1">
      <c r="A62" s="46"/>
      <c r="B62" s="171" t="s">
        <v>114</v>
      </c>
      <c r="C62" s="148">
        <v>3</v>
      </c>
      <c r="D62" s="160"/>
      <c r="E62" s="98"/>
      <c r="F62" s="754"/>
      <c r="G62" s="99"/>
      <c r="H62" s="525"/>
      <c r="I62" s="148"/>
      <c r="J62" s="148"/>
      <c r="K62" s="148"/>
      <c r="L62" s="148"/>
      <c r="M62" s="148"/>
      <c r="N62" s="609"/>
      <c r="O62" s="526" t="str">
        <f>IFERROR(CONCATENATE("tCO2e/",VLOOKUP($N62,'Emission factors'!$C:$I,6,FALSE)),"")</f>
        <v/>
      </c>
      <c r="P62" s="526" t="str">
        <f>IFERROR(VLOOKUP($N62,'Emission factors'!$C:$BQ,9,FALSE),"")</f>
        <v/>
      </c>
      <c r="Q62" s="526" t="str">
        <f>IFERROR(VLOOKUP($N62,'Emission factors'!$C:$BQ,12,FALSE),"")</f>
        <v/>
      </c>
      <c r="R62" s="526" t="str">
        <f>IFERROR(VLOOKUP($N62,'Emission factors'!$C:$BQ,15,FALSE),"")</f>
        <v/>
      </c>
      <c r="S62" s="526" t="str">
        <f>IFERROR(VLOOKUP($N62,'Emission factors'!$C:$BQ,65,FALSE),"")</f>
        <v/>
      </c>
      <c r="T62" s="526" t="str">
        <f>IFERROR(VLOOKUP($N62,'Emission factors'!$C:$BQ,67,FALSE),"")</f>
        <v/>
      </c>
      <c r="U62" s="99"/>
      <c r="V62" s="148"/>
      <c r="W62" s="148"/>
      <c r="X62" s="148"/>
      <c r="Y62" s="148"/>
      <c r="Z62" s="148"/>
      <c r="AA62" s="680" t="str">
        <f t="shared" si="12"/>
        <v/>
      </c>
      <c r="AB62" s="680" t="str">
        <f t="shared" si="12"/>
        <v/>
      </c>
      <c r="AC62" s="680" t="str">
        <f t="shared" si="12"/>
        <v/>
      </c>
      <c r="AD62" s="680" t="str">
        <f>IFERROR(IF(AND($N62="",$U62=""),"",IF($N62="",IF(Y62="",SUM(AA62:AC62),IF(Y62=0,"0",Y62)),IF($S62="",SUM($AA62:$AC62),IF($S62=0,"0",$H62*IF($L62="",1,$L62)*$S62)))),"-")</f>
        <v/>
      </c>
      <c r="AE62" s="680" t="str">
        <f>IFERROR(IF(AND($N62="",$U62=""),"",IF($N62="",IF(Z62=0,"",Z62),IF(T62=0,"0",$H62*IF($L62="",1,$L62)*T62))),"-")</f>
        <v/>
      </c>
      <c r="AF62" s="148"/>
      <c r="AG62" s="600"/>
      <c r="AH62" s="613"/>
      <c r="AI62" s="548"/>
      <c r="AJ62" s="607"/>
      <c r="AK62" s="28"/>
      <c r="AL62" s="28"/>
      <c r="AM62" s="28"/>
      <c r="AN62" s="28"/>
      <c r="AO62" s="28"/>
      <c r="AP62" s="28"/>
      <c r="AQ62" s="28"/>
      <c r="AR62" s="28"/>
      <c r="AS62" s="28"/>
      <c r="AT62" s="28"/>
      <c r="AU62" s="28"/>
      <c r="AV62" s="28"/>
      <c r="AW62" s="28"/>
      <c r="AX62" s="28"/>
      <c r="AY62" s="28"/>
      <c r="AZ62" s="28"/>
      <c r="BA62" s="28"/>
      <c r="BB62" s="28"/>
      <c r="BC62" s="28"/>
    </row>
    <row r="63" spans="1:55" s="28" customFormat="1">
      <c r="A63" s="343"/>
      <c r="B63" s="11"/>
      <c r="C63" s="11"/>
      <c r="D63" s="8"/>
      <c r="E63" s="8"/>
      <c r="F63" s="814"/>
      <c r="G63" s="9"/>
      <c r="H63" s="10"/>
      <c r="I63" s="7"/>
      <c r="J63" s="7"/>
      <c r="K63" s="7"/>
      <c r="L63" s="7"/>
      <c r="M63" s="7"/>
      <c r="N63" s="848"/>
      <c r="O63" s="7"/>
      <c r="P63" s="7"/>
      <c r="Q63" s="7"/>
      <c r="R63" s="7"/>
      <c r="S63" s="7"/>
      <c r="T63" s="7"/>
      <c r="U63" s="7"/>
      <c r="V63" s="7"/>
      <c r="W63" s="7"/>
      <c r="X63" s="7"/>
      <c r="Y63" s="7"/>
      <c r="Z63" s="7"/>
      <c r="AA63" s="10"/>
      <c r="AB63" s="10"/>
      <c r="AC63" s="10"/>
      <c r="AD63" s="10"/>
      <c r="AE63" s="10"/>
      <c r="AF63" s="9"/>
      <c r="AG63" s="9"/>
      <c r="AH63" s="614"/>
      <c r="AI63" s="614"/>
      <c r="AJ63" s="608"/>
    </row>
    <row r="64" spans="1:55" s="28" customFormat="1" ht="18.75">
      <c r="A64" s="343"/>
      <c r="B64" s="23" t="s">
        <v>229</v>
      </c>
      <c r="C64" s="11"/>
      <c r="D64" s="8"/>
      <c r="E64" s="8"/>
      <c r="F64" s="814"/>
      <c r="G64" s="9"/>
      <c r="H64" s="10"/>
      <c r="I64" s="7"/>
      <c r="J64" s="7"/>
      <c r="K64" s="7"/>
      <c r="L64" s="7"/>
      <c r="M64" s="7"/>
      <c r="N64" s="848"/>
      <c r="O64" s="7"/>
      <c r="P64" s="7"/>
      <c r="Q64" s="7"/>
      <c r="R64" s="7"/>
      <c r="S64" s="7"/>
      <c r="T64" s="7"/>
      <c r="U64" s="7"/>
      <c r="V64" s="7"/>
      <c r="W64" s="7"/>
      <c r="X64" s="7"/>
      <c r="Y64" s="7"/>
      <c r="Z64" s="7"/>
      <c r="AA64" s="10"/>
      <c r="AB64" s="10"/>
      <c r="AC64" s="10"/>
      <c r="AD64" s="10"/>
      <c r="AE64" s="10"/>
      <c r="AF64" s="9"/>
      <c r="AG64" s="9"/>
      <c r="AH64" s="614"/>
      <c r="AI64" s="614"/>
      <c r="AJ64" s="608"/>
    </row>
    <row r="65" spans="1:55" s="28" customFormat="1" ht="16.5" thickBot="1">
      <c r="A65" s="343"/>
      <c r="B65" s="11"/>
      <c r="C65" s="11"/>
      <c r="D65" s="8"/>
      <c r="E65" s="8"/>
      <c r="F65" s="814"/>
      <c r="G65" s="9"/>
      <c r="H65" s="10"/>
      <c r="I65" s="7"/>
      <c r="J65" s="7"/>
      <c r="K65" s="7"/>
      <c r="L65" s="7"/>
      <c r="M65" s="7"/>
      <c r="N65" s="848"/>
      <c r="O65" s="7"/>
      <c r="P65" s="7"/>
      <c r="Q65" s="7"/>
      <c r="R65" s="7"/>
      <c r="S65" s="7"/>
      <c r="T65" s="7"/>
      <c r="U65" s="7"/>
      <c r="V65" s="7"/>
      <c r="W65" s="7"/>
      <c r="X65" s="7"/>
      <c r="Y65" s="7"/>
      <c r="Z65" s="7"/>
      <c r="AA65" s="10"/>
      <c r="AB65" s="10"/>
      <c r="AC65" s="10"/>
      <c r="AD65" s="10"/>
      <c r="AE65" s="10"/>
      <c r="AF65" s="9"/>
      <c r="AG65" s="9"/>
      <c r="AH65" s="614"/>
      <c r="AI65" s="614"/>
      <c r="AJ65" s="608"/>
    </row>
    <row r="66" spans="1:55" s="5" customFormat="1" ht="15.95" customHeight="1">
      <c r="A66" s="53"/>
      <c r="B66" s="1139" t="s">
        <v>39</v>
      </c>
      <c r="C66" s="1133" t="s">
        <v>40</v>
      </c>
      <c r="D66" s="1056" t="s">
        <v>245</v>
      </c>
      <c r="E66" s="1147"/>
      <c r="F66" s="1144"/>
      <c r="G66" s="1134" t="s">
        <v>300</v>
      </c>
      <c r="H66" s="1141" t="s">
        <v>171</v>
      </c>
      <c r="I66" s="1142"/>
      <c r="J66" s="1130" t="s">
        <v>871</v>
      </c>
      <c r="K66" s="1131"/>
      <c r="L66" s="1132"/>
      <c r="M66" s="1134" t="s">
        <v>305</v>
      </c>
      <c r="N66" s="1063" t="s">
        <v>798</v>
      </c>
      <c r="O66" s="1112" t="s">
        <v>798</v>
      </c>
      <c r="P66" s="1112"/>
      <c r="Q66" s="1112"/>
      <c r="R66" s="1112"/>
      <c r="S66" s="1112"/>
      <c r="T66" s="1113"/>
      <c r="U66" s="1119" t="s">
        <v>967</v>
      </c>
      <c r="V66" s="1114" t="s">
        <v>975</v>
      </c>
      <c r="W66" s="1114"/>
      <c r="X66" s="1114"/>
      <c r="Y66" s="1114"/>
      <c r="Z66" s="1114"/>
      <c r="AA66" s="1148" t="s">
        <v>292</v>
      </c>
      <c r="AB66" s="1149"/>
      <c r="AC66" s="1149"/>
      <c r="AD66" s="1149"/>
      <c r="AE66" s="1150"/>
      <c r="AF66" s="1133" t="s">
        <v>43</v>
      </c>
      <c r="AG66" s="1133"/>
      <c r="AH66" s="1128" t="s">
        <v>799</v>
      </c>
      <c r="AI66" s="1073" t="s">
        <v>734</v>
      </c>
      <c r="AJ66" s="1145" t="s">
        <v>850</v>
      </c>
      <c r="AK66" s="14"/>
      <c r="AL66" s="14"/>
      <c r="AM66" s="14"/>
      <c r="AN66" s="14"/>
      <c r="AO66" s="14"/>
      <c r="AP66" s="14"/>
      <c r="AQ66" s="14"/>
      <c r="AR66" s="14"/>
      <c r="AS66" s="14"/>
      <c r="AT66" s="14"/>
      <c r="AU66" s="14"/>
      <c r="AV66" s="14"/>
      <c r="AW66" s="14"/>
      <c r="AX66" s="14"/>
      <c r="AY66" s="14"/>
      <c r="AZ66" s="14"/>
      <c r="BA66" s="14"/>
      <c r="BB66" s="14"/>
      <c r="BC66" s="14"/>
    </row>
    <row r="67" spans="1:55" s="5" customFormat="1" ht="19.5" thickBot="1">
      <c r="A67" s="53"/>
      <c r="B67" s="1140"/>
      <c r="C67" s="1135"/>
      <c r="D67" s="577" t="s">
        <v>257</v>
      </c>
      <c r="E67" s="577" t="s">
        <v>246</v>
      </c>
      <c r="F67" s="811" t="s">
        <v>244</v>
      </c>
      <c r="G67" s="1135"/>
      <c r="H67" s="577" t="s">
        <v>172</v>
      </c>
      <c r="I67" s="577" t="s">
        <v>173</v>
      </c>
      <c r="J67" s="528" t="s">
        <v>831</v>
      </c>
      <c r="K67" s="528" t="s">
        <v>832</v>
      </c>
      <c r="L67" s="528" t="s">
        <v>965</v>
      </c>
      <c r="M67" s="1135"/>
      <c r="N67" s="1064"/>
      <c r="O67" s="537" t="s">
        <v>173</v>
      </c>
      <c r="P67" s="538" t="s">
        <v>969</v>
      </c>
      <c r="Q67" s="538" t="s">
        <v>970</v>
      </c>
      <c r="R67" s="538" t="s">
        <v>971</v>
      </c>
      <c r="S67" s="538" t="s">
        <v>972</v>
      </c>
      <c r="T67" s="538" t="s">
        <v>973</v>
      </c>
      <c r="U67" s="1120"/>
      <c r="V67" s="538" t="s">
        <v>969</v>
      </c>
      <c r="W67" s="538" t="s">
        <v>970</v>
      </c>
      <c r="X67" s="538" t="s">
        <v>971</v>
      </c>
      <c r="Y67" s="538" t="s">
        <v>972</v>
      </c>
      <c r="Z67" s="538" t="s">
        <v>973</v>
      </c>
      <c r="AA67" s="100" t="s">
        <v>293</v>
      </c>
      <c r="AB67" s="100" t="s">
        <v>294</v>
      </c>
      <c r="AC67" s="100" t="s">
        <v>295</v>
      </c>
      <c r="AD67" s="100" t="s">
        <v>296</v>
      </c>
      <c r="AE67" s="100" t="s">
        <v>297</v>
      </c>
      <c r="AF67" s="577" t="s">
        <v>46</v>
      </c>
      <c r="AG67" s="577" t="s">
        <v>47</v>
      </c>
      <c r="AH67" s="1129"/>
      <c r="AI67" s="1074"/>
      <c r="AJ67" s="1146"/>
      <c r="AK67" s="14"/>
      <c r="AL67" s="14"/>
      <c r="AM67" s="14"/>
      <c r="AN67" s="14"/>
      <c r="AO67" s="14"/>
      <c r="AP67" s="14"/>
      <c r="AQ67" s="14"/>
      <c r="AR67" s="14"/>
      <c r="AS67" s="14"/>
      <c r="AT67" s="14"/>
      <c r="AU67" s="14"/>
      <c r="AV67" s="14"/>
      <c r="AW67" s="14"/>
      <c r="AX67" s="14"/>
      <c r="AY67" s="14"/>
      <c r="AZ67" s="14"/>
      <c r="BA67" s="14"/>
      <c r="BB67" s="14"/>
      <c r="BC67" s="14"/>
    </row>
    <row r="68" spans="1:55">
      <c r="B68" s="70" t="s">
        <v>117</v>
      </c>
      <c r="C68" s="71">
        <v>1</v>
      </c>
      <c r="D68" s="72" t="s">
        <v>118</v>
      </c>
      <c r="E68" s="155"/>
      <c r="F68" s="870"/>
      <c r="G68" s="119" t="s">
        <v>178</v>
      </c>
      <c r="H68" s="156"/>
      <c r="I68" s="157"/>
      <c r="J68" s="157"/>
      <c r="K68" s="157"/>
      <c r="L68" s="157"/>
      <c r="M68" s="73"/>
      <c r="N68" s="876"/>
      <c r="O68" s="157"/>
      <c r="P68" s="157"/>
      <c r="Q68" s="157"/>
      <c r="R68" s="157"/>
      <c r="S68" s="157"/>
      <c r="T68" s="157"/>
      <c r="U68" s="157"/>
      <c r="V68" s="157"/>
      <c r="W68" s="157"/>
      <c r="X68" s="157"/>
      <c r="Y68" s="157"/>
      <c r="Z68" s="157"/>
      <c r="AA68" s="685"/>
      <c r="AB68" s="685"/>
      <c r="AC68" s="685"/>
      <c r="AD68" s="685"/>
      <c r="AE68" s="685"/>
      <c r="AF68" s="73"/>
      <c r="AG68" s="468"/>
      <c r="AH68" s="885" t="s">
        <v>1315</v>
      </c>
      <c r="AI68" s="603"/>
      <c r="AJ68" s="603"/>
    </row>
    <row r="69" spans="1:55">
      <c r="B69" s="75" t="s">
        <v>117</v>
      </c>
      <c r="C69" s="76">
        <v>1</v>
      </c>
      <c r="D69" s="77"/>
      <c r="E69" s="77"/>
      <c r="F69" s="705"/>
      <c r="G69" s="76"/>
      <c r="H69" s="78"/>
      <c r="I69" s="79"/>
      <c r="J69" s="79"/>
      <c r="K69" s="79"/>
      <c r="L69" s="79"/>
      <c r="M69" s="79"/>
      <c r="N69" s="750"/>
      <c r="O69" s="508" t="str">
        <f>IFERROR(CONCATENATE("tCO2e/",VLOOKUP($N69,'Emission factors'!$C:$I,6,FALSE)),"")</f>
        <v/>
      </c>
      <c r="P69" s="508" t="str">
        <f>IFERROR(VLOOKUP($N69,'Emission factors'!$C:$BQ,9,FALSE),"")</f>
        <v/>
      </c>
      <c r="Q69" s="508" t="str">
        <f>IFERROR(VLOOKUP($N69,'Emission factors'!$C:$BQ,12,FALSE),"")</f>
        <v/>
      </c>
      <c r="R69" s="508" t="str">
        <f>IFERROR(VLOOKUP($N69,'Emission factors'!$C:$BQ,15,FALSE),"")</f>
        <v/>
      </c>
      <c r="S69" s="508" t="str">
        <f>IFERROR(VLOOKUP($N69,'Emission factors'!$C:$BQ,65,FALSE),"")</f>
        <v/>
      </c>
      <c r="T69" s="508" t="str">
        <f>IFERROR(VLOOKUP($N69,'Emission factors'!$C:$BQ,67,FALSE),"")</f>
        <v/>
      </c>
      <c r="U69" s="79"/>
      <c r="V69" s="79"/>
      <c r="W69" s="79"/>
      <c r="X69" s="79"/>
      <c r="Y69" s="79"/>
      <c r="Z69" s="79"/>
      <c r="AA69" s="677" t="str">
        <f t="shared" ref="AA69:AC70" si="13">IFERROR(IF(AND($N69="",$U69=""),"",IF($N69="",IF(V69=0,"-",V69),IF(P69=0,"0",$H69*IF($L69="",1,$L69)*P69))),"-")</f>
        <v/>
      </c>
      <c r="AB69" s="677" t="str">
        <f t="shared" si="13"/>
        <v/>
      </c>
      <c r="AC69" s="677" t="str">
        <f t="shared" si="13"/>
        <v/>
      </c>
      <c r="AD69" s="677" t="str">
        <f>IFERROR(IF(AND($N69="",$U69=""),"",IF($N69="",IF(Y69="",SUM(AA69:AC69),IF(Y69=0,"0",Y69)),IF($S69="",SUM($AA69:$AC69),IF($S69=0,"0",$H69*IF($L69="",1,$L69)*$S69)))),"-")</f>
        <v/>
      </c>
      <c r="AE69" s="677" t="str">
        <f>IFERROR(IF(AND($N69="",$U69=""),"",IF($N69="",IF(Z69=0,"",Z69),IF(T69=0,"0",$H69*IF($L69="",1,$L69)*T69))),"-")</f>
        <v/>
      </c>
      <c r="AF69" s="79"/>
      <c r="AG69" s="170"/>
      <c r="AH69" s="544"/>
      <c r="AI69" s="545"/>
      <c r="AJ69" s="604"/>
    </row>
    <row r="70" spans="1:55">
      <c r="B70" s="75" t="s">
        <v>117</v>
      </c>
      <c r="C70" s="76">
        <v>1</v>
      </c>
      <c r="D70" s="77"/>
      <c r="E70" s="80"/>
      <c r="F70" s="867"/>
      <c r="G70" s="76"/>
      <c r="H70" s="78"/>
      <c r="I70" s="79"/>
      <c r="J70" s="79"/>
      <c r="K70" s="79"/>
      <c r="L70" s="79"/>
      <c r="M70" s="79"/>
      <c r="N70" s="750"/>
      <c r="O70" s="508" t="str">
        <f>IFERROR(CONCATENATE("tCO2e/",VLOOKUP($N70,'Emission factors'!$C:$I,6,FALSE)),"")</f>
        <v/>
      </c>
      <c r="P70" s="508" t="str">
        <f>IFERROR(VLOOKUP($N70,'Emission factors'!$C:$BQ,9,FALSE),"")</f>
        <v/>
      </c>
      <c r="Q70" s="508" t="str">
        <f>IFERROR(VLOOKUP($N70,'Emission factors'!$C:$BQ,12,FALSE),"")</f>
        <v/>
      </c>
      <c r="R70" s="508" t="str">
        <f>IFERROR(VLOOKUP($N70,'Emission factors'!$C:$BQ,15,FALSE),"")</f>
        <v/>
      </c>
      <c r="S70" s="508" t="str">
        <f>IFERROR(VLOOKUP($N70,'Emission factors'!$C:$BQ,65,FALSE),"")</f>
        <v/>
      </c>
      <c r="T70" s="508" t="str">
        <f>IFERROR(VLOOKUP($N70,'Emission factors'!$C:$BQ,67,FALSE),"")</f>
        <v/>
      </c>
      <c r="U70" s="79"/>
      <c r="V70" s="79"/>
      <c r="W70" s="79"/>
      <c r="X70" s="79"/>
      <c r="Y70" s="79"/>
      <c r="Z70" s="79"/>
      <c r="AA70" s="677" t="str">
        <f t="shared" si="13"/>
        <v/>
      </c>
      <c r="AB70" s="677" t="str">
        <f t="shared" si="13"/>
        <v/>
      </c>
      <c r="AC70" s="677" t="str">
        <f t="shared" si="13"/>
        <v/>
      </c>
      <c r="AD70" s="677" t="str">
        <f>IFERROR(IF(AND($N70="",$U70=""),"",IF($N70="",IF(Y70="",SUM(AA70:AC70),IF(Y70=0,"0",Y70)),IF($S70="",SUM($AA70:$AC70),IF($S70=0,"0",$H70*IF($L70="",1,$L70)*$S70)))),"-")</f>
        <v/>
      </c>
      <c r="AE70" s="677" t="str">
        <f>IFERROR(IF(AND($N70="",$U70=""),"",IF($N70="",IF(Z70=0,"",Z70),IF(T70=0,"0",$H70*IF($L70="",1,$L70)*T70))),"-")</f>
        <v/>
      </c>
      <c r="AF70" s="79"/>
      <c r="AG70" s="170"/>
      <c r="AH70" s="707"/>
      <c r="AI70" s="545"/>
      <c r="AJ70" s="604"/>
    </row>
    <row r="71" spans="1:55">
      <c r="B71" s="82" t="s">
        <v>119</v>
      </c>
      <c r="C71" s="83">
        <v>2</v>
      </c>
      <c r="D71" s="84" t="s">
        <v>120</v>
      </c>
      <c r="E71" s="158"/>
      <c r="F71" s="871"/>
      <c r="G71" s="102" t="s">
        <v>177</v>
      </c>
      <c r="H71" s="86"/>
      <c r="I71" s="86"/>
      <c r="J71" s="86"/>
      <c r="K71" s="86"/>
      <c r="L71" s="86"/>
      <c r="M71" s="86"/>
      <c r="N71" s="845"/>
      <c r="O71" s="86"/>
      <c r="P71" s="86"/>
      <c r="Q71" s="86"/>
      <c r="R71" s="86"/>
      <c r="S71" s="86"/>
      <c r="T71" s="86"/>
      <c r="U71" s="86"/>
      <c r="V71" s="86"/>
      <c r="W71" s="86"/>
      <c r="X71" s="86"/>
      <c r="Y71" s="86"/>
      <c r="Z71" s="86"/>
      <c r="AA71" s="678"/>
      <c r="AB71" s="678"/>
      <c r="AC71" s="678"/>
      <c r="AD71" s="678"/>
      <c r="AE71" s="678"/>
      <c r="AF71" s="73"/>
      <c r="AG71" s="86"/>
      <c r="AH71" s="546" t="s">
        <v>1077</v>
      </c>
      <c r="AI71" s="605"/>
      <c r="AJ71" s="605"/>
    </row>
    <row r="72" spans="1:55">
      <c r="B72" s="75" t="s">
        <v>119</v>
      </c>
      <c r="C72" s="76">
        <v>2</v>
      </c>
      <c r="D72" s="77"/>
      <c r="E72" s="77"/>
      <c r="F72" s="705"/>
      <c r="G72" s="76"/>
      <c r="H72" s="78"/>
      <c r="I72" s="79"/>
      <c r="J72" s="79"/>
      <c r="K72" s="79"/>
      <c r="L72" s="79"/>
      <c r="M72" s="79"/>
      <c r="N72" s="750"/>
      <c r="O72" s="508" t="str">
        <f>IFERROR(CONCATENATE("tCO2e/",VLOOKUP($N72,'Emission factors'!$C:$I,6,FALSE)),"")</f>
        <v/>
      </c>
      <c r="P72" s="508" t="str">
        <f>IFERROR(VLOOKUP($N72,'Emission factors'!$C:$BQ,9,FALSE),"")</f>
        <v/>
      </c>
      <c r="Q72" s="508" t="str">
        <f>IFERROR(VLOOKUP($N72,'Emission factors'!$C:$BQ,12,FALSE),"")</f>
        <v/>
      </c>
      <c r="R72" s="508" t="str">
        <f>IFERROR(VLOOKUP($N72,'Emission factors'!$C:$BQ,15,FALSE),"")</f>
        <v/>
      </c>
      <c r="S72" s="508" t="str">
        <f>IFERROR(VLOOKUP($N72,'Emission factors'!$C:$BQ,65,FALSE),"")</f>
        <v/>
      </c>
      <c r="T72" s="508" t="str">
        <f>IFERROR(VLOOKUP($N72,'Emission factors'!$C:$BQ,67,FALSE),"")</f>
        <v/>
      </c>
      <c r="U72" s="79"/>
      <c r="V72" s="79"/>
      <c r="W72" s="79"/>
      <c r="X72" s="79"/>
      <c r="Y72" s="79"/>
      <c r="Z72" s="79"/>
      <c r="AA72" s="677" t="str">
        <f t="shared" ref="AA72:AC73" si="14">IFERROR(IF(AND($N72="",$U72=""),"",IF($N72="",IF(V72=0,"-",V72),IF(P72=0,"0",$H72*IF($L72="",1,$L72)*P72))),"-")</f>
        <v/>
      </c>
      <c r="AB72" s="677" t="str">
        <f t="shared" si="14"/>
        <v/>
      </c>
      <c r="AC72" s="677" t="str">
        <f t="shared" si="14"/>
        <v/>
      </c>
      <c r="AD72" s="677" t="str">
        <f>IFERROR(IF(AND($N72="",$U72=""),"",IF($N72="",IF(Y72="",SUM(AA72:AC72),IF(Y72=0,"0",Y72)),IF($S72="",SUM($AA72:$AC72),IF($S72=0,"0",$H72*IF($L72="",1,$L72)*$S72)))),"-")</f>
        <v/>
      </c>
      <c r="AE72" s="677" t="str">
        <f>IFERROR(IF(AND($N72="",$U72=""),"",IF($N72="",IF(Z72=0,"",Z72),IF(T72=0,"0",$H72*IF($L72="",1,$L72)*T72))),"-")</f>
        <v/>
      </c>
      <c r="AF72" s="79"/>
      <c r="AG72" s="170"/>
      <c r="AH72" s="544"/>
      <c r="AI72" s="545"/>
      <c r="AJ72" s="604"/>
    </row>
    <row r="73" spans="1:55">
      <c r="B73" s="75" t="s">
        <v>119</v>
      </c>
      <c r="C73" s="76">
        <v>2</v>
      </c>
      <c r="D73" s="77"/>
      <c r="E73" s="80"/>
      <c r="F73" s="867"/>
      <c r="G73" s="76"/>
      <c r="H73" s="78"/>
      <c r="I73" s="79"/>
      <c r="J73" s="79"/>
      <c r="K73" s="79"/>
      <c r="L73" s="79"/>
      <c r="M73" s="79"/>
      <c r="N73" s="750"/>
      <c r="O73" s="508" t="str">
        <f>IFERROR(CONCATENATE("tCO2e/",VLOOKUP($N73,'Emission factors'!$C:$I,6,FALSE)),"")</f>
        <v/>
      </c>
      <c r="P73" s="508" t="str">
        <f>IFERROR(VLOOKUP($N73,'Emission factors'!$C:$BQ,9,FALSE),"")</f>
        <v/>
      </c>
      <c r="Q73" s="508" t="str">
        <f>IFERROR(VLOOKUP($N73,'Emission factors'!$C:$BQ,12,FALSE),"")</f>
        <v/>
      </c>
      <c r="R73" s="508" t="str">
        <f>IFERROR(VLOOKUP($N73,'Emission factors'!$C:$BQ,15,FALSE),"")</f>
        <v/>
      </c>
      <c r="S73" s="508" t="str">
        <f>IFERROR(VLOOKUP($N73,'Emission factors'!$C:$BQ,65,FALSE),"")</f>
        <v/>
      </c>
      <c r="T73" s="508" t="str">
        <f>IFERROR(VLOOKUP($N73,'Emission factors'!$C:$BQ,67,FALSE),"")</f>
        <v/>
      </c>
      <c r="U73" s="79"/>
      <c r="V73" s="79"/>
      <c r="W73" s="79"/>
      <c r="X73" s="79"/>
      <c r="Y73" s="79"/>
      <c r="Z73" s="79"/>
      <c r="AA73" s="677" t="str">
        <f t="shared" si="14"/>
        <v/>
      </c>
      <c r="AB73" s="677" t="str">
        <f t="shared" si="14"/>
        <v/>
      </c>
      <c r="AC73" s="677" t="str">
        <f t="shared" si="14"/>
        <v/>
      </c>
      <c r="AD73" s="677" t="str">
        <f>IFERROR(IF(AND($N73="",$U73=""),"",IF($N73="",IF(Y73="",SUM(AA73:AC73),IF(Y73=0,"0",Y73)),IF($S73="",SUM($AA73:$AC73),IF($S73=0,"0",$H73*IF($L73="",1,$L73)*$S73)))),"-")</f>
        <v/>
      </c>
      <c r="AE73" s="677" t="str">
        <f>IFERROR(IF(AND($N73="",$U73=""),"",IF($N73="",IF(Z73=0,"",Z73),IF(T73=0,"0",$H73*IF($L73="",1,$L73)*T73))),"-")</f>
        <v/>
      </c>
      <c r="AF73" s="79"/>
      <c r="AG73" s="170"/>
      <c r="AH73" s="612"/>
      <c r="AI73" s="545"/>
      <c r="AJ73" s="604"/>
    </row>
    <row r="74" spans="1:55">
      <c r="B74" s="105" t="s">
        <v>628</v>
      </c>
      <c r="C74" s="116">
        <v>3</v>
      </c>
      <c r="D74" s="159" t="s">
        <v>627</v>
      </c>
      <c r="E74" s="177"/>
      <c r="F74" s="873"/>
      <c r="G74" s="91" t="s">
        <v>179</v>
      </c>
      <c r="H74" s="92"/>
      <c r="I74" s="91"/>
      <c r="J74" s="91"/>
      <c r="K74" s="91"/>
      <c r="L74" s="91"/>
      <c r="M74" s="91"/>
      <c r="N74" s="846"/>
      <c r="O74" s="91"/>
      <c r="P74" s="91"/>
      <c r="Q74" s="91"/>
      <c r="R74" s="91"/>
      <c r="S74" s="91"/>
      <c r="T74" s="91"/>
      <c r="U74" s="91"/>
      <c r="V74" s="91"/>
      <c r="W74" s="91"/>
      <c r="X74" s="91"/>
      <c r="Y74" s="91"/>
      <c r="Z74" s="91"/>
      <c r="AA74" s="679"/>
      <c r="AB74" s="679"/>
      <c r="AC74" s="679"/>
      <c r="AD74" s="679"/>
      <c r="AE74" s="679"/>
      <c r="AF74" s="91"/>
      <c r="AG74" s="91"/>
      <c r="AH74" s="547" t="s">
        <v>1128</v>
      </c>
      <c r="AI74" s="606"/>
      <c r="AJ74" s="606"/>
    </row>
    <row r="75" spans="1:55">
      <c r="B75" s="75" t="s">
        <v>628</v>
      </c>
      <c r="C75" s="76">
        <v>3</v>
      </c>
      <c r="D75" s="77"/>
      <c r="E75" s="77"/>
      <c r="F75" s="705"/>
      <c r="G75" s="76"/>
      <c r="H75" s="78"/>
      <c r="I75" s="79"/>
      <c r="J75" s="79"/>
      <c r="K75" s="79"/>
      <c r="L75" s="79"/>
      <c r="M75" s="79"/>
      <c r="N75" s="750"/>
      <c r="O75" s="508" t="str">
        <f>IFERROR(CONCATENATE("tCO2e/",VLOOKUP($N75,'Emission factors'!$C:$I,6,FALSE)),"")</f>
        <v/>
      </c>
      <c r="P75" s="508" t="str">
        <f>IFERROR(VLOOKUP($N75,'Emission factors'!$C:$BQ,9,FALSE),"")</f>
        <v/>
      </c>
      <c r="Q75" s="508" t="str">
        <f>IFERROR(VLOOKUP($N75,'Emission factors'!$C:$BQ,12,FALSE),"")</f>
        <v/>
      </c>
      <c r="R75" s="508" t="str">
        <f>IFERROR(VLOOKUP($N75,'Emission factors'!$C:$BQ,15,FALSE),"")</f>
        <v/>
      </c>
      <c r="S75" s="508" t="str">
        <f>IFERROR(VLOOKUP($N75,'Emission factors'!$C:$BQ,65,FALSE),"")</f>
        <v/>
      </c>
      <c r="T75" s="508" t="str">
        <f>IFERROR(VLOOKUP($N75,'Emission factors'!$C:$BQ,67,FALSE),"")</f>
        <v/>
      </c>
      <c r="U75" s="79"/>
      <c r="V75" s="79"/>
      <c r="W75" s="79"/>
      <c r="X75" s="79"/>
      <c r="Y75" s="79"/>
      <c r="Z75" s="79"/>
      <c r="AA75" s="677" t="str">
        <f t="shared" ref="AA75:AC76" si="15">IFERROR(IF(AND($N75="",$U75=""),"",IF($N75="",IF(V75=0,"-",V75),IF(P75=0,"0",$H75*IF($L75="",1,$L75)*P75))),"-")</f>
        <v/>
      </c>
      <c r="AB75" s="677" t="str">
        <f t="shared" si="15"/>
        <v/>
      </c>
      <c r="AC75" s="677" t="str">
        <f t="shared" si="15"/>
        <v/>
      </c>
      <c r="AD75" s="677" t="str">
        <f>IFERROR(IF(AND($N75="",$U75=""),"",IF($N75="",IF(Y75="",SUM(AA75:AC75),IF(Y75=0,"0",Y75)),IF($S75="",SUM($AA75:$AC75),IF($S75=0,"0",$H75*IF($L75="",1,$L75)*$S75)))),"-")</f>
        <v/>
      </c>
      <c r="AE75" s="677" t="str">
        <f>IFERROR(IF(AND($N75="",$U75=""),"",IF($N75="",IF(Z75=0,"",Z75),IF(T75=0,"0",$H75*IF($L75="",1,$L75)*T75))),"-")</f>
        <v/>
      </c>
      <c r="AF75" s="79"/>
      <c r="AG75" s="170"/>
      <c r="AH75" s="544"/>
      <c r="AI75" s="545"/>
      <c r="AJ75" s="604"/>
    </row>
    <row r="76" spans="1:55" s="344" customFormat="1" ht="15" customHeight="1" thickBot="1">
      <c r="A76" s="46"/>
      <c r="B76" s="107" t="s">
        <v>628</v>
      </c>
      <c r="C76" s="148">
        <v>3</v>
      </c>
      <c r="D76" s="160"/>
      <c r="E76" s="98"/>
      <c r="F76" s="754"/>
      <c r="G76" s="99"/>
      <c r="H76" s="525"/>
      <c r="I76" s="148"/>
      <c r="J76" s="148"/>
      <c r="K76" s="148"/>
      <c r="L76" s="148"/>
      <c r="M76" s="148"/>
      <c r="N76" s="609"/>
      <c r="O76" s="526" t="str">
        <f>IFERROR(CONCATENATE("tCO2e/",VLOOKUP($N76,'Emission factors'!$C:$I,6,FALSE)),"")</f>
        <v/>
      </c>
      <c r="P76" s="526" t="str">
        <f>IFERROR(VLOOKUP($N76,'Emission factors'!$C:$BQ,9,FALSE),"")</f>
        <v/>
      </c>
      <c r="Q76" s="526" t="str">
        <f>IFERROR(VLOOKUP($N76,'Emission factors'!$C:$BQ,12,FALSE),"")</f>
        <v/>
      </c>
      <c r="R76" s="526" t="str">
        <f>IFERROR(VLOOKUP($N76,'Emission factors'!$C:$BQ,15,FALSE),"")</f>
        <v/>
      </c>
      <c r="S76" s="526" t="str">
        <f>IFERROR(VLOOKUP($N76,'Emission factors'!$C:$BQ,65,FALSE),"")</f>
        <v/>
      </c>
      <c r="T76" s="526" t="str">
        <f>IFERROR(VLOOKUP($N76,'Emission factors'!$C:$BQ,67,FALSE),"")</f>
        <v/>
      </c>
      <c r="U76" s="99"/>
      <c r="V76" s="148"/>
      <c r="W76" s="148"/>
      <c r="X76" s="148"/>
      <c r="Y76" s="148"/>
      <c r="Z76" s="148"/>
      <c r="AA76" s="680" t="str">
        <f t="shared" si="15"/>
        <v/>
      </c>
      <c r="AB76" s="680" t="str">
        <f t="shared" si="15"/>
        <v/>
      </c>
      <c r="AC76" s="680" t="str">
        <f t="shared" si="15"/>
        <v/>
      </c>
      <c r="AD76" s="680" t="str">
        <f>IFERROR(IF(AND($N76="",$U76=""),"",IF($N76="",IF(Y76="",SUM(AA76:AC76),IF(Y76=0,"0",Y76)),IF($S76="",SUM($AA76:$AC76),IF($S76=0,"0",$H76*IF($L76="",1,$L76)*$S76)))),"-")</f>
        <v/>
      </c>
      <c r="AE76" s="680" t="str">
        <f>IFERROR(IF(AND($N76="",$U76=""),"",IF($N76="",IF(Z76=0,"",Z76),IF(T76=0,"0",$H76*IF($L76="",1,$L76)*T76))),"-")</f>
        <v/>
      </c>
      <c r="AF76" s="148"/>
      <c r="AG76" s="600"/>
      <c r="AH76" s="613"/>
      <c r="AI76" s="548"/>
      <c r="AJ76" s="607"/>
      <c r="AK76" s="28"/>
      <c r="AL76" s="28"/>
      <c r="AM76" s="28"/>
      <c r="AN76" s="28"/>
      <c r="AO76" s="28"/>
      <c r="AP76" s="28"/>
      <c r="AQ76" s="28"/>
      <c r="AR76" s="28"/>
      <c r="AS76" s="28"/>
      <c r="AT76" s="28"/>
      <c r="AU76" s="28"/>
      <c r="AV76" s="28"/>
      <c r="AW76" s="28"/>
      <c r="AX76" s="28"/>
      <c r="AY76" s="28"/>
      <c r="AZ76" s="28"/>
      <c r="BA76" s="28"/>
      <c r="BB76" s="28"/>
      <c r="BC76" s="28"/>
    </row>
    <row r="77" spans="1:55" s="43" customFormat="1">
      <c r="A77" s="46"/>
      <c r="B77" s="14"/>
      <c r="C77" s="14"/>
      <c r="F77" s="874"/>
      <c r="M77" s="152"/>
      <c r="N77" s="44"/>
      <c r="AA77" s="345"/>
      <c r="AB77" s="345"/>
      <c r="AC77" s="345"/>
      <c r="AD77" s="345"/>
      <c r="AE77" s="345"/>
      <c r="AH77" s="610"/>
      <c r="AI77" s="610"/>
      <c r="AJ77" s="44"/>
    </row>
    <row r="78" spans="1:55" s="43" customFormat="1" ht="15" customHeight="1">
      <c r="A78" s="46"/>
      <c r="B78" s="150" t="s">
        <v>629</v>
      </c>
      <c r="C78" s="14"/>
      <c r="F78" s="874"/>
      <c r="M78" s="152"/>
      <c r="N78" s="44"/>
      <c r="AA78" s="345"/>
      <c r="AB78" s="345"/>
      <c r="AC78" s="345"/>
      <c r="AD78" s="345"/>
      <c r="AE78" s="345"/>
      <c r="AH78" s="610"/>
      <c r="AI78" s="610"/>
      <c r="AJ78" s="44"/>
    </row>
    <row r="79" spans="1:55" s="43" customFormat="1">
      <c r="A79" s="46"/>
      <c r="B79" s="14"/>
      <c r="C79" s="14"/>
      <c r="F79" s="874"/>
      <c r="M79" s="152"/>
      <c r="N79" s="44"/>
      <c r="AA79" s="345"/>
      <c r="AB79" s="345"/>
      <c r="AC79" s="345"/>
      <c r="AD79" s="345"/>
      <c r="AE79" s="345"/>
      <c r="AH79" s="610"/>
      <c r="AI79" s="610"/>
      <c r="AJ79" s="44"/>
    </row>
    <row r="80" spans="1:55" s="43" customFormat="1">
      <c r="A80" s="46"/>
      <c r="B80" s="14"/>
      <c r="C80" s="14"/>
      <c r="F80" s="874"/>
      <c r="M80" s="152"/>
      <c r="N80" s="44"/>
      <c r="AA80" s="345"/>
      <c r="AB80" s="345"/>
      <c r="AC80" s="345"/>
      <c r="AD80" s="345"/>
      <c r="AE80" s="345"/>
      <c r="AH80" s="610"/>
      <c r="AI80" s="610"/>
      <c r="AJ80" s="44"/>
    </row>
    <row r="81" spans="1:36" s="43" customFormat="1">
      <c r="A81" s="46"/>
      <c r="B81" s="14"/>
      <c r="C81" s="14"/>
      <c r="F81" s="874"/>
      <c r="M81" s="152"/>
      <c r="N81" s="44"/>
      <c r="AA81" s="345"/>
      <c r="AB81" s="345"/>
      <c r="AC81" s="345"/>
      <c r="AD81" s="345"/>
      <c r="AE81" s="345"/>
      <c r="AH81" s="610"/>
      <c r="AI81" s="610"/>
      <c r="AJ81" s="44"/>
    </row>
    <row r="82" spans="1:36" s="43" customFormat="1">
      <c r="A82" s="46"/>
      <c r="B82" s="14"/>
      <c r="C82" s="14"/>
      <c r="F82" s="874"/>
      <c r="M82" s="152"/>
      <c r="N82" s="44"/>
      <c r="AA82" s="345"/>
      <c r="AB82" s="345"/>
      <c r="AC82" s="345"/>
      <c r="AD82" s="345"/>
      <c r="AE82" s="345"/>
      <c r="AH82" s="610"/>
      <c r="AI82" s="610"/>
      <c r="AJ82" s="44"/>
    </row>
    <row r="83" spans="1:36" s="43" customFormat="1">
      <c r="A83" s="46"/>
      <c r="B83" s="14"/>
      <c r="C83" s="14"/>
      <c r="F83" s="874"/>
      <c r="M83" s="152"/>
      <c r="N83" s="44"/>
      <c r="AA83" s="345"/>
      <c r="AB83" s="345"/>
      <c r="AC83" s="345"/>
      <c r="AD83" s="345"/>
      <c r="AE83" s="345"/>
      <c r="AH83" s="610"/>
      <c r="AI83" s="610"/>
      <c r="AJ83" s="44"/>
    </row>
    <row r="84" spans="1:36" s="43" customFormat="1">
      <c r="A84" s="46"/>
      <c r="B84" s="14"/>
      <c r="C84" s="14"/>
      <c r="F84" s="874"/>
      <c r="M84" s="152"/>
      <c r="N84" s="44"/>
      <c r="AA84" s="345"/>
      <c r="AB84" s="345"/>
      <c r="AC84" s="345"/>
      <c r="AD84" s="345"/>
      <c r="AE84" s="345"/>
      <c r="AH84" s="610"/>
      <c r="AI84" s="610"/>
      <c r="AJ84" s="44"/>
    </row>
    <row r="85" spans="1:36" s="43" customFormat="1">
      <c r="A85" s="46"/>
      <c r="B85" s="14"/>
      <c r="C85" s="14"/>
      <c r="F85" s="874"/>
      <c r="M85" s="152"/>
      <c r="N85" s="44"/>
      <c r="AA85" s="345"/>
      <c r="AB85" s="345"/>
      <c r="AC85" s="345"/>
      <c r="AD85" s="345"/>
      <c r="AE85" s="345"/>
      <c r="AH85" s="610"/>
      <c r="AI85" s="610"/>
      <c r="AJ85" s="44"/>
    </row>
    <row r="86" spans="1:36" s="43" customFormat="1">
      <c r="A86" s="46"/>
      <c r="B86" s="14"/>
      <c r="C86" s="14"/>
      <c r="F86" s="874"/>
      <c r="M86" s="152"/>
      <c r="N86" s="44"/>
      <c r="AA86" s="345"/>
      <c r="AB86" s="345"/>
      <c r="AC86" s="345"/>
      <c r="AD86" s="345"/>
      <c r="AE86" s="345"/>
      <c r="AH86" s="610"/>
      <c r="AI86" s="610"/>
      <c r="AJ86" s="44"/>
    </row>
    <row r="87" spans="1:36" s="43" customFormat="1">
      <c r="A87" s="46"/>
      <c r="B87" s="14"/>
      <c r="C87" s="14"/>
      <c r="F87" s="874"/>
      <c r="M87" s="152"/>
      <c r="N87" s="44"/>
      <c r="AA87" s="345"/>
      <c r="AB87" s="345"/>
      <c r="AC87" s="345"/>
      <c r="AD87" s="345"/>
      <c r="AE87" s="345"/>
      <c r="AH87" s="610"/>
      <c r="AI87" s="610"/>
      <c r="AJ87" s="44"/>
    </row>
    <row r="88" spans="1:36" s="43" customFormat="1">
      <c r="A88" s="46"/>
      <c r="B88" s="14"/>
      <c r="C88" s="14"/>
      <c r="F88" s="874"/>
      <c r="M88" s="152"/>
      <c r="N88" s="44"/>
      <c r="AA88" s="345"/>
      <c r="AB88" s="345"/>
      <c r="AC88" s="345"/>
      <c r="AD88" s="345"/>
      <c r="AE88" s="345"/>
      <c r="AH88" s="610"/>
      <c r="AI88" s="610"/>
      <c r="AJ88" s="44"/>
    </row>
    <row r="89" spans="1:36" s="43" customFormat="1">
      <c r="A89" s="46"/>
      <c r="B89" s="14"/>
      <c r="C89" s="14"/>
      <c r="F89" s="874"/>
      <c r="M89" s="152"/>
      <c r="N89" s="44"/>
      <c r="AA89" s="345"/>
      <c r="AB89" s="345"/>
      <c r="AC89" s="345"/>
      <c r="AD89" s="345"/>
      <c r="AE89" s="345"/>
      <c r="AH89" s="610"/>
      <c r="AI89" s="610"/>
      <c r="AJ89" s="44"/>
    </row>
    <row r="90" spans="1:36" s="43" customFormat="1">
      <c r="A90" s="46"/>
      <c r="B90" s="14"/>
      <c r="C90" s="14"/>
      <c r="F90" s="874"/>
      <c r="M90" s="152"/>
      <c r="N90" s="44"/>
      <c r="AA90" s="345"/>
      <c r="AB90" s="345"/>
      <c r="AC90" s="345"/>
      <c r="AD90" s="345"/>
      <c r="AE90" s="345"/>
      <c r="AH90" s="610"/>
      <c r="AI90" s="610"/>
      <c r="AJ90" s="44"/>
    </row>
    <row r="91" spans="1:36" s="43" customFormat="1">
      <c r="A91" s="46"/>
      <c r="B91" s="14"/>
      <c r="C91" s="14"/>
      <c r="F91" s="874"/>
      <c r="M91" s="152"/>
      <c r="N91" s="44"/>
      <c r="AA91" s="345"/>
      <c r="AB91" s="345"/>
      <c r="AC91" s="345"/>
      <c r="AD91" s="345"/>
      <c r="AE91" s="345"/>
      <c r="AH91" s="610"/>
      <c r="AI91" s="610"/>
      <c r="AJ91" s="44"/>
    </row>
    <row r="92" spans="1:36" s="43" customFormat="1">
      <c r="A92" s="46"/>
      <c r="B92" s="14"/>
      <c r="C92" s="14"/>
      <c r="F92" s="874"/>
      <c r="M92" s="152"/>
      <c r="N92" s="44"/>
      <c r="AA92" s="345"/>
      <c r="AB92" s="345"/>
      <c r="AC92" s="345"/>
      <c r="AD92" s="345"/>
      <c r="AE92" s="345"/>
      <c r="AH92" s="610"/>
      <c r="AI92" s="610"/>
      <c r="AJ92" s="44"/>
    </row>
    <row r="93" spans="1:36" s="43" customFormat="1">
      <c r="A93" s="46"/>
      <c r="B93" s="14"/>
      <c r="C93" s="14"/>
      <c r="F93" s="874"/>
      <c r="M93" s="152"/>
      <c r="N93" s="44"/>
      <c r="AA93" s="345"/>
      <c r="AB93" s="345"/>
      <c r="AC93" s="345"/>
      <c r="AD93" s="345"/>
      <c r="AE93" s="345"/>
      <c r="AH93" s="610"/>
      <c r="AI93" s="610"/>
      <c r="AJ93" s="44"/>
    </row>
    <row r="94" spans="1:36" s="43" customFormat="1">
      <c r="A94" s="46"/>
      <c r="B94" s="14"/>
      <c r="C94" s="14"/>
      <c r="F94" s="874"/>
      <c r="M94" s="152"/>
      <c r="N94" s="44"/>
      <c r="AA94" s="345"/>
      <c r="AB94" s="345"/>
      <c r="AC94" s="345"/>
      <c r="AD94" s="345"/>
      <c r="AE94" s="345"/>
      <c r="AH94" s="610"/>
      <c r="AI94" s="610"/>
      <c r="AJ94" s="44"/>
    </row>
    <row r="95" spans="1:36" s="43" customFormat="1">
      <c r="A95" s="46"/>
      <c r="B95" s="14"/>
      <c r="C95" s="14"/>
      <c r="F95" s="874"/>
      <c r="M95" s="152"/>
      <c r="N95" s="44"/>
      <c r="AA95" s="345"/>
      <c r="AB95" s="345"/>
      <c r="AC95" s="345"/>
      <c r="AD95" s="345"/>
      <c r="AE95" s="345"/>
      <c r="AH95" s="610"/>
      <c r="AI95" s="610"/>
      <c r="AJ95" s="44"/>
    </row>
    <row r="96" spans="1:36" s="43" customFormat="1">
      <c r="A96" s="46"/>
      <c r="B96" s="14"/>
      <c r="C96" s="14"/>
      <c r="F96" s="874"/>
      <c r="M96" s="152"/>
      <c r="N96" s="44"/>
      <c r="AA96" s="345"/>
      <c r="AB96" s="345"/>
      <c r="AC96" s="345"/>
      <c r="AD96" s="345"/>
      <c r="AE96" s="345"/>
      <c r="AH96" s="610"/>
      <c r="AI96" s="610"/>
      <c r="AJ96" s="44"/>
    </row>
    <row r="97" spans="1:36" s="43" customFormat="1">
      <c r="A97" s="46"/>
      <c r="B97" s="14"/>
      <c r="C97" s="14"/>
      <c r="F97" s="874"/>
      <c r="M97" s="152"/>
      <c r="N97" s="44"/>
      <c r="AA97" s="345"/>
      <c r="AB97" s="345"/>
      <c r="AC97" s="345"/>
      <c r="AD97" s="345"/>
      <c r="AE97" s="345"/>
      <c r="AH97" s="610"/>
      <c r="AI97" s="610"/>
      <c r="AJ97" s="44"/>
    </row>
    <row r="98" spans="1:36" s="43" customFormat="1">
      <c r="A98" s="46"/>
      <c r="B98" s="14"/>
      <c r="C98" s="14"/>
      <c r="F98" s="874"/>
      <c r="M98" s="152"/>
      <c r="N98" s="44"/>
      <c r="AA98" s="345"/>
      <c r="AB98" s="345"/>
      <c r="AC98" s="345"/>
      <c r="AD98" s="345"/>
      <c r="AE98" s="345"/>
      <c r="AH98" s="610"/>
      <c r="AI98" s="610"/>
      <c r="AJ98" s="44"/>
    </row>
    <row r="99" spans="1:36" s="43" customFormat="1">
      <c r="A99" s="46"/>
      <c r="B99" s="14"/>
      <c r="C99" s="14"/>
      <c r="F99" s="874"/>
      <c r="M99" s="152"/>
      <c r="N99" s="44"/>
      <c r="AA99" s="345"/>
      <c r="AB99" s="345"/>
      <c r="AC99" s="345"/>
      <c r="AD99" s="345"/>
      <c r="AE99" s="345"/>
      <c r="AH99" s="610"/>
      <c r="AI99" s="610"/>
      <c r="AJ99" s="44"/>
    </row>
    <row r="100" spans="1:36" s="43" customFormat="1">
      <c r="A100" s="46"/>
      <c r="B100" s="14"/>
      <c r="C100" s="14"/>
      <c r="F100" s="874"/>
      <c r="M100" s="152"/>
      <c r="N100" s="44"/>
      <c r="AA100" s="345"/>
      <c r="AB100" s="345"/>
      <c r="AC100" s="345"/>
      <c r="AD100" s="345"/>
      <c r="AE100" s="345"/>
      <c r="AH100" s="610"/>
      <c r="AI100" s="610"/>
      <c r="AJ100" s="44"/>
    </row>
    <row r="101" spans="1:36" s="43" customFormat="1">
      <c r="A101" s="46"/>
      <c r="B101" s="14"/>
      <c r="C101" s="14"/>
      <c r="F101" s="874"/>
      <c r="M101" s="152"/>
      <c r="N101" s="44"/>
      <c r="AA101" s="345"/>
      <c r="AB101" s="345"/>
      <c r="AC101" s="345"/>
      <c r="AD101" s="345"/>
      <c r="AE101" s="345"/>
      <c r="AH101" s="610"/>
      <c r="AI101" s="610"/>
      <c r="AJ101" s="44"/>
    </row>
  </sheetData>
  <mergeCells count="86">
    <mergeCell ref="AA66:AE66"/>
    <mergeCell ref="AF66:AG66"/>
    <mergeCell ref="AH66:AH67"/>
    <mergeCell ref="AA24:AE24"/>
    <mergeCell ref="AF24:AG24"/>
    <mergeCell ref="AA52:AE52"/>
    <mergeCell ref="AF52:AG52"/>
    <mergeCell ref="AA38:AE38"/>
    <mergeCell ref="AH24:AH25"/>
    <mergeCell ref="AF38:AG38"/>
    <mergeCell ref="AH38:AH39"/>
    <mergeCell ref="AI66:AI67"/>
    <mergeCell ref="AJ66:AJ67"/>
    <mergeCell ref="AJ8:AJ9"/>
    <mergeCell ref="AI24:AI25"/>
    <mergeCell ref="AJ24:AJ25"/>
    <mergeCell ref="AI38:AI39"/>
    <mergeCell ref="AJ38:AJ39"/>
    <mergeCell ref="AI8:AI9"/>
    <mergeCell ref="AI52:AI53"/>
    <mergeCell ref="B8:B9"/>
    <mergeCell ref="C8:C9"/>
    <mergeCell ref="G8:G9"/>
    <mergeCell ref="AA8:AE8"/>
    <mergeCell ref="D8:F8"/>
    <mergeCell ref="N8:N9"/>
    <mergeCell ref="M8:M9"/>
    <mergeCell ref="O8:T8"/>
    <mergeCell ref="U8:U9"/>
    <mergeCell ref="V8:Z8"/>
    <mergeCell ref="B38:B39"/>
    <mergeCell ref="C38:C39"/>
    <mergeCell ref="D38:F38"/>
    <mergeCell ref="G38:G39"/>
    <mergeCell ref="H38:I38"/>
    <mergeCell ref="B24:B25"/>
    <mergeCell ref="C24:C25"/>
    <mergeCell ref="D24:F24"/>
    <mergeCell ref="G24:G25"/>
    <mergeCell ref="H24:I24"/>
    <mergeCell ref="B52:B53"/>
    <mergeCell ref="C52:C53"/>
    <mergeCell ref="D52:F52"/>
    <mergeCell ref="G52:G53"/>
    <mergeCell ref="H52:I52"/>
    <mergeCell ref="B66:B67"/>
    <mergeCell ref="C66:C67"/>
    <mergeCell ref="D66:F66"/>
    <mergeCell ref="G66:G67"/>
    <mergeCell ref="H66:I66"/>
    <mergeCell ref="AI2:AJ2"/>
    <mergeCell ref="AI4:AJ5"/>
    <mergeCell ref="M24:M25"/>
    <mergeCell ref="M38:M39"/>
    <mergeCell ref="M52:M53"/>
    <mergeCell ref="N24:N25"/>
    <mergeCell ref="N38:N39"/>
    <mergeCell ref="N52:N53"/>
    <mergeCell ref="AH52:AH53"/>
    <mergeCell ref="U24:U25"/>
    <mergeCell ref="U38:U39"/>
    <mergeCell ref="U52:U53"/>
    <mergeCell ref="AH8:AH9"/>
    <mergeCell ref="AF8:AG8"/>
    <mergeCell ref="AJ52:AJ53"/>
    <mergeCell ref="V24:Z24"/>
    <mergeCell ref="H2:I2"/>
    <mergeCell ref="H4:I5"/>
    <mergeCell ref="N4:N5"/>
    <mergeCell ref="U4:U5"/>
    <mergeCell ref="M66:M67"/>
    <mergeCell ref="J8:L8"/>
    <mergeCell ref="N66:N67"/>
    <mergeCell ref="H8:I8"/>
    <mergeCell ref="O24:T24"/>
    <mergeCell ref="O38:T38"/>
    <mergeCell ref="J24:L24"/>
    <mergeCell ref="J38:L38"/>
    <mergeCell ref="J52:L52"/>
    <mergeCell ref="J66:L66"/>
    <mergeCell ref="V38:Z38"/>
    <mergeCell ref="O52:T52"/>
    <mergeCell ref="V52:Z52"/>
    <mergeCell ref="O66:T66"/>
    <mergeCell ref="V66:Z66"/>
    <mergeCell ref="U66:U67"/>
  </mergeCells>
  <phoneticPr fontId="10" type="noConversion"/>
  <dataValidations count="12">
    <dataValidation type="list" allowBlank="1" showInputMessage="1" showErrorMessage="1" sqref="AF55:AG56 AF61:AG65 AF16:AG17 AF30:AG31 AF44:AG45 AF27:AG28 AF47:AG51 AF41:AG42 AF58:AG59 AF11:AG14 AF75:AG76 AF19:AG23 AF72:AG73 AF69:AG70 AF33:AG37">
      <formula1>DQ</formula1>
    </dataValidation>
    <dataValidation type="list" allowBlank="1" showInputMessage="1" showErrorMessage="1" sqref="G68:G76 G26:G37 G40:G51 G54:G65 G10:G23">
      <formula1>NK</formula1>
    </dataValidation>
    <dataValidation type="list" allowBlank="1" showInputMessage="1" showErrorMessage="1" sqref="D58:D59 D16:D17 D19:D20 D27:D28 D30:D31 D55:D56 D75:D76 D33:D34 D44:D45 D61:D62 D47:D48 D41:D42 D69:D70 D72:D73 D11:D14">
      <formula1>Method</formula1>
    </dataValidation>
    <dataValidation type="list" allowBlank="1" showInputMessage="1" showErrorMessage="1" sqref="E72:E73 E16:E17 E19:E20 E75:E76 E69:E70 E11:E14">
      <formula1>Road</formula1>
    </dataValidation>
    <dataValidation type="list" allowBlank="1" showInputMessage="1" showErrorMessage="1" sqref="E27:E28 E30:E31 E33:E34">
      <formula1>Rail</formula1>
    </dataValidation>
    <dataValidation type="list" allowBlank="1" showInputMessage="1" showErrorMessage="1" sqref="E41:E42 E44:E45 E47:E48">
      <formula1>Water</formula1>
    </dataValidation>
    <dataValidation type="list" allowBlank="1" showInputMessage="1" showErrorMessage="1" sqref="E55:E56 E61:E62 E58:E59">
      <formula1>Air</formula1>
    </dataValidation>
    <dataValidation type="list" allowBlank="1" showInputMessage="1" showErrorMessage="1" sqref="M30:M31 M27:M28 M16:M17 M58:M59 M55:M56 M61:M62 M44:M45 M41:M42 M47:M48 M75:M76 M19:M20 M33:M34 M72:M73 M69:M70 M11:M14">
      <formula1>Gases</formula1>
    </dataValidation>
    <dataValidation type="list" allowBlank="1" showInputMessage="1" showErrorMessage="1" sqref="AI68:AI76 AI26:AI34 AI54:AI62 AI40:AI48 AI10:AI20">
      <formula1>CompleteDataSource.</formula1>
    </dataValidation>
    <dataValidation type="list" allowBlank="1" showInputMessage="1" showErrorMessage="1" sqref="L58:L59 L44:L45 L55:L56 L41:L42 L47:L48 L61:L62 L16:L17 L11:L14 L19:L20 L30:L31 L27:L28 L33:L34 L72:L73 L69:L70 L75:L76">
      <formula1>Multiplier</formula1>
    </dataValidation>
    <dataValidation type="list" allowBlank="1" showInputMessage="1" showErrorMessage="1" sqref="N58:N59 N55:N56 N61:N62 N44:N45 N41:N42 N47:N48 N16:N17 N11:N14 N19:N20 N30:N31 N27:N28 N33:N34 N72:N73 N69:N70 N75:N76">
      <formula1>EmissionFactor</formula1>
    </dataValidation>
    <dataValidation type="list" allowBlank="1" showInputMessage="1" showErrorMessage="1" sqref="U75:U76 U16:U17 U19:U20 U27:U28 U11:U14 U33:U34 U41:U42 U44:U45 U47:U48 U55:U56 U58:U59 U61:U62 U69:U70 U72:U73 U30:U31">
      <formula1>Tick</formula1>
    </dataValidation>
  </dataValidations>
  <printOptions verticalCentered="1"/>
  <pageMargins left="0.15748031496062992" right="0.15748031496062992" top="0.15748031496062992" bottom="0.15748031496062992" header="0.1" footer="0.1"/>
  <pageSetup paperSize="9" scale="46" orientation="landscape" horizontalDpi="4294967292" verticalDpi="429496729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6" tint="0.39997558519241921"/>
    <outlinePr summaryBelow="0" summaryRight="0"/>
    <pageSetUpPr autoPageBreaks="0"/>
  </sheetPr>
  <dimension ref="A1:BC87"/>
  <sheetViews>
    <sheetView showGridLines="0" topLeftCell="A43" zoomScale="80" zoomScaleNormal="80" zoomScalePageLayoutView="80" workbookViewId="0">
      <selection activeCell="F7" sqref="F7"/>
    </sheetView>
  </sheetViews>
  <sheetFormatPr defaultColWidth="11" defaultRowHeight="15.75" outlineLevelCol="1"/>
  <cols>
    <col min="1" max="1" width="8.5" style="16" customWidth="1"/>
    <col min="2" max="2" width="10.875" style="5" customWidth="1"/>
    <col min="3" max="3" width="10.875" style="5"/>
    <col min="4" max="5" width="36.375" customWidth="1"/>
    <col min="6" max="6" width="36.375" style="882" customWidth="1"/>
    <col min="7" max="7" width="12.375" customWidth="1"/>
    <col min="8" max="8" width="14.125" customWidth="1"/>
    <col min="9" max="9" width="12.375" customWidth="1" collapsed="1"/>
    <col min="10" max="12" width="12.375" hidden="1" customWidth="1" outlineLevel="1"/>
    <col min="13" max="13" width="16.375" style="153" customWidth="1"/>
    <col min="14" max="14" width="24.875" style="788" customWidth="1" collapsed="1"/>
    <col min="15" max="15" width="12.875" hidden="1" customWidth="1" outlineLevel="1"/>
    <col min="16" max="20" width="12.375" hidden="1" customWidth="1" outlineLevel="1"/>
    <col min="21" max="21" width="24.875" customWidth="1"/>
    <col min="22" max="26" width="12.375" customWidth="1" outlineLevel="1"/>
    <col min="27" max="31" width="12.375" style="684" customWidth="1"/>
    <col min="32" max="33" width="6.125" customWidth="1"/>
    <col min="34" max="34" width="71.875" customWidth="1"/>
    <col min="35" max="35" width="71.875" customWidth="1" collapsed="1"/>
    <col min="36" max="36" width="71.875" hidden="1" customWidth="1" outlineLevel="1"/>
    <col min="37" max="55" width="10.875" style="15"/>
  </cols>
  <sheetData>
    <row r="1" spans="1:55" s="15" customFormat="1">
      <c r="A1" s="16"/>
      <c r="B1" s="14"/>
      <c r="C1" s="14"/>
      <c r="F1" s="881"/>
      <c r="M1" s="152"/>
      <c r="N1" s="779"/>
      <c r="AA1" s="688"/>
      <c r="AB1" s="688"/>
      <c r="AC1" s="688"/>
      <c r="AD1" s="688"/>
      <c r="AE1" s="688"/>
    </row>
    <row r="2" spans="1:55" s="15" customFormat="1" ht="23.25">
      <c r="A2" s="16"/>
      <c r="B2" s="36" t="s">
        <v>239</v>
      </c>
      <c r="C2" s="14"/>
      <c r="F2" s="881"/>
      <c r="H2" s="1125" t="s">
        <v>966</v>
      </c>
      <c r="I2" s="1125"/>
      <c r="J2" s="576"/>
      <c r="K2" s="576"/>
      <c r="L2" s="576"/>
      <c r="M2" s="29"/>
      <c r="N2" s="776" t="s">
        <v>966</v>
      </c>
      <c r="O2" s="29"/>
      <c r="P2" s="29"/>
      <c r="Q2" s="29"/>
      <c r="R2" s="29"/>
      <c r="S2" s="29"/>
      <c r="T2" s="29"/>
      <c r="U2" s="576" t="s">
        <v>966</v>
      </c>
      <c r="V2" s="29"/>
      <c r="W2" s="29"/>
      <c r="X2" s="29"/>
      <c r="Y2" s="29"/>
      <c r="Z2" s="29"/>
      <c r="AA2" s="345"/>
      <c r="AB2" s="345"/>
      <c r="AC2" s="345"/>
      <c r="AD2" s="345"/>
      <c r="AE2" s="345"/>
      <c r="AF2" s="43"/>
      <c r="AG2" s="43"/>
      <c r="AH2" s="611"/>
      <c r="AI2" s="1125" t="s">
        <v>966</v>
      </c>
      <c r="AJ2" s="1125"/>
      <c r="AK2" s="43"/>
    </row>
    <row r="3" spans="1:55" s="15" customFormat="1" ht="16.5" thickBot="1">
      <c r="A3" s="16"/>
      <c r="B3" s="14"/>
      <c r="C3" s="14"/>
      <c r="F3" s="881"/>
      <c r="H3" s="576"/>
      <c r="I3" s="576"/>
      <c r="J3" s="576"/>
      <c r="K3" s="576"/>
      <c r="L3" s="576"/>
      <c r="M3" s="576"/>
      <c r="N3" s="776"/>
      <c r="O3" s="29"/>
      <c r="P3" s="29"/>
      <c r="Q3" s="29"/>
      <c r="R3" s="29"/>
      <c r="S3" s="29"/>
      <c r="T3" s="29"/>
      <c r="U3" s="29"/>
      <c r="V3" s="29"/>
      <c r="W3" s="29"/>
      <c r="X3" s="29"/>
      <c r="Y3" s="29"/>
      <c r="Z3" s="29"/>
      <c r="AA3" s="30"/>
      <c r="AB3" s="30"/>
      <c r="AC3" s="30"/>
      <c r="AD3" s="30"/>
      <c r="AE3" s="30"/>
      <c r="AF3" s="20"/>
      <c r="AG3" s="20"/>
      <c r="AH3" s="611"/>
      <c r="AI3" s="611"/>
      <c r="AJ3" s="602"/>
      <c r="AK3" s="22"/>
    </row>
    <row r="4" spans="1:55" s="15" customFormat="1">
      <c r="A4" s="16"/>
      <c r="B4" s="15" t="s">
        <v>1045</v>
      </c>
      <c r="C4" s="14"/>
      <c r="F4" s="881"/>
      <c r="H4" s="1121" t="s">
        <v>968</v>
      </c>
      <c r="I4" s="1122"/>
      <c r="J4" s="574"/>
      <c r="K4" s="574"/>
      <c r="L4" s="572"/>
      <c r="M4" s="527"/>
      <c r="N4" s="1115" t="s">
        <v>974</v>
      </c>
      <c r="O4" s="533"/>
      <c r="P4" s="533"/>
      <c r="Q4" s="533"/>
      <c r="R4" s="533"/>
      <c r="S4" s="533"/>
      <c r="T4" s="534"/>
      <c r="U4" s="1117" t="s">
        <v>976</v>
      </c>
      <c r="V4" s="539"/>
      <c r="W4" s="539"/>
      <c r="X4" s="539"/>
      <c r="Y4" s="539"/>
      <c r="Z4" s="540"/>
      <c r="AA4" s="675"/>
      <c r="AB4" s="30"/>
      <c r="AC4" s="30"/>
      <c r="AD4" s="30"/>
      <c r="AE4" s="30"/>
      <c r="AF4" s="20"/>
      <c r="AG4" s="20"/>
      <c r="AH4" s="611"/>
      <c r="AI4" s="1121" t="s">
        <v>850</v>
      </c>
      <c r="AJ4" s="1122"/>
      <c r="AK4" s="601"/>
    </row>
    <row r="5" spans="1:55" s="15" customFormat="1" ht="16.5" thickBot="1">
      <c r="A5" s="16"/>
      <c r="B5" s="14"/>
      <c r="C5" s="14"/>
      <c r="F5" s="881"/>
      <c r="H5" s="1123"/>
      <c r="I5" s="1124"/>
      <c r="J5" s="575"/>
      <c r="K5" s="575"/>
      <c r="L5" s="573"/>
      <c r="M5" s="527"/>
      <c r="N5" s="1116"/>
      <c r="O5" s="535"/>
      <c r="P5" s="535"/>
      <c r="Q5" s="535"/>
      <c r="R5" s="535"/>
      <c r="S5" s="535"/>
      <c r="T5" s="536"/>
      <c r="U5" s="1118"/>
      <c r="V5" s="541"/>
      <c r="W5" s="541"/>
      <c r="X5" s="541"/>
      <c r="Y5" s="541"/>
      <c r="Z5" s="542"/>
      <c r="AA5" s="675"/>
      <c r="AB5" s="30"/>
      <c r="AC5" s="30"/>
      <c r="AD5" s="30"/>
      <c r="AE5" s="30"/>
      <c r="AF5" s="20"/>
      <c r="AG5" s="20"/>
      <c r="AH5" s="611"/>
      <c r="AI5" s="1123"/>
      <c r="AJ5" s="1124"/>
      <c r="AK5" s="601"/>
    </row>
    <row r="6" spans="1:55" s="15" customFormat="1" ht="18.75">
      <c r="A6" s="16"/>
      <c r="B6" s="38" t="s">
        <v>240</v>
      </c>
      <c r="C6" s="14"/>
      <c r="F6" s="881"/>
      <c r="H6" s="19"/>
      <c r="I6" s="19"/>
      <c r="J6" s="19"/>
      <c r="K6" s="19"/>
      <c r="L6" s="19"/>
      <c r="M6" s="12"/>
      <c r="N6" s="21"/>
      <c r="O6" s="19"/>
      <c r="P6" s="19"/>
      <c r="Q6" s="19"/>
      <c r="R6" s="19"/>
      <c r="S6" s="19"/>
      <c r="T6" s="19"/>
      <c r="U6" s="19"/>
      <c r="V6" s="19"/>
      <c r="W6" s="19"/>
      <c r="X6" s="19"/>
      <c r="Y6" s="19"/>
      <c r="Z6" s="19"/>
      <c r="AA6" s="30"/>
      <c r="AB6" s="30"/>
      <c r="AC6" s="30"/>
      <c r="AD6" s="30"/>
      <c r="AE6" s="30"/>
      <c r="AF6" s="20"/>
      <c r="AG6" s="20"/>
      <c r="AH6" s="611"/>
      <c r="AI6" s="611"/>
      <c r="AJ6" s="21"/>
      <c r="AK6" s="22"/>
    </row>
    <row r="7" spans="1:55" s="15" customFormat="1" ht="16.5" thickBot="1">
      <c r="A7" s="16"/>
      <c r="B7" s="14"/>
      <c r="C7" s="14"/>
      <c r="F7" s="881"/>
      <c r="H7" s="19"/>
      <c r="I7" s="19"/>
      <c r="J7" s="19"/>
      <c r="K7" s="19"/>
      <c r="L7" s="19"/>
      <c r="M7" s="12"/>
      <c r="N7" s="21"/>
      <c r="O7" s="19"/>
      <c r="P7" s="19"/>
      <c r="Q7" s="19"/>
      <c r="R7" s="19"/>
      <c r="S7" s="19"/>
      <c r="T7" s="19"/>
      <c r="U7" s="19"/>
      <c r="V7" s="19"/>
      <c r="W7" s="19"/>
      <c r="X7" s="19"/>
      <c r="Y7" s="19"/>
      <c r="Z7" s="19"/>
      <c r="AA7" s="30"/>
      <c r="AB7" s="30"/>
      <c r="AC7" s="30"/>
      <c r="AD7" s="30"/>
      <c r="AE7" s="30"/>
      <c r="AF7" s="20"/>
      <c r="AG7" s="20"/>
      <c r="AH7" s="611"/>
      <c r="AI7" s="611"/>
      <c r="AJ7" s="21"/>
      <c r="AK7" s="22"/>
    </row>
    <row r="8" spans="1:55" s="5" customFormat="1" ht="15.95" customHeight="1">
      <c r="A8" s="53"/>
      <c r="B8" s="1139" t="s">
        <v>39</v>
      </c>
      <c r="C8" s="1133" t="s">
        <v>40</v>
      </c>
      <c r="D8" s="1056" t="s">
        <v>245</v>
      </c>
      <c r="E8" s="1147"/>
      <c r="F8" s="1144"/>
      <c r="G8" s="1134" t="s">
        <v>300</v>
      </c>
      <c r="H8" s="1141" t="s">
        <v>171</v>
      </c>
      <c r="I8" s="1142"/>
      <c r="J8" s="1130" t="s">
        <v>871</v>
      </c>
      <c r="K8" s="1131"/>
      <c r="L8" s="1132"/>
      <c r="M8" s="1063" t="s">
        <v>305</v>
      </c>
      <c r="N8" s="1063" t="s">
        <v>798</v>
      </c>
      <c r="O8" s="1112" t="s">
        <v>798</v>
      </c>
      <c r="P8" s="1112"/>
      <c r="Q8" s="1112"/>
      <c r="R8" s="1112"/>
      <c r="S8" s="1112"/>
      <c r="T8" s="1113"/>
      <c r="U8" s="1119" t="s">
        <v>967</v>
      </c>
      <c r="V8" s="1114" t="s">
        <v>975</v>
      </c>
      <c r="W8" s="1114"/>
      <c r="X8" s="1114"/>
      <c r="Y8" s="1114"/>
      <c r="Z8" s="1114"/>
      <c r="AA8" s="1148" t="s">
        <v>292</v>
      </c>
      <c r="AB8" s="1149"/>
      <c r="AC8" s="1149"/>
      <c r="AD8" s="1149"/>
      <c r="AE8" s="1150"/>
      <c r="AF8" s="1133" t="s">
        <v>43</v>
      </c>
      <c r="AG8" s="1133"/>
      <c r="AH8" s="1128" t="s">
        <v>981</v>
      </c>
      <c r="AI8" s="1073" t="s">
        <v>734</v>
      </c>
      <c r="AJ8" s="1126" t="s">
        <v>850</v>
      </c>
      <c r="AK8" s="14"/>
      <c r="AL8" s="14"/>
      <c r="AM8" s="14"/>
      <c r="AN8" s="14"/>
      <c r="AO8" s="14"/>
      <c r="AP8" s="14"/>
      <c r="AQ8" s="14"/>
      <c r="AR8" s="14"/>
      <c r="AS8" s="14"/>
      <c r="AT8" s="14"/>
      <c r="AU8" s="14"/>
      <c r="AV8" s="14"/>
      <c r="AW8" s="14"/>
      <c r="AX8" s="14"/>
      <c r="AY8" s="14"/>
      <c r="AZ8" s="14"/>
      <c r="BA8" s="14"/>
      <c r="BB8" s="14"/>
      <c r="BC8" s="14"/>
    </row>
    <row r="9" spans="1:55" s="5" customFormat="1" ht="19.5" thickBot="1">
      <c r="A9" s="53"/>
      <c r="B9" s="1140"/>
      <c r="C9" s="1135"/>
      <c r="D9" s="578" t="s">
        <v>246</v>
      </c>
      <c r="E9" s="578" t="s">
        <v>290</v>
      </c>
      <c r="F9" s="811" t="s">
        <v>244</v>
      </c>
      <c r="G9" s="1135"/>
      <c r="H9" s="578" t="s">
        <v>172</v>
      </c>
      <c r="I9" s="578" t="s">
        <v>173</v>
      </c>
      <c r="J9" s="528" t="s">
        <v>831</v>
      </c>
      <c r="K9" s="528" t="s">
        <v>832</v>
      </c>
      <c r="L9" s="528" t="s">
        <v>965</v>
      </c>
      <c r="M9" s="1064"/>
      <c r="N9" s="1064"/>
      <c r="O9" s="537" t="s">
        <v>173</v>
      </c>
      <c r="P9" s="538" t="s">
        <v>969</v>
      </c>
      <c r="Q9" s="538" t="s">
        <v>970</v>
      </c>
      <c r="R9" s="538" t="s">
        <v>971</v>
      </c>
      <c r="S9" s="538" t="s">
        <v>972</v>
      </c>
      <c r="T9" s="538" t="s">
        <v>973</v>
      </c>
      <c r="U9" s="1120"/>
      <c r="V9" s="538" t="s">
        <v>969</v>
      </c>
      <c r="W9" s="538" t="s">
        <v>970</v>
      </c>
      <c r="X9" s="538" t="s">
        <v>971</v>
      </c>
      <c r="Y9" s="538" t="s">
        <v>972</v>
      </c>
      <c r="Z9" s="538" t="s">
        <v>973</v>
      </c>
      <c r="AA9" s="100" t="s">
        <v>293</v>
      </c>
      <c r="AB9" s="100" t="s">
        <v>294</v>
      </c>
      <c r="AC9" s="100" t="s">
        <v>295</v>
      </c>
      <c r="AD9" s="100" t="s">
        <v>296</v>
      </c>
      <c r="AE9" s="100" t="s">
        <v>297</v>
      </c>
      <c r="AF9" s="578" t="s">
        <v>46</v>
      </c>
      <c r="AG9" s="578" t="s">
        <v>47</v>
      </c>
      <c r="AH9" s="1129"/>
      <c r="AI9" s="1074"/>
      <c r="AJ9" s="1127"/>
      <c r="AK9" s="14"/>
      <c r="AL9" s="14"/>
      <c r="AM9" s="14"/>
      <c r="AN9" s="14"/>
      <c r="AO9" s="14"/>
      <c r="AP9" s="14"/>
      <c r="AQ9" s="14"/>
      <c r="AR9" s="14"/>
      <c r="AS9" s="14"/>
      <c r="AT9" s="14"/>
      <c r="AU9" s="14"/>
      <c r="AV9" s="14"/>
      <c r="AW9" s="14"/>
      <c r="AX9" s="14"/>
      <c r="AY9" s="14"/>
      <c r="AZ9" s="14"/>
      <c r="BA9" s="14"/>
      <c r="BB9" s="14"/>
      <c r="BC9" s="14"/>
    </row>
    <row r="10" spans="1:55" ht="15" customHeight="1">
      <c r="B10" s="161" t="s">
        <v>124</v>
      </c>
      <c r="C10" s="617">
        <v>1</v>
      </c>
      <c r="D10" s="188" t="s">
        <v>125</v>
      </c>
      <c r="E10" s="189"/>
      <c r="F10" s="812"/>
      <c r="G10" s="620" t="s">
        <v>177</v>
      </c>
      <c r="H10" s="618"/>
      <c r="I10" s="619"/>
      <c r="J10" s="619"/>
      <c r="K10" s="619"/>
      <c r="L10" s="619"/>
      <c r="M10" s="468"/>
      <c r="N10" s="875"/>
      <c r="O10" s="619"/>
      <c r="P10" s="619"/>
      <c r="Q10" s="619"/>
      <c r="R10" s="619"/>
      <c r="S10" s="619"/>
      <c r="T10" s="619"/>
      <c r="U10" s="619"/>
      <c r="V10" s="619"/>
      <c r="W10" s="619"/>
      <c r="X10" s="619"/>
      <c r="Y10" s="619"/>
      <c r="Z10" s="619"/>
      <c r="AA10" s="676"/>
      <c r="AB10" s="676"/>
      <c r="AC10" s="676"/>
      <c r="AD10" s="676"/>
      <c r="AE10" s="676"/>
      <c r="AF10" s="468"/>
      <c r="AG10" s="468"/>
      <c r="AH10" s="543" t="s">
        <v>1068</v>
      </c>
      <c r="AI10" s="603"/>
      <c r="AJ10" s="469"/>
    </row>
    <row r="11" spans="1:55" s="15" customFormat="1">
      <c r="A11" s="16"/>
      <c r="B11" s="75" t="s">
        <v>124</v>
      </c>
      <c r="C11" s="76">
        <v>1</v>
      </c>
      <c r="D11" s="104"/>
      <c r="E11" s="104"/>
      <c r="F11" s="869"/>
      <c r="G11" s="76" t="s">
        <v>177</v>
      </c>
      <c r="H11" s="78"/>
      <c r="I11" s="79"/>
      <c r="J11" s="79"/>
      <c r="K11" s="79"/>
      <c r="L11" s="79"/>
      <c r="M11" s="79"/>
      <c r="N11" s="750"/>
      <c r="O11" s="508" t="str">
        <f>IFERROR(CONCATENATE("tCO2e/",VLOOKUP($N11,'Emission factors'!$C:$I,6,FALSE)),"")</f>
        <v/>
      </c>
      <c r="P11" s="508" t="str">
        <f>IFERROR(VLOOKUP($N11,'Emission factors'!$C:$BQ,9,FALSE),"")</f>
        <v/>
      </c>
      <c r="Q11" s="508" t="str">
        <f>IFERROR(VLOOKUP($N11,'Emission factors'!$C:$BQ,12,FALSE),"")</f>
        <v/>
      </c>
      <c r="R11" s="508" t="str">
        <f>IFERROR(VLOOKUP($N11,'Emission factors'!$C:$BQ,15,FALSE),"")</f>
        <v/>
      </c>
      <c r="S11" s="508" t="str">
        <f>IFERROR(VLOOKUP($N11,'Emission factors'!$C:$BQ,65,FALSE),"")</f>
        <v/>
      </c>
      <c r="T11" s="508" t="str">
        <f>IFERROR(VLOOKUP($N11,'Emission factors'!$C:$BQ,67,FALSE),"")</f>
        <v/>
      </c>
      <c r="U11" s="79"/>
      <c r="V11" s="79"/>
      <c r="W11" s="79"/>
      <c r="X11" s="79"/>
      <c r="Y11" s="79"/>
      <c r="Z11" s="79"/>
      <c r="AA11" s="677" t="str">
        <f t="shared" ref="AA11:AC12" si="0">IFERROR(IF(AND($N11="",$U11=""),"",IF($N11="",IF(V11=0,"-",V11),IF(P11=0,"0",$H11*IF($L11="",1,$L11)*P11))),"-")</f>
        <v/>
      </c>
      <c r="AB11" s="677" t="str">
        <f t="shared" si="0"/>
        <v/>
      </c>
      <c r="AC11" s="677" t="str">
        <f t="shared" si="0"/>
        <v/>
      </c>
      <c r="AD11" s="677" t="str">
        <f>IFERROR(IF(AND($N11="",$U11=""),"",IF($N11="",IF(Y11="",SUM(AA11:AC11),IF(Y11=0,"0",Y11)),IF($S11="",SUM($AA11:$AC11),IF($S11=0,"0",$H11*IF($L11="",1,$L11)*$S11)))),"-")</f>
        <v/>
      </c>
      <c r="AE11" s="677" t="str">
        <f>IFERROR(IF(AND($N11="",$U11=""),"",IF($N11="",IF(Z11=0,"-",Z11),IF(T11=0,"0",$H11*IF($L11="",1,$L11)*T11))),"-")</f>
        <v/>
      </c>
      <c r="AF11" s="79"/>
      <c r="AG11" s="170"/>
      <c r="AH11" s="544"/>
      <c r="AI11" s="545"/>
      <c r="AJ11" s="523"/>
    </row>
    <row r="12" spans="1:55" s="15" customFormat="1">
      <c r="A12" s="16"/>
      <c r="B12" s="75" t="s">
        <v>124</v>
      </c>
      <c r="C12" s="76">
        <v>1</v>
      </c>
      <c r="D12" s="80"/>
      <c r="E12" s="104"/>
      <c r="F12" s="867"/>
      <c r="G12" s="76"/>
      <c r="H12" s="78"/>
      <c r="I12" s="79"/>
      <c r="J12" s="79"/>
      <c r="K12" s="79"/>
      <c r="L12" s="79"/>
      <c r="M12" s="79"/>
      <c r="N12" s="750"/>
      <c r="O12" s="508" t="str">
        <f>IFERROR(CONCATENATE("tCO2e/",VLOOKUP($N12,'Emission factors'!$C:$I,6,FALSE)),"")</f>
        <v/>
      </c>
      <c r="P12" s="508" t="str">
        <f>IFERROR(VLOOKUP($N12,'Emission factors'!$C:$BQ,9,FALSE),"")</f>
        <v/>
      </c>
      <c r="Q12" s="508" t="str">
        <f>IFERROR(VLOOKUP($N12,'Emission factors'!$C:$BQ,12,FALSE),"")</f>
        <v/>
      </c>
      <c r="R12" s="508" t="str">
        <f>IFERROR(VLOOKUP($N12,'Emission factors'!$C:$BQ,15,FALSE),"")</f>
        <v/>
      </c>
      <c r="S12" s="508" t="str">
        <f>IFERROR(VLOOKUP($N12,'Emission factors'!$C:$BQ,65,FALSE),"")</f>
        <v/>
      </c>
      <c r="T12" s="508" t="str">
        <f>IFERROR(VLOOKUP($N12,'Emission factors'!$C:$BQ,67,FALSE),"")</f>
        <v/>
      </c>
      <c r="U12" s="79"/>
      <c r="V12" s="79"/>
      <c r="W12" s="79"/>
      <c r="X12" s="79"/>
      <c r="Y12" s="79"/>
      <c r="Z12" s="79"/>
      <c r="AA12" s="677" t="str">
        <f t="shared" si="0"/>
        <v/>
      </c>
      <c r="AB12" s="677" t="str">
        <f t="shared" si="0"/>
        <v/>
      </c>
      <c r="AC12" s="677" t="str">
        <f t="shared" si="0"/>
        <v/>
      </c>
      <c r="AD12" s="677" t="str">
        <f>IFERROR(IF(AND($N12="",$U12=""),"",IF($N12="",IF(Y12="",SUM(AA12:AC12),IF(Y12=0,"0",Y12)),IF($S12="",SUM($AA12:$AC12),IF($S12=0,"0",$H12*IF($L12="",1,$L12)*$S12)))),"-")</f>
        <v/>
      </c>
      <c r="AE12" s="677" t="str">
        <f>IFERROR(IF(AND($N12="",$U12=""),"",IF($N12="",IF(Z12=0,"-",Z12),IF(T12=0,"0",$H12*IF($L12="",1,$L12)*T12))),"-")</f>
        <v/>
      </c>
      <c r="AF12" s="79"/>
      <c r="AG12" s="170"/>
      <c r="AH12" s="612"/>
      <c r="AI12" s="545"/>
      <c r="AJ12" s="523"/>
    </row>
    <row r="13" spans="1:55">
      <c r="B13" s="82" t="s">
        <v>126</v>
      </c>
      <c r="C13" s="83">
        <v>3</v>
      </c>
      <c r="D13" s="84" t="s">
        <v>127</v>
      </c>
      <c r="E13" s="158"/>
      <c r="F13" s="704"/>
      <c r="G13" s="102"/>
      <c r="H13" s="86"/>
      <c r="I13" s="86"/>
      <c r="J13" s="86"/>
      <c r="K13" s="86"/>
      <c r="L13" s="86"/>
      <c r="M13" s="86"/>
      <c r="N13" s="845"/>
      <c r="O13" s="86"/>
      <c r="P13" s="86"/>
      <c r="Q13" s="86"/>
      <c r="R13" s="86"/>
      <c r="S13" s="86"/>
      <c r="T13" s="86"/>
      <c r="U13" s="86"/>
      <c r="V13" s="86"/>
      <c r="W13" s="86"/>
      <c r="X13" s="86"/>
      <c r="Y13" s="86"/>
      <c r="Z13" s="86"/>
      <c r="AA13" s="678"/>
      <c r="AB13" s="678"/>
      <c r="AC13" s="678"/>
      <c r="AD13" s="678"/>
      <c r="AE13" s="678"/>
      <c r="AF13" s="73"/>
      <c r="AG13" s="86"/>
      <c r="AH13" s="546"/>
      <c r="AI13" s="605"/>
      <c r="AJ13" s="470"/>
    </row>
    <row r="14" spans="1:55" s="15" customFormat="1" ht="63">
      <c r="A14" s="16"/>
      <c r="B14" s="75" t="s">
        <v>126</v>
      </c>
      <c r="C14" s="76">
        <v>3</v>
      </c>
      <c r="D14" s="77" t="s">
        <v>395</v>
      </c>
      <c r="E14" s="104" t="s">
        <v>278</v>
      </c>
      <c r="F14" s="705" t="s">
        <v>1067</v>
      </c>
      <c r="G14" s="76"/>
      <c r="H14" s="719">
        <v>1520263.4</v>
      </c>
      <c r="I14" s="79" t="s">
        <v>927</v>
      </c>
      <c r="J14" s="79"/>
      <c r="K14" s="79"/>
      <c r="L14" s="79"/>
      <c r="M14" s="79" t="s">
        <v>307</v>
      </c>
      <c r="N14" s="750"/>
      <c r="O14" s="508" t="str">
        <f>IFERROR(CONCATENATE("tCO2e/",VLOOKUP($N14,'Emission factors'!$C:$I,6,FALSE)),"")</f>
        <v/>
      </c>
      <c r="P14" s="508" t="str">
        <f>IFERROR(VLOOKUP($N14,'Emission factors'!$C:$BQ,9,FALSE),"")</f>
        <v/>
      </c>
      <c r="Q14" s="508" t="str">
        <f>IFERROR(VLOOKUP($N14,'Emission factors'!$C:$BQ,12,FALSE),"")</f>
        <v/>
      </c>
      <c r="R14" s="508" t="str">
        <f>IFERROR(VLOOKUP($N14,'Emission factors'!$C:$BQ,15,FALSE),"")</f>
        <v/>
      </c>
      <c r="S14" s="508" t="str">
        <f>IFERROR(VLOOKUP($N14,'Emission factors'!$C:$BQ,65,FALSE),"")</f>
        <v/>
      </c>
      <c r="T14" s="508" t="str">
        <f>IFERROR(VLOOKUP($N14,'Emission factors'!$C:$BQ,67,FALSE),"")</f>
        <v/>
      </c>
      <c r="U14" s="79" t="s">
        <v>1057</v>
      </c>
      <c r="V14" s="79"/>
      <c r="W14" s="79"/>
      <c r="X14" s="79"/>
      <c r="Y14" s="719">
        <v>1637774</v>
      </c>
      <c r="Z14" s="79"/>
      <c r="AA14" s="677" t="str">
        <f t="shared" ref="AA14:AC15" si="1">IFERROR(IF(AND($N14="",$U14=""),"",IF($N14="",IF(V14=0,"-",V14),IF(P14=0,"0",$H14*IF($L14="",1,$L14)*P14))),"-")</f>
        <v>-</v>
      </c>
      <c r="AB14" s="677" t="str">
        <f t="shared" si="1"/>
        <v>-</v>
      </c>
      <c r="AC14" s="677" t="str">
        <f t="shared" si="1"/>
        <v>-</v>
      </c>
      <c r="AD14" s="717">
        <f>IFERROR(IF(AND($N14="",$U14=""),"",IF($N14="",IF(Y14="",SUM(AA14:AC14),IF(Y14=0,"0",Y14)),IF($S14="",SUM($AA14:$AC14),IF($S14=0,"0",$H14*IF($L14="",1,$L14)*$S14)))),"-")</f>
        <v>1637774</v>
      </c>
      <c r="AE14" s="677" t="str">
        <f>IFERROR(IF(AND($N14="",$U14=""),"",IF($N14="",IF(Z14=0,"-",Z14),IF(T14=0,"0",$H14*IF($L14="",1,$L14)*T14))),"-")</f>
        <v>-</v>
      </c>
      <c r="AF14" s="79" t="s">
        <v>182</v>
      </c>
      <c r="AG14" s="170" t="s">
        <v>183</v>
      </c>
      <c r="AH14" s="544" t="s">
        <v>1316</v>
      </c>
      <c r="AI14" s="545" t="s">
        <v>1207</v>
      </c>
      <c r="AJ14" s="523"/>
    </row>
    <row r="15" spans="1:55" s="15" customFormat="1">
      <c r="A15" s="16"/>
      <c r="B15" s="75" t="s">
        <v>126</v>
      </c>
      <c r="C15" s="76">
        <v>3</v>
      </c>
      <c r="D15" s="104"/>
      <c r="E15" s="104"/>
      <c r="F15" s="869"/>
      <c r="G15" s="76"/>
      <c r="H15" s="78"/>
      <c r="I15" s="79"/>
      <c r="J15" s="79"/>
      <c r="K15" s="79"/>
      <c r="L15" s="79"/>
      <c r="M15" s="79"/>
      <c r="N15" s="750"/>
      <c r="O15" s="508" t="str">
        <f>IFERROR(CONCATENATE("tCO2e/",VLOOKUP($N15,'Emission factors'!$C:$I,6,FALSE)),"")</f>
        <v/>
      </c>
      <c r="P15" s="508" t="str">
        <f>IFERROR(VLOOKUP($N15,'Emission factors'!$C:$BQ,9,FALSE),"")</f>
        <v/>
      </c>
      <c r="Q15" s="508" t="str">
        <f>IFERROR(VLOOKUP($N15,'Emission factors'!$C:$BQ,12,FALSE),"")</f>
        <v/>
      </c>
      <c r="R15" s="508" t="str">
        <f>IFERROR(VLOOKUP($N15,'Emission factors'!$C:$BQ,15,FALSE),"")</f>
        <v/>
      </c>
      <c r="S15" s="508" t="str">
        <f>IFERROR(VLOOKUP($N15,'Emission factors'!$C:$BQ,65,FALSE),"")</f>
        <v/>
      </c>
      <c r="T15" s="508" t="str">
        <f>IFERROR(VLOOKUP($N15,'Emission factors'!$C:$BQ,67,FALSE),"")</f>
        <v/>
      </c>
      <c r="U15" s="79"/>
      <c r="V15" s="79"/>
      <c r="W15" s="79"/>
      <c r="X15" s="79"/>
      <c r="Y15" s="79"/>
      <c r="Z15" s="79"/>
      <c r="AA15" s="677" t="str">
        <f t="shared" si="1"/>
        <v/>
      </c>
      <c r="AB15" s="677" t="str">
        <f t="shared" si="1"/>
        <v/>
      </c>
      <c r="AC15" s="677" t="str">
        <f t="shared" si="1"/>
        <v/>
      </c>
      <c r="AD15" s="677" t="str">
        <f>IFERROR(IF(AND($N15="",$U15=""),"",IF($N15="",IF(Y15="",SUM(AA15:AC15),IF(Y15=0,"0",Y15)),IF($S15="",SUM($AA15:$AC15),IF($S15=0,"0",$H15*IF($L15="",1,$L15)*$S15)))),"-")</f>
        <v/>
      </c>
      <c r="AE15" s="677" t="str">
        <f>IFERROR(IF(AND($N15="",$U15=""),"",IF($N15="",IF(Z15=0,"-",Z15),IF(T15=0,"0",$H15*IF($L15="",1,$L15)*T15))),"-")</f>
        <v/>
      </c>
      <c r="AF15" s="79"/>
      <c r="AG15" s="170"/>
      <c r="AH15" s="612"/>
      <c r="AI15" s="545"/>
      <c r="AJ15" s="523"/>
    </row>
    <row r="16" spans="1:55">
      <c r="B16" s="110" t="s">
        <v>128</v>
      </c>
      <c r="C16" s="190">
        <v>1</v>
      </c>
      <c r="D16" s="191" t="s">
        <v>129</v>
      </c>
      <c r="E16" s="191"/>
      <c r="F16" s="877"/>
      <c r="G16" s="115" t="s">
        <v>177</v>
      </c>
      <c r="H16" s="114"/>
      <c r="I16" s="113"/>
      <c r="J16" s="113"/>
      <c r="K16" s="113"/>
      <c r="L16" s="113"/>
      <c r="M16" s="113"/>
      <c r="N16" s="883"/>
      <c r="O16" s="113"/>
      <c r="P16" s="113"/>
      <c r="Q16" s="113"/>
      <c r="R16" s="113"/>
      <c r="S16" s="113"/>
      <c r="T16" s="113"/>
      <c r="U16" s="113"/>
      <c r="V16" s="113"/>
      <c r="W16" s="113"/>
      <c r="X16" s="113"/>
      <c r="Y16" s="113"/>
      <c r="Z16" s="113"/>
      <c r="AA16" s="689"/>
      <c r="AB16" s="689"/>
      <c r="AC16" s="689"/>
      <c r="AD16" s="689"/>
      <c r="AE16" s="689"/>
      <c r="AF16" s="113"/>
      <c r="AG16" s="113"/>
      <c r="AH16" s="669" t="s">
        <v>1129</v>
      </c>
      <c r="AI16" s="471"/>
      <c r="AJ16" s="471"/>
    </row>
    <row r="17" spans="1:55" s="15" customFormat="1">
      <c r="A17" s="16"/>
      <c r="B17" s="151" t="s">
        <v>128</v>
      </c>
      <c r="C17" s="87">
        <v>1</v>
      </c>
      <c r="D17" s="192"/>
      <c r="E17" s="104"/>
      <c r="F17" s="878"/>
      <c r="G17" s="76" t="s">
        <v>177</v>
      </c>
      <c r="H17" s="78"/>
      <c r="I17" s="79"/>
      <c r="J17" s="79"/>
      <c r="K17" s="79"/>
      <c r="L17" s="79"/>
      <c r="M17" s="79"/>
      <c r="N17" s="750"/>
      <c r="O17" s="508" t="str">
        <f>IFERROR(CONCATENATE("tCO2e/",VLOOKUP($N17,'Emission factors'!$C:$I,6,FALSE)),"")</f>
        <v/>
      </c>
      <c r="P17" s="508" t="str">
        <f>IFERROR(VLOOKUP($N17,'Emission factors'!$C:$BQ,9,FALSE),"")</f>
        <v/>
      </c>
      <c r="Q17" s="508" t="str">
        <f>IFERROR(VLOOKUP($N17,'Emission factors'!$C:$BQ,12,FALSE),"")</f>
        <v/>
      </c>
      <c r="R17" s="508" t="str">
        <f>IFERROR(VLOOKUP($N17,'Emission factors'!$C:$BQ,15,FALSE),"")</f>
        <v/>
      </c>
      <c r="S17" s="508" t="str">
        <f>IFERROR(VLOOKUP($N17,'Emission factors'!$C:$BQ,65,FALSE),"")</f>
        <v/>
      </c>
      <c r="T17" s="508" t="str">
        <f>IFERROR(VLOOKUP($N17,'Emission factors'!$C:$BQ,67,FALSE),"")</f>
        <v/>
      </c>
      <c r="U17" s="79"/>
      <c r="V17" s="79"/>
      <c r="W17" s="79"/>
      <c r="X17" s="79"/>
      <c r="Y17" s="79"/>
      <c r="Z17" s="79"/>
      <c r="AA17" s="677" t="str">
        <f t="shared" ref="AA17:AC18" si="2">IFERROR(IF(AND($N17="",$U17=""),"",IF($N17="",IF(V17=0,"-",V17),IF(P17=0,"0",$H17*IF($L17="",1,$L17)*P17))),"-")</f>
        <v/>
      </c>
      <c r="AB17" s="677" t="str">
        <f t="shared" si="2"/>
        <v/>
      </c>
      <c r="AC17" s="677" t="str">
        <f t="shared" si="2"/>
        <v/>
      </c>
      <c r="AD17" s="677" t="str">
        <f>IFERROR(IF(AND($N17="",$U17=""),"",IF($N17="",IF(Y17="",SUM(AA17:AC17),IF(Y17=0,"0",Y17)),IF($S17="",SUM($AA17:$AC17),IF($S17=0,"0",$H17*IF($L17="",1,$L17)*$S17)))),"-")</f>
        <v/>
      </c>
      <c r="AE17" s="677" t="str">
        <f>IFERROR(IF(AND($N17="",$U17=""),"",IF($N17="",IF(Z17=0,"-",Z17),IF(T17=0,"0",$H17*IF($L17="",1,$L17)*T17))),"-")</f>
        <v/>
      </c>
      <c r="AF17" s="79"/>
      <c r="AG17" s="170"/>
      <c r="AH17" s="544"/>
      <c r="AI17" s="545"/>
      <c r="AJ17" s="523"/>
    </row>
    <row r="18" spans="1:55" s="15" customFormat="1" ht="15" customHeight="1" thickBot="1">
      <c r="A18" s="16"/>
      <c r="B18" s="107" t="s">
        <v>128</v>
      </c>
      <c r="C18" s="99">
        <v>1</v>
      </c>
      <c r="D18" s="193"/>
      <c r="E18" s="98"/>
      <c r="F18" s="754"/>
      <c r="G18" s="99"/>
      <c r="H18" s="525"/>
      <c r="I18" s="148"/>
      <c r="J18" s="148"/>
      <c r="K18" s="148"/>
      <c r="L18" s="148"/>
      <c r="M18" s="148"/>
      <c r="N18" s="609"/>
      <c r="O18" s="526" t="str">
        <f>IFERROR(CONCATENATE("tCO2e/",VLOOKUP($N18,'Emission factors'!$C:$I,6,FALSE)),"")</f>
        <v/>
      </c>
      <c r="P18" s="526" t="str">
        <f>IFERROR(VLOOKUP($N18,'Emission factors'!$C:$BQ,9,FALSE),"")</f>
        <v/>
      </c>
      <c r="Q18" s="526" t="str">
        <f>IFERROR(VLOOKUP($N18,'Emission factors'!$C:$BQ,12,FALSE),"")</f>
        <v/>
      </c>
      <c r="R18" s="526" t="str">
        <f>IFERROR(VLOOKUP($N18,'Emission factors'!$C:$BQ,15,FALSE),"")</f>
        <v/>
      </c>
      <c r="S18" s="526" t="str">
        <f>IFERROR(VLOOKUP($N18,'Emission factors'!$C:$BQ,65,FALSE),"")</f>
        <v/>
      </c>
      <c r="T18" s="526" t="str">
        <f>IFERROR(VLOOKUP($N18,'Emission factors'!$C:$BQ,67,FALSE),"")</f>
        <v/>
      </c>
      <c r="U18" s="99"/>
      <c r="V18" s="148"/>
      <c r="W18" s="148"/>
      <c r="X18" s="148"/>
      <c r="Y18" s="148"/>
      <c r="Z18" s="148"/>
      <c r="AA18" s="680" t="str">
        <f t="shared" si="2"/>
        <v/>
      </c>
      <c r="AB18" s="680" t="str">
        <f t="shared" si="2"/>
        <v/>
      </c>
      <c r="AC18" s="680" t="str">
        <f t="shared" si="2"/>
        <v/>
      </c>
      <c r="AD18" s="680" t="str">
        <f>IFERROR(IF(AND($N18="",$U18=""),"",IF($N18="",IF(Y18="",SUM(AA18:AC18),IF(Y18=0,"0",Y18)),IF($S18="",SUM($AA18:$AC18),IF($S18=0,"0",$H18*IF($L18="",1,$L18)*$S18)))),"-")</f>
        <v/>
      </c>
      <c r="AE18" s="680" t="str">
        <f>IFERROR(IF(AND($N18="",$U18=""),"",IF($N18="",IF(Z18=0,"-",Z18),IF(T18=0,"0",$H18*IF($L18="",1,$L18)*T18))),"-")</f>
        <v/>
      </c>
      <c r="AF18" s="148"/>
      <c r="AG18" s="600"/>
      <c r="AH18" s="613"/>
      <c r="AI18" s="548"/>
      <c r="AJ18" s="524"/>
    </row>
    <row r="19" spans="1:55" s="24" customFormat="1">
      <c r="A19" s="29"/>
      <c r="B19" s="7"/>
      <c r="C19" s="7"/>
      <c r="D19" s="8"/>
      <c r="E19" s="8"/>
      <c r="F19" s="608"/>
      <c r="G19" s="7"/>
      <c r="H19" s="7"/>
      <c r="I19" s="7"/>
      <c r="J19" s="7"/>
      <c r="K19" s="7"/>
      <c r="L19" s="7"/>
      <c r="M19" s="7"/>
      <c r="N19" s="848"/>
      <c r="O19" s="7"/>
      <c r="P19" s="7"/>
      <c r="Q19" s="7"/>
      <c r="R19" s="7"/>
      <c r="S19" s="7"/>
      <c r="T19" s="7"/>
      <c r="U19" s="7"/>
      <c r="V19" s="7"/>
      <c r="W19" s="7"/>
      <c r="X19" s="7"/>
      <c r="Y19" s="7"/>
      <c r="Z19" s="7"/>
      <c r="AA19" s="10"/>
      <c r="AB19" s="10"/>
      <c r="AC19" s="10"/>
      <c r="AD19" s="10"/>
      <c r="AE19" s="10"/>
      <c r="AF19" s="7"/>
      <c r="AG19" s="7"/>
      <c r="AH19" s="8"/>
      <c r="AI19" s="8"/>
      <c r="AJ19" s="8"/>
    </row>
    <row r="20" spans="1:55" s="35" customFormat="1" ht="18.75">
      <c r="A20" s="52"/>
      <c r="B20" s="38" t="s">
        <v>243</v>
      </c>
      <c r="C20" s="33"/>
      <c r="D20" s="32"/>
      <c r="E20" s="32"/>
      <c r="F20" s="34"/>
      <c r="G20" s="31"/>
      <c r="H20" s="33"/>
      <c r="I20" s="33"/>
      <c r="J20" s="33"/>
      <c r="K20" s="33"/>
      <c r="L20" s="33"/>
      <c r="M20" s="154"/>
      <c r="N20" s="884"/>
      <c r="O20" s="33"/>
      <c r="P20" s="33"/>
      <c r="Q20" s="33"/>
      <c r="R20" s="33"/>
      <c r="S20" s="33"/>
      <c r="T20" s="33"/>
      <c r="U20" s="33"/>
      <c r="V20" s="33"/>
      <c r="W20" s="33"/>
      <c r="X20" s="33"/>
      <c r="Y20" s="33"/>
      <c r="Z20" s="33"/>
      <c r="AA20" s="37"/>
      <c r="AB20" s="37"/>
      <c r="AC20" s="37"/>
      <c r="AD20" s="37"/>
      <c r="AE20" s="37"/>
      <c r="AF20" s="31"/>
      <c r="AG20" s="31"/>
      <c r="AH20" s="34"/>
      <c r="AI20" s="34"/>
      <c r="AJ20" s="34"/>
      <c r="AK20" s="22"/>
      <c r="AL20" s="22"/>
      <c r="AM20" s="22"/>
      <c r="AN20" s="22"/>
      <c r="AO20" s="22"/>
      <c r="AP20" s="22"/>
      <c r="AQ20" s="22"/>
      <c r="AR20" s="22"/>
      <c r="AS20" s="22"/>
      <c r="AT20" s="22"/>
      <c r="AU20" s="22"/>
      <c r="AV20" s="22"/>
      <c r="AW20" s="22"/>
      <c r="AX20" s="22"/>
      <c r="AY20" s="22"/>
      <c r="AZ20" s="22"/>
      <c r="BA20" s="22"/>
      <c r="BB20" s="22"/>
      <c r="BC20" s="22"/>
    </row>
    <row r="21" spans="1:55" s="22" customFormat="1" ht="16.5" thickBot="1">
      <c r="A21" s="52"/>
      <c r="B21" s="18"/>
      <c r="C21" s="18"/>
      <c r="D21" s="19"/>
      <c r="E21" s="19"/>
      <c r="F21" s="21"/>
      <c r="G21" s="20"/>
      <c r="H21" s="18"/>
      <c r="I21" s="18"/>
      <c r="J21" s="18"/>
      <c r="K21" s="18"/>
      <c r="L21" s="576"/>
      <c r="M21" s="11"/>
      <c r="N21" s="776"/>
      <c r="O21" s="576"/>
      <c r="P21" s="576"/>
      <c r="Q21" s="576"/>
      <c r="R21" s="576"/>
      <c r="S21" s="576"/>
      <c r="T21" s="576"/>
      <c r="U21" s="576"/>
      <c r="V21" s="576"/>
      <c r="W21" s="576"/>
      <c r="X21" s="576"/>
      <c r="Y21" s="576"/>
      <c r="Z21" s="576"/>
      <c r="AA21" s="30"/>
      <c r="AB21" s="30"/>
      <c r="AC21" s="30"/>
      <c r="AD21" s="30"/>
      <c r="AE21" s="30"/>
      <c r="AF21" s="20"/>
      <c r="AG21" s="20"/>
      <c r="AH21" s="21"/>
      <c r="AI21" s="21"/>
      <c r="AJ21" s="21"/>
    </row>
    <row r="22" spans="1:55" s="5" customFormat="1" ht="15.95" customHeight="1">
      <c r="A22" s="53"/>
      <c r="B22" s="1139" t="s">
        <v>39</v>
      </c>
      <c r="C22" s="1133" t="s">
        <v>40</v>
      </c>
      <c r="D22" s="1056" t="s">
        <v>245</v>
      </c>
      <c r="E22" s="1147"/>
      <c r="F22" s="1144"/>
      <c r="G22" s="1134" t="s">
        <v>300</v>
      </c>
      <c r="H22" s="1141" t="s">
        <v>171</v>
      </c>
      <c r="I22" s="1142"/>
      <c r="J22" s="1130" t="s">
        <v>871</v>
      </c>
      <c r="K22" s="1131"/>
      <c r="L22" s="1132"/>
      <c r="M22" s="1063" t="s">
        <v>305</v>
      </c>
      <c r="N22" s="1063" t="s">
        <v>798</v>
      </c>
      <c r="O22" s="1112" t="s">
        <v>798</v>
      </c>
      <c r="P22" s="1112"/>
      <c r="Q22" s="1112"/>
      <c r="R22" s="1112"/>
      <c r="S22" s="1112"/>
      <c r="T22" s="1113"/>
      <c r="U22" s="1119" t="s">
        <v>967</v>
      </c>
      <c r="V22" s="1114" t="s">
        <v>975</v>
      </c>
      <c r="W22" s="1114"/>
      <c r="X22" s="1114"/>
      <c r="Y22" s="1114"/>
      <c r="Z22" s="1114"/>
      <c r="AA22" s="1148" t="s">
        <v>292</v>
      </c>
      <c r="AB22" s="1149"/>
      <c r="AC22" s="1149"/>
      <c r="AD22" s="1149"/>
      <c r="AE22" s="1150"/>
      <c r="AF22" s="1133" t="s">
        <v>43</v>
      </c>
      <c r="AG22" s="1133"/>
      <c r="AH22" s="1128" t="s">
        <v>981</v>
      </c>
      <c r="AI22" s="1073" t="s">
        <v>734</v>
      </c>
      <c r="AJ22" s="1126" t="s">
        <v>850</v>
      </c>
      <c r="AK22" s="14"/>
      <c r="AL22" s="14"/>
      <c r="AM22" s="14"/>
      <c r="AN22" s="14"/>
      <c r="AO22" s="14"/>
      <c r="AP22" s="14"/>
      <c r="AQ22" s="14"/>
      <c r="AR22" s="14"/>
      <c r="AS22" s="14"/>
      <c r="AT22" s="14"/>
      <c r="AU22" s="14"/>
      <c r="AV22" s="14"/>
      <c r="AW22" s="14"/>
      <c r="AX22" s="14"/>
      <c r="AY22" s="14"/>
      <c r="AZ22" s="14"/>
      <c r="BA22" s="14"/>
      <c r="BB22" s="14"/>
      <c r="BC22" s="14"/>
    </row>
    <row r="23" spans="1:55" s="5" customFormat="1" ht="19.5" thickBot="1">
      <c r="A23" s="53"/>
      <c r="B23" s="1140"/>
      <c r="C23" s="1135"/>
      <c r="D23" s="455" t="s">
        <v>246</v>
      </c>
      <c r="E23" s="455" t="s">
        <v>290</v>
      </c>
      <c r="F23" s="811" t="s">
        <v>244</v>
      </c>
      <c r="G23" s="1135"/>
      <c r="H23" s="577" t="s">
        <v>172</v>
      </c>
      <c r="I23" s="577" t="s">
        <v>173</v>
      </c>
      <c r="J23" s="528" t="s">
        <v>831</v>
      </c>
      <c r="K23" s="528" t="s">
        <v>832</v>
      </c>
      <c r="L23" s="528" t="s">
        <v>965</v>
      </c>
      <c r="M23" s="1064"/>
      <c r="N23" s="1064"/>
      <c r="O23" s="537" t="s">
        <v>173</v>
      </c>
      <c r="P23" s="538" t="s">
        <v>969</v>
      </c>
      <c r="Q23" s="538" t="s">
        <v>970</v>
      </c>
      <c r="R23" s="538" t="s">
        <v>971</v>
      </c>
      <c r="S23" s="538" t="s">
        <v>972</v>
      </c>
      <c r="T23" s="538" t="s">
        <v>973</v>
      </c>
      <c r="U23" s="1120"/>
      <c r="V23" s="538" t="s">
        <v>969</v>
      </c>
      <c r="W23" s="538" t="s">
        <v>970</v>
      </c>
      <c r="X23" s="538" t="s">
        <v>971</v>
      </c>
      <c r="Y23" s="538" t="s">
        <v>972</v>
      </c>
      <c r="Z23" s="538" t="s">
        <v>973</v>
      </c>
      <c r="AA23" s="100" t="s">
        <v>293</v>
      </c>
      <c r="AB23" s="100" t="s">
        <v>294</v>
      </c>
      <c r="AC23" s="100" t="s">
        <v>295</v>
      </c>
      <c r="AD23" s="100" t="s">
        <v>296</v>
      </c>
      <c r="AE23" s="100" t="s">
        <v>297</v>
      </c>
      <c r="AF23" s="577" t="s">
        <v>46</v>
      </c>
      <c r="AG23" s="577" t="s">
        <v>47</v>
      </c>
      <c r="AH23" s="1129"/>
      <c r="AI23" s="1074"/>
      <c r="AJ23" s="1127"/>
      <c r="AK23" s="14"/>
      <c r="AL23" s="14"/>
      <c r="AM23" s="14"/>
      <c r="AN23" s="14"/>
      <c r="AO23" s="14"/>
      <c r="AP23" s="14"/>
      <c r="AQ23" s="14"/>
      <c r="AR23" s="14"/>
      <c r="AS23" s="14"/>
      <c r="AT23" s="14"/>
      <c r="AU23" s="14"/>
      <c r="AV23" s="14"/>
      <c r="AW23" s="14"/>
      <c r="AX23" s="14"/>
      <c r="AY23" s="14"/>
      <c r="AZ23" s="14"/>
      <c r="BA23" s="14"/>
      <c r="BB23" s="14"/>
      <c r="BC23" s="14"/>
    </row>
    <row r="24" spans="1:55" ht="15" customHeight="1">
      <c r="B24" s="194" t="s">
        <v>131</v>
      </c>
      <c r="C24" s="195">
        <v>1</v>
      </c>
      <c r="D24" s="188" t="s">
        <v>301</v>
      </c>
      <c r="E24" s="189"/>
      <c r="F24" s="812"/>
      <c r="G24" s="620" t="s">
        <v>177</v>
      </c>
      <c r="H24" s="618"/>
      <c r="I24" s="619"/>
      <c r="J24" s="619"/>
      <c r="K24" s="619"/>
      <c r="L24" s="619"/>
      <c r="M24" s="468"/>
      <c r="N24" s="875"/>
      <c r="O24" s="619"/>
      <c r="P24" s="619"/>
      <c r="Q24" s="619"/>
      <c r="R24" s="619"/>
      <c r="S24" s="619"/>
      <c r="T24" s="619"/>
      <c r="U24" s="619"/>
      <c r="V24" s="619"/>
      <c r="W24" s="619"/>
      <c r="X24" s="619"/>
      <c r="Y24" s="619"/>
      <c r="Z24" s="619"/>
      <c r="AA24" s="676"/>
      <c r="AB24" s="676"/>
      <c r="AC24" s="676"/>
      <c r="AD24" s="676"/>
      <c r="AE24" s="676"/>
      <c r="AF24" s="468"/>
      <c r="AG24" s="468"/>
      <c r="AH24" s="543" t="s">
        <v>1130</v>
      </c>
      <c r="AI24" s="603"/>
      <c r="AJ24" s="469"/>
    </row>
    <row r="25" spans="1:55" s="15" customFormat="1">
      <c r="A25" s="16"/>
      <c r="B25" s="93" t="s">
        <v>131</v>
      </c>
      <c r="C25" s="94">
        <v>1</v>
      </c>
      <c r="D25" s="104"/>
      <c r="E25" s="104"/>
      <c r="F25" s="869"/>
      <c r="G25" s="76" t="s">
        <v>177</v>
      </c>
      <c r="H25" s="78"/>
      <c r="I25" s="79"/>
      <c r="J25" s="79"/>
      <c r="K25" s="79"/>
      <c r="L25" s="79"/>
      <c r="M25" s="79"/>
      <c r="N25" s="750"/>
      <c r="O25" s="508" t="str">
        <f>IFERROR(CONCATENATE("tCO2e/",VLOOKUP($N25,'Emission factors'!$C:$I,6,FALSE)),"")</f>
        <v/>
      </c>
      <c r="P25" s="508" t="str">
        <f>IFERROR(VLOOKUP($N25,'Emission factors'!$C:$BQ,9,FALSE),"")</f>
        <v/>
      </c>
      <c r="Q25" s="508" t="str">
        <f>IFERROR(VLOOKUP($N25,'Emission factors'!$C:$BQ,12,FALSE),"")</f>
        <v/>
      </c>
      <c r="R25" s="508" t="str">
        <f>IFERROR(VLOOKUP($N25,'Emission factors'!$C:$BQ,15,FALSE),"")</f>
        <v/>
      </c>
      <c r="S25" s="508" t="str">
        <f>IFERROR(VLOOKUP($N25,'Emission factors'!$C:$BQ,65,FALSE),"")</f>
        <v/>
      </c>
      <c r="T25" s="508" t="str">
        <f>IFERROR(VLOOKUP($N25,'Emission factors'!$C:$BQ,67,FALSE),"")</f>
        <v/>
      </c>
      <c r="U25" s="79" t="s">
        <v>1057</v>
      </c>
      <c r="V25" s="79"/>
      <c r="W25" s="79"/>
      <c r="X25" s="79"/>
      <c r="Y25" s="79" t="s">
        <v>177</v>
      </c>
      <c r="Z25" s="79"/>
      <c r="AA25" s="677" t="str">
        <f t="shared" ref="AA25:AC26" si="3">IFERROR(IF(AND($N25="",$U25=""),"",IF($N25="",IF(V25=0,"-",V25),IF(P25=0,"0",$H25*IF($L25="",1,$L25)*P25))),"-")</f>
        <v>-</v>
      </c>
      <c r="AB25" s="677" t="str">
        <f t="shared" si="3"/>
        <v>-</v>
      </c>
      <c r="AC25" s="677" t="str">
        <f t="shared" si="3"/>
        <v>-</v>
      </c>
      <c r="AD25" s="677" t="str">
        <f>IFERROR(IF(AND($N25="",$U25=""),"",IF($N25="",IF(Y25="",SUM(AA25:AC25),IF(Y25=0,"0",Y25)),IF($S25="",SUM($AA25:$AC25),IF($S25=0,"0",$H25*IF($L25="",1,$L25)*$S25)))),"-")</f>
        <v>NO</v>
      </c>
      <c r="AE25" s="677" t="str">
        <f>IFERROR(IF(AND($N25="",$U25=""),"",IF($N25="",IF(Z25=0,"-",Z25),IF(T25=0,"0",$H25*IF($L25="",1,$L25)*T25))),"-")</f>
        <v>-</v>
      </c>
      <c r="AF25" s="79"/>
      <c r="AG25" s="170"/>
      <c r="AH25" s="544"/>
      <c r="AI25" s="545"/>
      <c r="AJ25" s="523"/>
    </row>
    <row r="26" spans="1:55" s="15" customFormat="1">
      <c r="A26" s="16"/>
      <c r="B26" s="93" t="s">
        <v>131</v>
      </c>
      <c r="C26" s="94">
        <v>1</v>
      </c>
      <c r="D26" s="80"/>
      <c r="E26" s="104"/>
      <c r="F26" s="867"/>
      <c r="G26" s="76"/>
      <c r="H26" s="78"/>
      <c r="I26" s="79"/>
      <c r="J26" s="79"/>
      <c r="K26" s="79"/>
      <c r="L26" s="79"/>
      <c r="M26" s="79"/>
      <c r="N26" s="750"/>
      <c r="O26" s="508" t="str">
        <f>IFERROR(CONCATENATE("tCO2e/",VLOOKUP($N26,'Emission factors'!$C:$I,6,FALSE)),"")</f>
        <v/>
      </c>
      <c r="P26" s="508" t="str">
        <f>IFERROR(VLOOKUP($N26,'Emission factors'!$C:$BQ,9,FALSE),"")</f>
        <v/>
      </c>
      <c r="Q26" s="508" t="str">
        <f>IFERROR(VLOOKUP($N26,'Emission factors'!$C:$BQ,12,FALSE),"")</f>
        <v/>
      </c>
      <c r="R26" s="508" t="str">
        <f>IFERROR(VLOOKUP($N26,'Emission factors'!$C:$BQ,15,FALSE),"")</f>
        <v/>
      </c>
      <c r="S26" s="508" t="str">
        <f>IFERROR(VLOOKUP($N26,'Emission factors'!$C:$BQ,65,FALSE),"")</f>
        <v/>
      </c>
      <c r="T26" s="508" t="str">
        <f>IFERROR(VLOOKUP($N26,'Emission factors'!$C:$BQ,67,FALSE),"")</f>
        <v/>
      </c>
      <c r="U26" s="79"/>
      <c r="V26" s="79"/>
      <c r="W26" s="79"/>
      <c r="X26" s="79"/>
      <c r="Y26" s="79"/>
      <c r="Z26" s="79"/>
      <c r="AA26" s="677" t="str">
        <f t="shared" si="3"/>
        <v/>
      </c>
      <c r="AB26" s="677" t="str">
        <f t="shared" si="3"/>
        <v/>
      </c>
      <c r="AC26" s="677" t="str">
        <f t="shared" si="3"/>
        <v/>
      </c>
      <c r="AD26" s="677" t="str">
        <f>IFERROR(IF(AND($N26="",$U26=""),"",IF($N26="",IF(Y26="",SUM(AA26:AC26),IF(Y26=0,"0",Y26)),IF($S26="",SUM($AA26:$AC26),IF($S26=0,"0",$H26*IF($L26="",1,$L26)*$S26)))),"-")</f>
        <v/>
      </c>
      <c r="AE26" s="677" t="str">
        <f>IFERROR(IF(AND($N26="",$U26=""),"",IF($N26="",IF(Z26=0,"-",Z26),IF(T26=0,"0",$H26*IF($L26="",1,$L26)*T26))),"-")</f>
        <v/>
      </c>
      <c r="AF26" s="79"/>
      <c r="AG26" s="170"/>
      <c r="AH26" s="612"/>
      <c r="AI26" s="545"/>
      <c r="AJ26" s="523"/>
    </row>
    <row r="27" spans="1:55">
      <c r="B27" s="194" t="s">
        <v>132</v>
      </c>
      <c r="C27" s="196">
        <v>3</v>
      </c>
      <c r="D27" s="84" t="s">
        <v>133</v>
      </c>
      <c r="E27" s="158"/>
      <c r="F27" s="704"/>
      <c r="G27" s="747"/>
      <c r="H27" s="86"/>
      <c r="I27" s="86"/>
      <c r="J27" s="86"/>
      <c r="K27" s="86"/>
      <c r="L27" s="86"/>
      <c r="M27" s="86"/>
      <c r="N27" s="845"/>
      <c r="O27" s="86"/>
      <c r="P27" s="86"/>
      <c r="Q27" s="86"/>
      <c r="R27" s="86"/>
      <c r="S27" s="86"/>
      <c r="T27" s="86"/>
      <c r="U27" s="86"/>
      <c r="V27" s="86"/>
      <c r="W27" s="86"/>
      <c r="X27" s="86"/>
      <c r="Y27" s="86"/>
      <c r="Z27" s="86"/>
      <c r="AA27" s="678"/>
      <c r="AB27" s="678"/>
      <c r="AC27" s="678"/>
      <c r="AD27" s="678"/>
      <c r="AE27" s="678"/>
      <c r="AF27" s="73"/>
      <c r="AG27" s="86"/>
      <c r="AH27" s="546"/>
      <c r="AI27" s="605"/>
      <c r="AJ27" s="470"/>
    </row>
    <row r="28" spans="1:55" s="15" customFormat="1" ht="31.5">
      <c r="A28" s="16"/>
      <c r="B28" s="93" t="s">
        <v>132</v>
      </c>
      <c r="C28" s="94">
        <v>3</v>
      </c>
      <c r="D28" s="77" t="s">
        <v>1131</v>
      </c>
      <c r="E28" s="104" t="s">
        <v>216</v>
      </c>
      <c r="F28" s="705" t="s">
        <v>1132</v>
      </c>
      <c r="G28" s="748"/>
      <c r="H28" s="719">
        <v>105233</v>
      </c>
      <c r="I28" s="79" t="s">
        <v>927</v>
      </c>
      <c r="J28" s="79"/>
      <c r="K28" s="79"/>
      <c r="L28" s="79"/>
      <c r="M28" s="79" t="s">
        <v>307</v>
      </c>
      <c r="N28" s="750" t="s">
        <v>1274</v>
      </c>
      <c r="O28" s="508" t="str">
        <f>IFERROR(CONCATENATE("tCO2e/",VLOOKUP($N28,'Emission factors'!$C:$I,6,FALSE)),"")</f>
        <v>tCO2e/t</v>
      </c>
      <c r="P28" s="508">
        <f>IFERROR(VLOOKUP($N28,'Emission factors'!$C:$BQ,9,FALSE),"")</f>
        <v>0</v>
      </c>
      <c r="Q28" s="508">
        <f>IFERROR(VLOOKUP($N28,'Emission factors'!$C:$BQ,12,FALSE),"")</f>
        <v>0.05</v>
      </c>
      <c r="R28" s="508">
        <f>IFERROR(VLOOKUP($N28,'Emission factors'!$C:$BQ,15,FALSE),"")</f>
        <v>0</v>
      </c>
      <c r="S28" s="508" t="str">
        <f>IFERROR(VLOOKUP($N28,'Emission factors'!$C:$BQ,65,FALSE),"")</f>
        <v/>
      </c>
      <c r="T28" s="508" t="str">
        <f>IFERROR(VLOOKUP($N28,'Emission factors'!$C:$BQ,67,FALSE),"")</f>
        <v/>
      </c>
      <c r="U28" s="79"/>
      <c r="V28" s="79"/>
      <c r="W28" s="79"/>
      <c r="X28" s="79"/>
      <c r="Y28" s="79"/>
      <c r="Z28" s="79"/>
      <c r="AA28" s="677" t="str">
        <f t="shared" ref="AA28:AC29" si="4">IFERROR(IF(AND($N28="",$U28=""),"",IF($N28="",IF(V28=0,"-",V28),IF(P28=0,"0",$H28*IF($L28="",1,$L28)*P28))),"-")</f>
        <v>0</v>
      </c>
      <c r="AB28" s="717">
        <f t="shared" si="4"/>
        <v>5261.6500000000005</v>
      </c>
      <c r="AC28" s="677" t="str">
        <f t="shared" si="4"/>
        <v>0</v>
      </c>
      <c r="AD28" s="717">
        <f>IFERROR(IF(AND($N28="",$U28=""),"",IF($N28="",IF(Y28="",SUM(AA28:AC28),IF(Y28=0,"0",Y28)),IF($S28="",SUM($AA28:$AC28),IF($S28=0,"0",$H28*IF($L28="",1,$L28)*$S28)))),"-")</f>
        <v>5261.6500000000005</v>
      </c>
      <c r="AE28" s="677" t="str">
        <f>IFERROR(IF(AND($N28="",$U28=""),"",IF($N28="",IF(Z28=0,"-",Z28),IF(T28=0,"0",$H28*IF($L28="",1,$L28)*T28))),"-")</f>
        <v>-</v>
      </c>
      <c r="AF28" s="79" t="s">
        <v>182</v>
      </c>
      <c r="AG28" s="170" t="s">
        <v>181</v>
      </c>
      <c r="AH28" s="544" t="s">
        <v>1275</v>
      </c>
      <c r="AI28" s="545" t="s">
        <v>1207</v>
      </c>
      <c r="AJ28" s="523"/>
    </row>
    <row r="29" spans="1:55" s="15" customFormat="1">
      <c r="A29" s="16"/>
      <c r="B29" s="93" t="s">
        <v>132</v>
      </c>
      <c r="C29" s="94">
        <v>3</v>
      </c>
      <c r="D29" s="80"/>
      <c r="E29" s="104"/>
      <c r="F29" s="867"/>
      <c r="G29" s="76"/>
      <c r="H29" s="78"/>
      <c r="I29" s="79"/>
      <c r="J29" s="79"/>
      <c r="K29" s="79"/>
      <c r="L29" s="79"/>
      <c r="M29" s="79"/>
      <c r="N29" s="750"/>
      <c r="O29" s="508" t="str">
        <f>IFERROR(CONCATENATE("tCO2e/",VLOOKUP($N29,'Emission factors'!$C:$I,6,FALSE)),"")</f>
        <v/>
      </c>
      <c r="P29" s="508" t="str">
        <f>IFERROR(VLOOKUP($N29,'Emission factors'!$C:$BQ,9,FALSE),"")</f>
        <v/>
      </c>
      <c r="Q29" s="508" t="str">
        <f>IFERROR(VLOOKUP($N29,'Emission factors'!$C:$BQ,12,FALSE),"")</f>
        <v/>
      </c>
      <c r="R29" s="508" t="str">
        <f>IFERROR(VLOOKUP($N29,'Emission factors'!$C:$BQ,15,FALSE),"")</f>
        <v/>
      </c>
      <c r="S29" s="508" t="str">
        <f>IFERROR(VLOOKUP($N29,'Emission factors'!$C:$BQ,65,FALSE),"")</f>
        <v/>
      </c>
      <c r="T29" s="508" t="str">
        <f>IFERROR(VLOOKUP($N29,'Emission factors'!$C:$BQ,67,FALSE),"")</f>
        <v/>
      </c>
      <c r="U29" s="79"/>
      <c r="V29" s="79"/>
      <c r="W29" s="79"/>
      <c r="X29" s="79"/>
      <c r="Y29" s="79"/>
      <c r="Z29" s="79"/>
      <c r="AA29" s="677" t="str">
        <f t="shared" si="4"/>
        <v/>
      </c>
      <c r="AB29" s="677" t="str">
        <f t="shared" si="4"/>
        <v/>
      </c>
      <c r="AC29" s="677" t="str">
        <f t="shared" si="4"/>
        <v/>
      </c>
      <c r="AD29" s="677" t="str">
        <f>IFERROR(IF(AND($N29="",$U29=""),"",IF($N29="",IF(Y29="",SUM(AA29:AC29),IF(Y29=0,"0",Y29)),IF($S29="",SUM($AA29:$AC29),IF($S29=0,"0",$H29*IF($L29="",1,$L29)*$S29)))),"-")</f>
        <v/>
      </c>
      <c r="AE29" s="677" t="str">
        <f>IFERROR(IF(AND($N29="",$U29=""),"",IF($N29="",IF(Z29=0,"-",Z29),IF(T29=0,"0",$H29*IF($L29="",1,$L29)*T29))),"-")</f>
        <v/>
      </c>
      <c r="AF29" s="79"/>
      <c r="AG29" s="170"/>
      <c r="AH29" s="612"/>
      <c r="AI29" s="545"/>
      <c r="AJ29" s="523"/>
    </row>
    <row r="30" spans="1:55">
      <c r="B30" s="110" t="s">
        <v>134</v>
      </c>
      <c r="C30" s="111">
        <v>1</v>
      </c>
      <c r="D30" s="112" t="s">
        <v>135</v>
      </c>
      <c r="E30" s="197"/>
      <c r="F30" s="815"/>
      <c r="G30" s="115" t="s">
        <v>177</v>
      </c>
      <c r="H30" s="114"/>
      <c r="I30" s="113"/>
      <c r="J30" s="113"/>
      <c r="K30" s="113"/>
      <c r="L30" s="113"/>
      <c r="M30" s="113"/>
      <c r="N30" s="883"/>
      <c r="O30" s="113"/>
      <c r="P30" s="113"/>
      <c r="Q30" s="113"/>
      <c r="R30" s="113"/>
      <c r="S30" s="113"/>
      <c r="T30" s="113"/>
      <c r="U30" s="113"/>
      <c r="V30" s="113"/>
      <c r="W30" s="113"/>
      <c r="X30" s="113"/>
      <c r="Y30" s="113"/>
      <c r="Z30" s="113"/>
      <c r="AA30" s="689"/>
      <c r="AB30" s="689"/>
      <c r="AC30" s="689"/>
      <c r="AD30" s="689"/>
      <c r="AE30" s="689"/>
      <c r="AF30" s="113"/>
      <c r="AG30" s="113"/>
      <c r="AH30" s="624" t="s">
        <v>1248</v>
      </c>
      <c r="AI30" s="471"/>
      <c r="AJ30" s="471"/>
    </row>
    <row r="31" spans="1:55" s="15" customFormat="1">
      <c r="A31" s="16"/>
      <c r="B31" s="93" t="s">
        <v>134</v>
      </c>
      <c r="C31" s="94">
        <v>1</v>
      </c>
      <c r="D31" s="77"/>
      <c r="E31" s="104"/>
      <c r="F31" s="705"/>
      <c r="G31" s="76"/>
      <c r="H31" s="78"/>
      <c r="I31" s="79"/>
      <c r="J31" s="79"/>
      <c r="K31" s="79"/>
      <c r="L31" s="79"/>
      <c r="M31" s="79"/>
      <c r="N31" s="750"/>
      <c r="O31" s="508" t="str">
        <f>IFERROR(CONCATENATE("tCO2e/",VLOOKUP($N31,'Emission factors'!$C:$I,6,FALSE)),"")</f>
        <v/>
      </c>
      <c r="P31" s="508" t="str">
        <f>IFERROR(VLOOKUP($N31,'Emission factors'!$C:$BQ,9,FALSE),"")</f>
        <v/>
      </c>
      <c r="Q31" s="508" t="str">
        <f>IFERROR(VLOOKUP($N31,'Emission factors'!$C:$BQ,12,FALSE),"")</f>
        <v/>
      </c>
      <c r="R31" s="508" t="str">
        <f>IFERROR(VLOOKUP($N31,'Emission factors'!$C:$BQ,15,FALSE),"")</f>
        <v/>
      </c>
      <c r="S31" s="508" t="str">
        <f>IFERROR(VLOOKUP($N31,'Emission factors'!$C:$BQ,65,FALSE),"")</f>
        <v/>
      </c>
      <c r="T31" s="508" t="str">
        <f>IFERROR(VLOOKUP($N31,'Emission factors'!$C:$BQ,67,FALSE),"")</f>
        <v/>
      </c>
      <c r="U31" s="79"/>
      <c r="V31" s="79"/>
      <c r="W31" s="79"/>
      <c r="X31" s="79"/>
      <c r="Y31" s="79"/>
      <c r="Z31" s="79"/>
      <c r="AA31" s="677" t="str">
        <f t="shared" ref="AA31:AC32" si="5">IFERROR(IF(AND($N31="",$U31=""),"",IF($N31="",IF(V31=0,"-",V31),IF(P31=0,"0",$H31*IF($L31="",1,$L31)*P31))),"-")</f>
        <v/>
      </c>
      <c r="AB31" s="677" t="str">
        <f t="shared" si="5"/>
        <v/>
      </c>
      <c r="AC31" s="677" t="str">
        <f t="shared" si="5"/>
        <v/>
      </c>
      <c r="AD31" s="677" t="str">
        <f>IFERROR(IF(AND($N31="",$U31=""),"",IF($N31="",IF(Y31="",SUM(AA31:AC31),IF(Y31=0,"0",Y31)),IF($S31="",SUM($AA31:$AC31),IF($S31=0,"0",$H31*IF($L31="",1,$L31)*$S31)))),"-")</f>
        <v/>
      </c>
      <c r="AE31" s="677" t="str">
        <f>IFERROR(IF(AND($N31="",$U31=""),"",IF($N31="",IF(Z31=0,"-",Z31),IF(T31=0,"0",$H31*IF($L31="",1,$L31)*T31))),"-")</f>
        <v/>
      </c>
      <c r="AF31" s="79"/>
      <c r="AG31" s="170"/>
      <c r="AH31" s="544"/>
      <c r="AI31" s="545"/>
      <c r="AJ31" s="523"/>
    </row>
    <row r="32" spans="1:55" s="15" customFormat="1" ht="15" customHeight="1" thickBot="1">
      <c r="A32" s="16"/>
      <c r="B32" s="107" t="s">
        <v>134</v>
      </c>
      <c r="C32" s="99">
        <v>1</v>
      </c>
      <c r="D32" s="193"/>
      <c r="E32" s="98"/>
      <c r="F32" s="879"/>
      <c r="G32" s="99"/>
      <c r="H32" s="525"/>
      <c r="I32" s="148"/>
      <c r="J32" s="148"/>
      <c r="K32" s="148"/>
      <c r="L32" s="148"/>
      <c r="M32" s="148"/>
      <c r="N32" s="609"/>
      <c r="O32" s="526" t="str">
        <f>IFERROR(CONCATENATE("tCO2e/",VLOOKUP($N32,'Emission factors'!$C:$I,6,FALSE)),"")</f>
        <v/>
      </c>
      <c r="P32" s="526" t="str">
        <f>IFERROR(VLOOKUP($N32,'Emission factors'!$C:$BQ,9,FALSE),"")</f>
        <v/>
      </c>
      <c r="Q32" s="526" t="str">
        <f>IFERROR(VLOOKUP($N32,'Emission factors'!$C:$BQ,12,FALSE),"")</f>
        <v/>
      </c>
      <c r="R32" s="526" t="str">
        <f>IFERROR(VLOOKUP($N32,'Emission factors'!$C:$BQ,15,FALSE),"")</f>
        <v/>
      </c>
      <c r="S32" s="526" t="str">
        <f>IFERROR(VLOOKUP($N32,'Emission factors'!$C:$BQ,65,FALSE),"")</f>
        <v/>
      </c>
      <c r="T32" s="526" t="str">
        <f>IFERROR(VLOOKUP($N32,'Emission factors'!$C:$BQ,67,FALSE),"")</f>
        <v/>
      </c>
      <c r="U32" s="99"/>
      <c r="V32" s="148"/>
      <c r="W32" s="148"/>
      <c r="X32" s="148"/>
      <c r="Y32" s="148"/>
      <c r="Z32" s="148"/>
      <c r="AA32" s="680" t="str">
        <f t="shared" si="5"/>
        <v/>
      </c>
      <c r="AB32" s="680" t="str">
        <f t="shared" si="5"/>
        <v/>
      </c>
      <c r="AC32" s="680" t="str">
        <f t="shared" si="5"/>
        <v/>
      </c>
      <c r="AD32" s="680" t="str">
        <f>IFERROR(IF(AND($N32="",$U32=""),"",IF($N32="",IF(Y32="",SUM(AA32:AC32),IF(Y32=0,"0",Y32)),IF($S32="",SUM($AA32:$AC32),IF($S32=0,"0",$H32*IF($L32="",1,$L32)*$S32)))),"-")</f>
        <v/>
      </c>
      <c r="AE32" s="680" t="str">
        <f>IFERROR(IF(AND($N32="",$U32=""),"",IF($N32="",IF(Z32=0,"-",Z32),IF(T32=0,"0",$H32*IF($L32="",1,$L32)*T32))),"-")</f>
        <v/>
      </c>
      <c r="AF32" s="148"/>
      <c r="AG32" s="600"/>
      <c r="AH32" s="613"/>
      <c r="AI32" s="548"/>
      <c r="AJ32" s="524"/>
    </row>
    <row r="33" spans="1:55" s="24" customFormat="1">
      <c r="A33" s="29"/>
      <c r="B33" s="7"/>
      <c r="C33" s="7"/>
      <c r="D33" s="8"/>
      <c r="E33" s="8"/>
      <c r="F33" s="608"/>
      <c r="G33" s="7"/>
      <c r="H33" s="7"/>
      <c r="I33" s="7"/>
      <c r="J33" s="7"/>
      <c r="K33" s="7"/>
      <c r="L33" s="7"/>
      <c r="M33" s="7"/>
      <c r="N33" s="848"/>
      <c r="O33" s="7"/>
      <c r="P33" s="7"/>
      <c r="Q33" s="7"/>
      <c r="R33" s="7"/>
      <c r="S33" s="7"/>
      <c r="T33" s="7"/>
      <c r="U33" s="7"/>
      <c r="V33" s="7"/>
      <c r="W33" s="7"/>
      <c r="X33" s="7"/>
      <c r="Y33" s="7"/>
      <c r="Z33" s="7"/>
      <c r="AA33" s="10"/>
      <c r="AB33" s="10"/>
      <c r="AC33" s="10"/>
      <c r="AD33" s="10"/>
      <c r="AE33" s="10"/>
      <c r="AF33" s="7"/>
      <c r="AG33" s="7"/>
      <c r="AH33" s="8"/>
      <c r="AI33" s="8"/>
      <c r="AJ33" s="8"/>
    </row>
    <row r="34" spans="1:55" s="35" customFormat="1" ht="18.75">
      <c r="A34" s="54"/>
      <c r="B34" s="38" t="s">
        <v>242</v>
      </c>
      <c r="C34" s="33"/>
      <c r="D34" s="32"/>
      <c r="E34" s="32"/>
      <c r="F34" s="34"/>
      <c r="G34" s="31"/>
      <c r="H34" s="33"/>
      <c r="I34" s="33"/>
      <c r="J34" s="33"/>
      <c r="K34" s="33"/>
      <c r="L34" s="33"/>
      <c r="M34" s="154"/>
      <c r="N34" s="884"/>
      <c r="O34" s="33"/>
      <c r="P34" s="33"/>
      <c r="Q34" s="33"/>
      <c r="R34" s="33"/>
      <c r="S34" s="33"/>
      <c r="T34" s="33"/>
      <c r="U34" s="33"/>
      <c r="V34" s="33"/>
      <c r="W34" s="33"/>
      <c r="X34" s="33"/>
      <c r="Y34" s="33"/>
      <c r="Z34" s="33"/>
      <c r="AA34" s="37"/>
      <c r="AB34" s="37"/>
      <c r="AC34" s="37"/>
      <c r="AD34" s="37"/>
      <c r="AE34" s="37"/>
      <c r="AF34" s="31"/>
      <c r="AG34" s="31"/>
      <c r="AH34" s="34"/>
      <c r="AI34" s="34"/>
      <c r="AJ34" s="34"/>
      <c r="AK34" s="22"/>
      <c r="AL34" s="22"/>
      <c r="AM34" s="22"/>
      <c r="AN34" s="22"/>
      <c r="AO34" s="22"/>
      <c r="AP34" s="22"/>
      <c r="AQ34" s="22"/>
      <c r="AR34" s="22"/>
      <c r="AS34" s="22"/>
      <c r="AT34" s="22"/>
      <c r="AU34" s="22"/>
      <c r="AV34" s="22"/>
      <c r="AW34" s="22"/>
      <c r="AX34" s="22"/>
      <c r="AY34" s="22"/>
      <c r="AZ34" s="22"/>
      <c r="BA34" s="22"/>
      <c r="BB34" s="22"/>
      <c r="BC34" s="22"/>
    </row>
    <row r="35" spans="1:55" s="22" customFormat="1" ht="16.5" thickBot="1">
      <c r="A35" s="52"/>
      <c r="B35" s="18"/>
      <c r="C35" s="18"/>
      <c r="D35" s="19"/>
      <c r="E35" s="19"/>
      <c r="F35" s="21"/>
      <c r="G35" s="20"/>
      <c r="H35" s="18"/>
      <c r="I35" s="18"/>
      <c r="J35" s="18"/>
      <c r="K35" s="18"/>
      <c r="L35" s="576"/>
      <c r="M35" s="11"/>
      <c r="N35" s="776"/>
      <c r="O35" s="576"/>
      <c r="P35" s="576"/>
      <c r="Q35" s="576"/>
      <c r="R35" s="576"/>
      <c r="S35" s="576"/>
      <c r="T35" s="576"/>
      <c r="U35" s="576"/>
      <c r="V35" s="576"/>
      <c r="W35" s="576"/>
      <c r="X35" s="576"/>
      <c r="Y35" s="576"/>
      <c r="Z35" s="576"/>
      <c r="AA35" s="30"/>
      <c r="AB35" s="30"/>
      <c r="AC35" s="30"/>
      <c r="AD35" s="30"/>
      <c r="AE35" s="30"/>
      <c r="AF35" s="20"/>
      <c r="AG35" s="20"/>
      <c r="AH35" s="21"/>
      <c r="AI35" s="21"/>
      <c r="AJ35" s="21"/>
    </row>
    <row r="36" spans="1:55" s="5" customFormat="1" ht="15.95" customHeight="1">
      <c r="A36" s="53"/>
      <c r="B36" s="1139" t="s">
        <v>39</v>
      </c>
      <c r="C36" s="1133" t="s">
        <v>40</v>
      </c>
      <c r="D36" s="1056" t="s">
        <v>245</v>
      </c>
      <c r="E36" s="1147"/>
      <c r="F36" s="1144"/>
      <c r="G36" s="1134" t="s">
        <v>300</v>
      </c>
      <c r="H36" s="1141" t="s">
        <v>171</v>
      </c>
      <c r="I36" s="1142"/>
      <c r="J36" s="1130" t="s">
        <v>871</v>
      </c>
      <c r="K36" s="1131"/>
      <c r="L36" s="1132"/>
      <c r="M36" s="1063" t="s">
        <v>305</v>
      </c>
      <c r="N36" s="1063" t="s">
        <v>798</v>
      </c>
      <c r="O36" s="1112" t="s">
        <v>798</v>
      </c>
      <c r="P36" s="1112"/>
      <c r="Q36" s="1112"/>
      <c r="R36" s="1112"/>
      <c r="S36" s="1112"/>
      <c r="T36" s="1113"/>
      <c r="U36" s="1119" t="s">
        <v>967</v>
      </c>
      <c r="V36" s="1114" t="s">
        <v>975</v>
      </c>
      <c r="W36" s="1114"/>
      <c r="X36" s="1114"/>
      <c r="Y36" s="1114"/>
      <c r="Z36" s="1114"/>
      <c r="AA36" s="1148" t="s">
        <v>292</v>
      </c>
      <c r="AB36" s="1149"/>
      <c r="AC36" s="1149"/>
      <c r="AD36" s="1149"/>
      <c r="AE36" s="1150"/>
      <c r="AF36" s="1133" t="s">
        <v>43</v>
      </c>
      <c r="AG36" s="1133"/>
      <c r="AH36" s="1128" t="s">
        <v>981</v>
      </c>
      <c r="AI36" s="1073" t="s">
        <v>734</v>
      </c>
      <c r="AJ36" s="1126" t="s">
        <v>850</v>
      </c>
      <c r="AK36" s="14"/>
      <c r="AL36" s="14"/>
      <c r="AM36" s="14"/>
      <c r="AN36" s="14"/>
      <c r="AO36" s="14"/>
      <c r="AP36" s="14"/>
      <c r="AQ36" s="14"/>
      <c r="AR36" s="14"/>
      <c r="AS36" s="14"/>
      <c r="AT36" s="14"/>
      <c r="AU36" s="14"/>
      <c r="AV36" s="14"/>
      <c r="AW36" s="14"/>
      <c r="AX36" s="14"/>
      <c r="AY36" s="14"/>
      <c r="AZ36" s="14"/>
      <c r="BA36" s="14"/>
      <c r="BB36" s="14"/>
      <c r="BC36" s="14"/>
    </row>
    <row r="37" spans="1:55" s="5" customFormat="1" ht="19.5" thickBot="1">
      <c r="A37" s="53"/>
      <c r="B37" s="1140"/>
      <c r="C37" s="1135"/>
      <c r="D37" s="455" t="s">
        <v>246</v>
      </c>
      <c r="E37" s="455" t="s">
        <v>290</v>
      </c>
      <c r="F37" s="811" t="s">
        <v>244</v>
      </c>
      <c r="G37" s="1135"/>
      <c r="H37" s="577" t="s">
        <v>172</v>
      </c>
      <c r="I37" s="577" t="s">
        <v>173</v>
      </c>
      <c r="J37" s="528" t="s">
        <v>831</v>
      </c>
      <c r="K37" s="528" t="s">
        <v>832</v>
      </c>
      <c r="L37" s="528" t="s">
        <v>965</v>
      </c>
      <c r="M37" s="1064"/>
      <c r="N37" s="1064"/>
      <c r="O37" s="537" t="s">
        <v>173</v>
      </c>
      <c r="P37" s="538" t="s">
        <v>969</v>
      </c>
      <c r="Q37" s="538" t="s">
        <v>970</v>
      </c>
      <c r="R37" s="538" t="s">
        <v>971</v>
      </c>
      <c r="S37" s="538" t="s">
        <v>972</v>
      </c>
      <c r="T37" s="538" t="s">
        <v>973</v>
      </c>
      <c r="U37" s="1120"/>
      <c r="V37" s="538" t="s">
        <v>969</v>
      </c>
      <c r="W37" s="538" t="s">
        <v>970</v>
      </c>
      <c r="X37" s="538" t="s">
        <v>971</v>
      </c>
      <c r="Y37" s="538" t="s">
        <v>972</v>
      </c>
      <c r="Z37" s="538" t="s">
        <v>973</v>
      </c>
      <c r="AA37" s="100" t="s">
        <v>293</v>
      </c>
      <c r="AB37" s="100" t="s">
        <v>294</v>
      </c>
      <c r="AC37" s="100" t="s">
        <v>295</v>
      </c>
      <c r="AD37" s="100" t="s">
        <v>296</v>
      </c>
      <c r="AE37" s="100" t="s">
        <v>297</v>
      </c>
      <c r="AF37" s="577" t="s">
        <v>46</v>
      </c>
      <c r="AG37" s="577" t="s">
        <v>47</v>
      </c>
      <c r="AH37" s="1129"/>
      <c r="AI37" s="1074"/>
      <c r="AJ37" s="1127"/>
      <c r="AK37" s="14"/>
      <c r="AL37" s="14"/>
      <c r="AM37" s="14"/>
      <c r="AN37" s="14"/>
      <c r="AO37" s="14"/>
      <c r="AP37" s="14"/>
      <c r="AQ37" s="14"/>
      <c r="AR37" s="14"/>
      <c r="AS37" s="14"/>
      <c r="AT37" s="14"/>
      <c r="AU37" s="14"/>
      <c r="AV37" s="14"/>
      <c r="AW37" s="14"/>
      <c r="AX37" s="14"/>
      <c r="AY37" s="14"/>
      <c r="AZ37" s="14"/>
      <c r="BA37" s="14"/>
      <c r="BB37" s="14"/>
      <c r="BC37" s="14"/>
    </row>
    <row r="38" spans="1:55" ht="15" customHeight="1">
      <c r="B38" s="82" t="s">
        <v>137</v>
      </c>
      <c r="C38" s="101">
        <v>1</v>
      </c>
      <c r="D38" s="188" t="s">
        <v>138</v>
      </c>
      <c r="E38" s="189"/>
      <c r="F38" s="812"/>
      <c r="G38" s="620" t="s">
        <v>177</v>
      </c>
      <c r="H38" s="618"/>
      <c r="I38" s="619"/>
      <c r="J38" s="619"/>
      <c r="K38" s="619"/>
      <c r="L38" s="619"/>
      <c r="M38" s="468"/>
      <c r="N38" s="875"/>
      <c r="O38" s="619"/>
      <c r="P38" s="619"/>
      <c r="Q38" s="619"/>
      <c r="R38" s="619"/>
      <c r="S38" s="619"/>
      <c r="T38" s="619"/>
      <c r="U38" s="619"/>
      <c r="V38" s="619"/>
      <c r="W38" s="619"/>
      <c r="X38" s="619"/>
      <c r="Y38" s="619"/>
      <c r="Z38" s="619"/>
      <c r="AA38" s="676"/>
      <c r="AB38" s="676"/>
      <c r="AC38" s="676"/>
      <c r="AD38" s="676"/>
      <c r="AE38" s="676"/>
      <c r="AF38" s="468"/>
      <c r="AG38" s="468"/>
      <c r="AH38" s="543" t="s">
        <v>1133</v>
      </c>
      <c r="AI38" s="603"/>
      <c r="AJ38" s="469"/>
    </row>
    <row r="39" spans="1:55" s="15" customFormat="1">
      <c r="A39" s="16"/>
      <c r="B39" s="75" t="s">
        <v>137</v>
      </c>
      <c r="C39" s="76">
        <v>1</v>
      </c>
      <c r="D39" s="104" t="s">
        <v>285</v>
      </c>
      <c r="E39" s="104"/>
      <c r="F39" s="869"/>
      <c r="G39" s="76"/>
      <c r="H39" s="78"/>
      <c r="I39" s="79"/>
      <c r="J39" s="79"/>
      <c r="K39" s="79"/>
      <c r="L39" s="79"/>
      <c r="M39" s="79"/>
      <c r="N39" s="750"/>
      <c r="O39" s="508" t="str">
        <f>IFERROR(CONCATENATE("tCO2e/",VLOOKUP($N39,'Emission factors'!$C:$I,6,FALSE)),"")</f>
        <v/>
      </c>
      <c r="P39" s="508" t="str">
        <f>IFERROR(VLOOKUP($N39,'Emission factors'!$C:$BQ,9,FALSE),"")</f>
        <v/>
      </c>
      <c r="Q39" s="508" t="str">
        <f>IFERROR(VLOOKUP($N39,'Emission factors'!$C:$BQ,12,FALSE),"")</f>
        <v/>
      </c>
      <c r="R39" s="508" t="str">
        <f>IFERROR(VLOOKUP($N39,'Emission factors'!$C:$BQ,15,FALSE),"")</f>
        <v/>
      </c>
      <c r="S39" s="508" t="str">
        <f>IFERROR(VLOOKUP($N39,'Emission factors'!$C:$BQ,65,FALSE),"")</f>
        <v/>
      </c>
      <c r="T39" s="508" t="str">
        <f>IFERROR(VLOOKUP($N39,'Emission factors'!$C:$BQ,67,FALSE),"")</f>
        <v/>
      </c>
      <c r="U39" s="79"/>
      <c r="V39" s="79"/>
      <c r="W39" s="79"/>
      <c r="X39" s="79"/>
      <c r="Y39" s="79"/>
      <c r="Z39" s="79"/>
      <c r="AA39" s="677" t="str">
        <f t="shared" ref="AA39:AC40" si="6">IFERROR(IF(AND($N39="",$U39=""),"",IF($N39="",IF(V39=0,"-",V39),IF(P39=0,"0",$H39*IF($L39="",1,$L39)*P39))),"-")</f>
        <v/>
      </c>
      <c r="AB39" s="677" t="str">
        <f t="shared" si="6"/>
        <v/>
      </c>
      <c r="AC39" s="677" t="str">
        <f t="shared" si="6"/>
        <v/>
      </c>
      <c r="AD39" s="677" t="str">
        <f>IFERROR(IF(AND($N39="",$U39=""),"",IF($N39="",IF(Y39="",SUM(AA39:AC39),IF(Y39=0,"0",Y39)),IF($S39="",SUM($AA39:$AC39),IF($S39=0,"0",$H39*IF($L39="",1,$L39)*$S39)))),"-")</f>
        <v/>
      </c>
      <c r="AE39" s="677" t="str">
        <f>IFERROR(IF(AND($N39="",$U39=""),"",IF($N39="",IF(Z39=0,"-",Z39),IF(T39=0,"0",$H39*IF($L39="",1,$L39)*T39))),"-")</f>
        <v/>
      </c>
      <c r="AF39" s="79"/>
      <c r="AG39" s="170"/>
      <c r="AH39" s="544"/>
      <c r="AI39" s="545"/>
      <c r="AJ39" s="523"/>
    </row>
    <row r="40" spans="1:55" s="15" customFormat="1" ht="16.5" thickBot="1">
      <c r="A40" s="16"/>
      <c r="B40" s="75" t="s">
        <v>137</v>
      </c>
      <c r="C40" s="76">
        <v>1</v>
      </c>
      <c r="D40" s="80" t="s">
        <v>285</v>
      </c>
      <c r="E40" s="104"/>
      <c r="F40" s="867"/>
      <c r="G40" s="76"/>
      <c r="H40" s="78"/>
      <c r="I40" s="79"/>
      <c r="J40" s="79"/>
      <c r="K40" s="79"/>
      <c r="L40" s="79"/>
      <c r="M40" s="79"/>
      <c r="N40" s="750"/>
      <c r="O40" s="508" t="str">
        <f>IFERROR(CONCATENATE("tCO2e/",VLOOKUP($N40,'Emission factors'!$C:$I,6,FALSE)),"")</f>
        <v/>
      </c>
      <c r="P40" s="508" t="str">
        <f>IFERROR(VLOOKUP($N40,'Emission factors'!$C:$BQ,9,FALSE),"")</f>
        <v/>
      </c>
      <c r="Q40" s="508" t="str">
        <f>IFERROR(VLOOKUP($N40,'Emission factors'!$C:$BQ,12,FALSE),"")</f>
        <v/>
      </c>
      <c r="R40" s="508" t="str">
        <f>IFERROR(VLOOKUP($N40,'Emission factors'!$C:$BQ,15,FALSE),"")</f>
        <v/>
      </c>
      <c r="S40" s="508" t="str">
        <f>IFERROR(VLOOKUP($N40,'Emission factors'!$C:$BQ,65,FALSE),"")</f>
        <v/>
      </c>
      <c r="T40" s="508" t="str">
        <f>IFERROR(VLOOKUP($N40,'Emission factors'!$C:$BQ,67,FALSE),"")</f>
        <v/>
      </c>
      <c r="U40" s="79"/>
      <c r="V40" s="79"/>
      <c r="W40" s="79"/>
      <c r="X40" s="79"/>
      <c r="Y40" s="79"/>
      <c r="Z40" s="79"/>
      <c r="AA40" s="677" t="str">
        <f t="shared" si="6"/>
        <v/>
      </c>
      <c r="AB40" s="677" t="str">
        <f t="shared" si="6"/>
        <v/>
      </c>
      <c r="AC40" s="677" t="str">
        <f t="shared" si="6"/>
        <v/>
      </c>
      <c r="AD40" s="677" t="str">
        <f>IFERROR(IF(AND($N40="",$U40=""),"",IF($N40="",IF(Y40="",SUM(AA40:AC40),IF(Y40=0,"0",Y40)),IF($S40="",SUM($AA40:$AC40),IF($S40=0,"0",$H40*IF($L40="",1,$L40)*$S40)))),"-")</f>
        <v/>
      </c>
      <c r="AE40" s="677" t="str">
        <f>IFERROR(IF(AND($N40="",$U40=""),"",IF($N40="",IF(Z40=0,"-",Z40),IF(T40=0,"0",$H40*IF($L40="",1,$L40)*T40))),"-")</f>
        <v/>
      </c>
      <c r="AF40" s="79"/>
      <c r="AG40" s="170"/>
      <c r="AH40" s="612"/>
      <c r="AI40" s="545"/>
      <c r="AJ40" s="523"/>
    </row>
    <row r="41" spans="1:55" ht="31.5">
      <c r="B41" s="82" t="s">
        <v>139</v>
      </c>
      <c r="C41" s="83">
        <v>3</v>
      </c>
      <c r="D41" s="84" t="s">
        <v>140</v>
      </c>
      <c r="E41" s="158"/>
      <c r="F41" s="704"/>
      <c r="G41" s="102" t="s">
        <v>177</v>
      </c>
      <c r="H41" s="86"/>
      <c r="I41" s="86"/>
      <c r="J41" s="86"/>
      <c r="K41" s="86"/>
      <c r="L41" s="86"/>
      <c r="M41" s="86"/>
      <c r="N41" s="845"/>
      <c r="O41" s="86"/>
      <c r="P41" s="86"/>
      <c r="Q41" s="86"/>
      <c r="R41" s="86"/>
      <c r="S41" s="86"/>
      <c r="T41" s="86"/>
      <c r="U41" s="86"/>
      <c r="V41" s="86"/>
      <c r="W41" s="86"/>
      <c r="X41" s="86"/>
      <c r="Y41" s="86"/>
      <c r="Z41" s="86"/>
      <c r="AA41" s="678"/>
      <c r="AB41" s="678"/>
      <c r="AC41" s="678"/>
      <c r="AD41" s="678"/>
      <c r="AE41" s="678"/>
      <c r="AF41" s="73"/>
      <c r="AG41" s="86"/>
      <c r="AH41" s="543" t="s">
        <v>1133</v>
      </c>
      <c r="AI41" s="605"/>
      <c r="AJ41" s="470"/>
    </row>
    <row r="42" spans="1:55" s="15" customFormat="1">
      <c r="A42" s="16"/>
      <c r="B42" s="75" t="s">
        <v>139</v>
      </c>
      <c r="C42" s="76">
        <v>3</v>
      </c>
      <c r="D42" s="77" t="s">
        <v>285</v>
      </c>
      <c r="E42" s="104"/>
      <c r="F42" s="705"/>
      <c r="G42" s="76"/>
      <c r="H42" s="78"/>
      <c r="I42" s="79"/>
      <c r="J42" s="79"/>
      <c r="K42" s="79"/>
      <c r="L42" s="79"/>
      <c r="M42" s="79"/>
      <c r="N42" s="750"/>
      <c r="O42" s="508" t="str">
        <f>IFERROR(CONCATENATE("tCO2e/",VLOOKUP($N42,'Emission factors'!$C:$I,6,FALSE)),"")</f>
        <v/>
      </c>
      <c r="P42" s="508" t="str">
        <f>IFERROR(VLOOKUP($N42,'Emission factors'!$C:$BQ,9,FALSE),"")</f>
        <v/>
      </c>
      <c r="Q42" s="508" t="str">
        <f>IFERROR(VLOOKUP($N42,'Emission factors'!$C:$BQ,12,FALSE),"")</f>
        <v/>
      </c>
      <c r="R42" s="508" t="str">
        <f>IFERROR(VLOOKUP($N42,'Emission factors'!$C:$BQ,15,FALSE),"")</f>
        <v/>
      </c>
      <c r="S42" s="508" t="str">
        <f>IFERROR(VLOOKUP($N42,'Emission factors'!$C:$BQ,65,FALSE),"")</f>
        <v/>
      </c>
      <c r="T42" s="508" t="str">
        <f>IFERROR(VLOOKUP($N42,'Emission factors'!$C:$BQ,67,FALSE),"")</f>
        <v/>
      </c>
      <c r="U42" s="79"/>
      <c r="V42" s="79"/>
      <c r="W42" s="79"/>
      <c r="X42" s="79"/>
      <c r="Y42" s="79"/>
      <c r="Z42" s="79"/>
      <c r="AA42" s="677" t="str">
        <f t="shared" ref="AA42:AC43" si="7">IFERROR(IF(AND($N42="",$U42=""),"",IF($N42="",IF(V42=0,"-",V42),IF(P42=0,"0",$H42*IF($L42="",1,$L42)*P42))),"-")</f>
        <v/>
      </c>
      <c r="AB42" s="677" t="str">
        <f t="shared" si="7"/>
        <v/>
      </c>
      <c r="AC42" s="677" t="str">
        <f t="shared" si="7"/>
        <v/>
      </c>
      <c r="AD42" s="677" t="str">
        <f>IFERROR(IF(AND($N42="",$U42=""),"",IF($N42="",IF(Y42="",SUM(AA42:AC42),IF(Y42=0,"0",Y42)),IF($S42="",SUM($AA42:$AC42),IF($S42=0,"0",$H42*IF($L42="",1,$L42)*$S42)))),"-")</f>
        <v/>
      </c>
      <c r="AE42" s="677" t="str">
        <f>IFERROR(IF(AND($N42="",$U42=""),"",IF($N42="",IF(Z42=0,"-",Z42),IF(T42=0,"0",$H42*IF($L42="",1,$L42)*T42))),"-")</f>
        <v/>
      </c>
      <c r="AF42" s="79"/>
      <c r="AG42" s="170"/>
      <c r="AH42" s="544"/>
      <c r="AI42" s="545"/>
      <c r="AJ42" s="523"/>
    </row>
    <row r="43" spans="1:55" s="15" customFormat="1">
      <c r="A43" s="16"/>
      <c r="B43" s="75" t="s">
        <v>139</v>
      </c>
      <c r="C43" s="76">
        <v>3</v>
      </c>
      <c r="D43" s="77" t="s">
        <v>285</v>
      </c>
      <c r="E43" s="104"/>
      <c r="F43" s="867"/>
      <c r="G43" s="76"/>
      <c r="H43" s="78"/>
      <c r="I43" s="79"/>
      <c r="J43" s="79"/>
      <c r="K43" s="79"/>
      <c r="L43" s="79"/>
      <c r="M43" s="79"/>
      <c r="N43" s="750"/>
      <c r="O43" s="508" t="str">
        <f>IFERROR(CONCATENATE("tCO2e/",VLOOKUP($N43,'Emission factors'!$C:$I,6,FALSE)),"")</f>
        <v/>
      </c>
      <c r="P43" s="508" t="str">
        <f>IFERROR(VLOOKUP($N43,'Emission factors'!$C:$BQ,9,FALSE),"")</f>
        <v/>
      </c>
      <c r="Q43" s="508" t="str">
        <f>IFERROR(VLOOKUP($N43,'Emission factors'!$C:$BQ,12,FALSE),"")</f>
        <v/>
      </c>
      <c r="R43" s="508" t="str">
        <f>IFERROR(VLOOKUP($N43,'Emission factors'!$C:$BQ,15,FALSE),"")</f>
        <v/>
      </c>
      <c r="S43" s="508" t="str">
        <f>IFERROR(VLOOKUP($N43,'Emission factors'!$C:$BQ,65,FALSE),"")</f>
        <v/>
      </c>
      <c r="T43" s="508" t="str">
        <f>IFERROR(VLOOKUP($N43,'Emission factors'!$C:$BQ,67,FALSE),"")</f>
        <v/>
      </c>
      <c r="U43" s="79"/>
      <c r="V43" s="79"/>
      <c r="W43" s="79"/>
      <c r="X43" s="79"/>
      <c r="Y43" s="79"/>
      <c r="Z43" s="79"/>
      <c r="AA43" s="677" t="str">
        <f t="shared" si="7"/>
        <v/>
      </c>
      <c r="AB43" s="677" t="str">
        <f t="shared" si="7"/>
        <v/>
      </c>
      <c r="AC43" s="677" t="str">
        <f t="shared" si="7"/>
        <v/>
      </c>
      <c r="AD43" s="677" t="str">
        <f>IFERROR(IF(AND($N43="",$U43=""),"",IF($N43="",IF(Y43="",SUM(AA43:AC43),IF(Y43=0,"0",Y43)),IF($S43="",SUM($AA43:$AC43),IF($S43=0,"0",$H43*IF($L43="",1,$L43)*$S43)))),"-")</f>
        <v/>
      </c>
      <c r="AE43" s="677" t="str">
        <f>IFERROR(IF(AND($N43="",$U43=""),"",IF($N43="",IF(Z43=0,"-",Z43),IF(T43=0,"0",$H43*IF($L43="",1,$L43)*T43))),"-")</f>
        <v/>
      </c>
      <c r="AF43" s="79"/>
      <c r="AG43" s="170"/>
      <c r="AH43" s="612"/>
      <c r="AI43" s="545"/>
      <c r="AJ43" s="523"/>
    </row>
    <row r="44" spans="1:55">
      <c r="B44" s="110" t="s">
        <v>141</v>
      </c>
      <c r="C44" s="111">
        <v>1</v>
      </c>
      <c r="D44" s="112" t="s">
        <v>142</v>
      </c>
      <c r="E44" s="197"/>
      <c r="F44" s="815"/>
      <c r="G44" s="115" t="s">
        <v>177</v>
      </c>
      <c r="H44" s="114"/>
      <c r="I44" s="113"/>
      <c r="J44" s="113"/>
      <c r="K44" s="113"/>
      <c r="L44" s="113"/>
      <c r="M44" s="113"/>
      <c r="N44" s="883"/>
      <c r="O44" s="113"/>
      <c r="P44" s="113"/>
      <c r="Q44" s="113"/>
      <c r="R44" s="113"/>
      <c r="S44" s="113"/>
      <c r="T44" s="113"/>
      <c r="U44" s="113"/>
      <c r="V44" s="113"/>
      <c r="W44" s="113"/>
      <c r="X44" s="113"/>
      <c r="Y44" s="113"/>
      <c r="Z44" s="113"/>
      <c r="AA44" s="689"/>
      <c r="AB44" s="689"/>
      <c r="AC44" s="689"/>
      <c r="AD44" s="689"/>
      <c r="AE44" s="689"/>
      <c r="AF44" s="113"/>
      <c r="AG44" s="113"/>
      <c r="AH44" s="624" t="s">
        <v>1133</v>
      </c>
      <c r="AI44" s="471"/>
      <c r="AJ44" s="471"/>
    </row>
    <row r="45" spans="1:55" s="15" customFormat="1">
      <c r="A45" s="16"/>
      <c r="B45" s="93" t="s">
        <v>141</v>
      </c>
      <c r="C45" s="94">
        <v>1</v>
      </c>
      <c r="D45" s="77" t="s">
        <v>285</v>
      </c>
      <c r="E45" s="104"/>
      <c r="F45" s="705"/>
      <c r="G45" s="76"/>
      <c r="H45" s="78"/>
      <c r="I45" s="79"/>
      <c r="J45" s="79"/>
      <c r="K45" s="79"/>
      <c r="L45" s="79"/>
      <c r="M45" s="79"/>
      <c r="N45" s="750"/>
      <c r="O45" s="508" t="str">
        <f>IFERROR(CONCATENATE("tCO2e/",VLOOKUP($N45,'Emission factors'!$C:$I,6,FALSE)),"")</f>
        <v/>
      </c>
      <c r="P45" s="508" t="str">
        <f>IFERROR(VLOOKUP($N45,'Emission factors'!$C:$BQ,9,FALSE),"")</f>
        <v/>
      </c>
      <c r="Q45" s="508" t="str">
        <f>IFERROR(VLOOKUP($N45,'Emission factors'!$C:$BQ,12,FALSE),"")</f>
        <v/>
      </c>
      <c r="R45" s="508" t="str">
        <f>IFERROR(VLOOKUP($N45,'Emission factors'!$C:$BQ,15,FALSE),"")</f>
        <v/>
      </c>
      <c r="S45" s="508" t="str">
        <f>IFERROR(VLOOKUP($N45,'Emission factors'!$C:$BQ,65,FALSE),"")</f>
        <v/>
      </c>
      <c r="T45" s="508" t="str">
        <f>IFERROR(VLOOKUP($N45,'Emission factors'!$C:$BQ,67,FALSE),"")</f>
        <v/>
      </c>
      <c r="U45" s="79"/>
      <c r="V45" s="79"/>
      <c r="W45" s="79"/>
      <c r="X45" s="79"/>
      <c r="Y45" s="79"/>
      <c r="Z45" s="79"/>
      <c r="AA45" s="677" t="str">
        <f t="shared" ref="AA45:AC46" si="8">IFERROR(IF(AND($N45="",$U45=""),"",IF($N45="",IF(V45=0,"-",V45),IF(P45=0,"0",$H45*IF($L45="",1,$L45)*P45))),"-")</f>
        <v/>
      </c>
      <c r="AB45" s="677" t="str">
        <f t="shared" si="8"/>
        <v/>
      </c>
      <c r="AC45" s="677" t="str">
        <f t="shared" si="8"/>
        <v/>
      </c>
      <c r="AD45" s="677" t="str">
        <f>IFERROR(IF(AND($N45="",$U45=""),"",IF($N45="",IF(Y45="",SUM(AA45:AC45),IF(Y45=0,"0",Y45)),IF($S45="",SUM($AA45:$AC45),IF($S45=0,"0",$H45*IF($L45="",1,$L45)*$S45)))),"-")</f>
        <v/>
      </c>
      <c r="AE45" s="677" t="str">
        <f>IFERROR(IF(AND($N45="",$U45=""),"",IF($N45="",IF(Z45=0,"-",Z45),IF(T45=0,"0",$H45*IF($L45="",1,$L45)*T45))),"-")</f>
        <v/>
      </c>
      <c r="AF45" s="79"/>
      <c r="AG45" s="170"/>
      <c r="AH45" s="544"/>
      <c r="AI45" s="545"/>
      <c r="AJ45" s="523"/>
    </row>
    <row r="46" spans="1:55" s="15" customFormat="1" ht="15" customHeight="1" thickBot="1">
      <c r="A46" s="16"/>
      <c r="B46" s="107" t="s">
        <v>141</v>
      </c>
      <c r="C46" s="99">
        <v>1</v>
      </c>
      <c r="D46" s="160" t="s">
        <v>285</v>
      </c>
      <c r="E46" s="98"/>
      <c r="F46" s="879"/>
      <c r="G46" s="99"/>
      <c r="H46" s="525"/>
      <c r="I46" s="148"/>
      <c r="J46" s="148"/>
      <c r="K46" s="148"/>
      <c r="L46" s="148"/>
      <c r="M46" s="148"/>
      <c r="N46" s="609"/>
      <c r="O46" s="526" t="str">
        <f>IFERROR(CONCATENATE("tCO2e/",VLOOKUP($N46,'Emission factors'!$C:$I,6,FALSE)),"")</f>
        <v/>
      </c>
      <c r="P46" s="526" t="str">
        <f>IFERROR(VLOOKUP($N46,'Emission factors'!$C:$BQ,9,FALSE),"")</f>
        <v/>
      </c>
      <c r="Q46" s="526" t="str">
        <f>IFERROR(VLOOKUP($N46,'Emission factors'!$C:$BQ,12,FALSE),"")</f>
        <v/>
      </c>
      <c r="R46" s="526" t="str">
        <f>IFERROR(VLOOKUP($N46,'Emission factors'!$C:$BQ,15,FALSE),"")</f>
        <v/>
      </c>
      <c r="S46" s="526" t="str">
        <f>IFERROR(VLOOKUP($N46,'Emission factors'!$C:$BQ,65,FALSE),"")</f>
        <v/>
      </c>
      <c r="T46" s="526" t="str">
        <f>IFERROR(VLOOKUP($N46,'Emission factors'!$C:$BQ,67,FALSE),"")</f>
        <v/>
      </c>
      <c r="U46" s="99"/>
      <c r="V46" s="148"/>
      <c r="W46" s="148"/>
      <c r="X46" s="148"/>
      <c r="Y46" s="148"/>
      <c r="Z46" s="148"/>
      <c r="AA46" s="680" t="str">
        <f t="shared" si="8"/>
        <v/>
      </c>
      <c r="AB46" s="680" t="str">
        <f t="shared" si="8"/>
        <v/>
      </c>
      <c r="AC46" s="680" t="str">
        <f t="shared" si="8"/>
        <v/>
      </c>
      <c r="AD46" s="680" t="str">
        <f>IFERROR(IF(AND($N46="",$U46=""),"",IF($N46="",IF(Y46="",SUM(AA46:AC46),IF(Y46=0,"0",Y46)),IF($S46="",SUM($AA46:$AC46),IF($S46=0,"0",$H46*IF($L46="",1,$L46)*$S46)))),"-")</f>
        <v/>
      </c>
      <c r="AE46" s="680" t="str">
        <f>IFERROR(IF(AND($N46="",$U46=""),"",IF($N46="",IF(Z46=0,"-",Z46),IF(T46=0,"0",$H46*IF($L46="",1,$L46)*T46))),"-")</f>
        <v/>
      </c>
      <c r="AF46" s="148"/>
      <c r="AG46" s="600"/>
      <c r="AH46" s="613"/>
      <c r="AI46" s="548"/>
      <c r="AJ46" s="524"/>
    </row>
    <row r="47" spans="1:55" s="24" customFormat="1">
      <c r="A47" s="29"/>
      <c r="B47" s="7"/>
      <c r="C47" s="7"/>
      <c r="D47" s="8"/>
      <c r="E47" s="8"/>
      <c r="F47" s="608"/>
      <c r="G47" s="7"/>
      <c r="H47" s="7"/>
      <c r="I47" s="7"/>
      <c r="J47" s="7"/>
      <c r="K47" s="7"/>
      <c r="L47" s="7"/>
      <c r="M47" s="7"/>
      <c r="N47" s="848"/>
      <c r="O47" s="7"/>
      <c r="P47" s="7"/>
      <c r="Q47" s="7"/>
      <c r="R47" s="7"/>
      <c r="S47" s="7"/>
      <c r="T47" s="7"/>
      <c r="U47" s="7"/>
      <c r="V47" s="7"/>
      <c r="W47" s="7"/>
      <c r="X47" s="7"/>
      <c r="Y47" s="7"/>
      <c r="Z47" s="7"/>
      <c r="AA47" s="10"/>
      <c r="AB47" s="10"/>
      <c r="AC47" s="10"/>
      <c r="AD47" s="10"/>
      <c r="AE47" s="10"/>
      <c r="AF47" s="7"/>
      <c r="AG47" s="7"/>
      <c r="AH47" s="8"/>
      <c r="AI47" s="8"/>
      <c r="AJ47" s="8"/>
    </row>
    <row r="48" spans="1:55" s="35" customFormat="1" ht="18.75">
      <c r="A48" s="52"/>
      <c r="B48" s="38" t="s">
        <v>241</v>
      </c>
      <c r="C48" s="33"/>
      <c r="D48" s="32"/>
      <c r="E48" s="32"/>
      <c r="F48" s="34"/>
      <c r="G48" s="31"/>
      <c r="H48" s="33"/>
      <c r="I48" s="33"/>
      <c r="J48" s="33"/>
      <c r="K48" s="33"/>
      <c r="L48" s="33"/>
      <c r="M48" s="154"/>
      <c r="N48" s="884"/>
      <c r="O48" s="33"/>
      <c r="P48" s="33"/>
      <c r="Q48" s="33"/>
      <c r="R48" s="33"/>
      <c r="S48" s="33"/>
      <c r="T48" s="33"/>
      <c r="U48" s="33"/>
      <c r="V48" s="33"/>
      <c r="W48" s="33"/>
      <c r="X48" s="33"/>
      <c r="Y48" s="33"/>
      <c r="Z48" s="33"/>
      <c r="AA48" s="37"/>
      <c r="AB48" s="37"/>
      <c r="AC48" s="37"/>
      <c r="AD48" s="37"/>
      <c r="AE48" s="37"/>
      <c r="AF48" s="31"/>
      <c r="AG48" s="31"/>
      <c r="AH48" s="34"/>
      <c r="AI48" s="34"/>
      <c r="AJ48" s="34"/>
      <c r="AK48" s="22"/>
      <c r="AL48" s="22"/>
      <c r="AM48" s="22"/>
      <c r="AN48" s="22"/>
      <c r="AO48" s="22"/>
      <c r="AP48" s="22"/>
      <c r="AQ48" s="22"/>
      <c r="AR48" s="22"/>
      <c r="AS48" s="22"/>
      <c r="AT48" s="22"/>
      <c r="AU48" s="22"/>
      <c r="AV48" s="22"/>
      <c r="AW48" s="22"/>
      <c r="AX48" s="22"/>
      <c r="AY48" s="22"/>
      <c r="AZ48" s="22"/>
      <c r="BA48" s="22"/>
      <c r="BB48" s="22"/>
      <c r="BC48" s="22"/>
    </row>
    <row r="49" spans="1:55" s="22" customFormat="1" ht="16.5" thickBot="1">
      <c r="A49" s="52"/>
      <c r="B49" s="18"/>
      <c r="C49" s="18"/>
      <c r="D49" s="19"/>
      <c r="E49" s="19"/>
      <c r="F49" s="21"/>
      <c r="G49" s="20"/>
      <c r="H49" s="18"/>
      <c r="I49" s="18"/>
      <c r="J49" s="18"/>
      <c r="K49" s="18"/>
      <c r="L49" s="576"/>
      <c r="M49" s="11"/>
      <c r="N49" s="776"/>
      <c r="O49" s="576"/>
      <c r="P49" s="576"/>
      <c r="Q49" s="576"/>
      <c r="R49" s="576"/>
      <c r="S49" s="576"/>
      <c r="T49" s="576"/>
      <c r="U49" s="576"/>
      <c r="V49" s="576"/>
      <c r="W49" s="576"/>
      <c r="X49" s="576"/>
      <c r="Y49" s="576"/>
      <c r="Z49" s="576"/>
      <c r="AA49" s="30"/>
      <c r="AB49" s="30"/>
      <c r="AC49" s="30"/>
      <c r="AD49" s="30"/>
      <c r="AE49" s="30"/>
      <c r="AF49" s="20"/>
      <c r="AG49" s="20"/>
      <c r="AH49" s="21"/>
      <c r="AI49" s="21"/>
      <c r="AJ49" s="21"/>
    </row>
    <row r="50" spans="1:55" s="5" customFormat="1" ht="15.95" customHeight="1">
      <c r="A50" s="53"/>
      <c r="B50" s="1139" t="s">
        <v>39</v>
      </c>
      <c r="C50" s="1133" t="s">
        <v>40</v>
      </c>
      <c r="D50" s="1056" t="s">
        <v>245</v>
      </c>
      <c r="E50" s="1147"/>
      <c r="F50" s="1144"/>
      <c r="G50" s="1134" t="s">
        <v>300</v>
      </c>
      <c r="H50" s="1141" t="s">
        <v>171</v>
      </c>
      <c r="I50" s="1142"/>
      <c r="J50" s="1130" t="s">
        <v>871</v>
      </c>
      <c r="K50" s="1131"/>
      <c r="L50" s="1132"/>
      <c r="M50" s="1063" t="s">
        <v>305</v>
      </c>
      <c r="N50" s="1063" t="s">
        <v>798</v>
      </c>
      <c r="O50" s="1112" t="s">
        <v>798</v>
      </c>
      <c r="P50" s="1112"/>
      <c r="Q50" s="1112"/>
      <c r="R50" s="1112"/>
      <c r="S50" s="1112"/>
      <c r="T50" s="1113"/>
      <c r="U50" s="1119" t="s">
        <v>967</v>
      </c>
      <c r="V50" s="1114" t="s">
        <v>975</v>
      </c>
      <c r="W50" s="1114"/>
      <c r="X50" s="1114"/>
      <c r="Y50" s="1114"/>
      <c r="Z50" s="1114"/>
      <c r="AA50" s="1148" t="s">
        <v>292</v>
      </c>
      <c r="AB50" s="1149"/>
      <c r="AC50" s="1149"/>
      <c r="AD50" s="1149"/>
      <c r="AE50" s="1150"/>
      <c r="AF50" s="1133" t="s">
        <v>43</v>
      </c>
      <c r="AG50" s="1133"/>
      <c r="AH50" s="1128" t="s">
        <v>981</v>
      </c>
      <c r="AI50" s="1073" t="s">
        <v>734</v>
      </c>
      <c r="AJ50" s="1126" t="s">
        <v>850</v>
      </c>
      <c r="AK50" s="14"/>
      <c r="AL50" s="14"/>
      <c r="AM50" s="14"/>
      <c r="AN50" s="14"/>
      <c r="AO50" s="14"/>
      <c r="AP50" s="14"/>
      <c r="AQ50" s="14"/>
      <c r="AR50" s="14"/>
      <c r="AS50" s="14"/>
      <c r="AT50" s="14"/>
      <c r="AU50" s="14"/>
      <c r="AV50" s="14"/>
      <c r="AW50" s="14"/>
      <c r="AX50" s="14"/>
      <c r="AY50" s="14"/>
      <c r="AZ50" s="14"/>
      <c r="BA50" s="14"/>
      <c r="BB50" s="14"/>
      <c r="BC50" s="14"/>
    </row>
    <row r="51" spans="1:55" s="5" customFormat="1" ht="19.5" thickBot="1">
      <c r="A51" s="53"/>
      <c r="B51" s="1140"/>
      <c r="C51" s="1135"/>
      <c r="D51" s="1156" t="s">
        <v>246</v>
      </c>
      <c r="E51" s="1157"/>
      <c r="F51" s="811" t="s">
        <v>244</v>
      </c>
      <c r="G51" s="1135"/>
      <c r="H51" s="577" t="s">
        <v>172</v>
      </c>
      <c r="I51" s="577" t="s">
        <v>173</v>
      </c>
      <c r="J51" s="528" t="s">
        <v>831</v>
      </c>
      <c r="K51" s="528" t="s">
        <v>832</v>
      </c>
      <c r="L51" s="528" t="s">
        <v>965</v>
      </c>
      <c r="M51" s="1064"/>
      <c r="N51" s="1064"/>
      <c r="O51" s="537" t="s">
        <v>173</v>
      </c>
      <c r="P51" s="538" t="s">
        <v>969</v>
      </c>
      <c r="Q51" s="538" t="s">
        <v>970</v>
      </c>
      <c r="R51" s="538" t="s">
        <v>971</v>
      </c>
      <c r="S51" s="538" t="s">
        <v>972</v>
      </c>
      <c r="T51" s="538" t="s">
        <v>973</v>
      </c>
      <c r="U51" s="1120"/>
      <c r="V51" s="538" t="s">
        <v>969</v>
      </c>
      <c r="W51" s="538" t="s">
        <v>970</v>
      </c>
      <c r="X51" s="538" t="s">
        <v>971</v>
      </c>
      <c r="Y51" s="538" t="s">
        <v>972</v>
      </c>
      <c r="Z51" s="538" t="s">
        <v>973</v>
      </c>
      <c r="AA51" s="100" t="s">
        <v>293</v>
      </c>
      <c r="AB51" s="100" t="s">
        <v>294</v>
      </c>
      <c r="AC51" s="100" t="s">
        <v>295</v>
      </c>
      <c r="AD51" s="100" t="s">
        <v>296</v>
      </c>
      <c r="AE51" s="100" t="s">
        <v>297</v>
      </c>
      <c r="AF51" s="577" t="s">
        <v>46</v>
      </c>
      <c r="AG51" s="577" t="s">
        <v>47</v>
      </c>
      <c r="AH51" s="1129"/>
      <c r="AI51" s="1074"/>
      <c r="AJ51" s="1127"/>
      <c r="AK51" s="14"/>
      <c r="AL51" s="14"/>
      <c r="AM51" s="14"/>
      <c r="AN51" s="14"/>
      <c r="AO51" s="14"/>
      <c r="AP51" s="14"/>
      <c r="AQ51" s="14"/>
      <c r="AR51" s="14"/>
      <c r="AS51" s="14"/>
      <c r="AT51" s="14"/>
      <c r="AU51" s="14"/>
      <c r="AV51" s="14"/>
      <c r="AW51" s="14"/>
      <c r="AX51" s="14"/>
      <c r="AY51" s="14"/>
      <c r="AZ51" s="14"/>
      <c r="BA51" s="14"/>
      <c r="BB51" s="14"/>
      <c r="BC51" s="14"/>
    </row>
    <row r="52" spans="1:55" ht="15" customHeight="1">
      <c r="B52" s="82" t="s">
        <v>144</v>
      </c>
      <c r="C52" s="101">
        <v>1</v>
      </c>
      <c r="D52" s="225" t="s">
        <v>145</v>
      </c>
      <c r="E52" s="226"/>
      <c r="F52" s="812"/>
      <c r="G52" s="756"/>
      <c r="H52" s="618"/>
      <c r="I52" s="619"/>
      <c r="J52" s="619"/>
      <c r="K52" s="619"/>
      <c r="L52" s="619"/>
      <c r="M52" s="468"/>
      <c r="N52" s="875"/>
      <c r="O52" s="619"/>
      <c r="P52" s="619"/>
      <c r="Q52" s="619"/>
      <c r="R52" s="619"/>
      <c r="S52" s="619"/>
      <c r="T52" s="619"/>
      <c r="U52" s="619"/>
      <c r="V52" s="619"/>
      <c r="W52" s="619"/>
      <c r="X52" s="619"/>
      <c r="Y52" s="619"/>
      <c r="Z52" s="619"/>
      <c r="AA52" s="676"/>
      <c r="AB52" s="676"/>
      <c r="AC52" s="676"/>
      <c r="AD52" s="676"/>
      <c r="AE52" s="676"/>
      <c r="AF52" s="468"/>
      <c r="AG52" s="468"/>
      <c r="AH52" s="543"/>
      <c r="AI52" s="603"/>
      <c r="AJ52" s="469"/>
    </row>
    <row r="53" spans="1:55" s="49" customFormat="1" ht="78.75">
      <c r="A53" s="765"/>
      <c r="B53" s="766" t="s">
        <v>144</v>
      </c>
      <c r="C53" s="727">
        <v>1</v>
      </c>
      <c r="D53" s="1158" t="s">
        <v>213</v>
      </c>
      <c r="E53" s="1159"/>
      <c r="F53" s="880" t="s">
        <v>1300</v>
      </c>
      <c r="G53" s="727"/>
      <c r="H53" s="733">
        <v>24494741.040518545</v>
      </c>
      <c r="I53" s="725" t="s">
        <v>942</v>
      </c>
      <c r="J53" s="725"/>
      <c r="K53" s="725"/>
      <c r="L53" s="725"/>
      <c r="M53" s="725" t="s">
        <v>307</v>
      </c>
      <c r="N53" s="851"/>
      <c r="O53" s="728" t="str">
        <f>IFERROR(CONCATENATE("tCO2e/",VLOOKUP($N53,'Emission factors'!$C:$I,6,FALSE)),"")</f>
        <v/>
      </c>
      <c r="P53" s="728" t="str">
        <f>IFERROR(VLOOKUP($N53,'Emission factors'!$C:$BQ,9,FALSE),"")</f>
        <v/>
      </c>
      <c r="Q53" s="728" t="str">
        <f>IFERROR(VLOOKUP($N53,'Emission factors'!$C:$BQ,12,FALSE),"")</f>
        <v/>
      </c>
      <c r="R53" s="728" t="str">
        <f>IFERROR(VLOOKUP($N53,'Emission factors'!$C:$BQ,15,FALSE),"")</f>
        <v/>
      </c>
      <c r="S53" s="728" t="str">
        <f>IFERROR(VLOOKUP($N53,'Emission factors'!$C:$BQ,65,FALSE),"")</f>
        <v/>
      </c>
      <c r="T53" s="728" t="str">
        <f>IFERROR(VLOOKUP($N53,'Emission factors'!$C:$BQ,67,FALSE),"")</f>
        <v/>
      </c>
      <c r="U53" s="725" t="s">
        <v>1057</v>
      </c>
      <c r="V53" s="725"/>
      <c r="W53" s="733">
        <v>55390.376263450562</v>
      </c>
      <c r="X53" s="725"/>
      <c r="Y53" s="725"/>
      <c r="Z53" s="725"/>
      <c r="AA53" s="729" t="str">
        <f t="shared" ref="AA53:AC54" si="9">IFERROR(IF(AND($N53="",$U53=""),"",IF($N53="",IF(V53=0,"-",V53),IF(P53=0,"0",$H53*IF($L53="",1,$L53)*P53))),"-")</f>
        <v>-</v>
      </c>
      <c r="AB53" s="716">
        <f t="shared" si="9"/>
        <v>55390.376263450562</v>
      </c>
      <c r="AC53" s="716" t="str">
        <f t="shared" si="9"/>
        <v>-</v>
      </c>
      <c r="AD53" s="716">
        <f>IFERROR(IF(AND($N53="",$U53=""),"",IF($N53="",IF(Y53="",SUM(AA53:AC53),IF(Y53=0,"0",Y53)),IF($S53="",SUM($AA53:$AC53),IF($S53=0,"0",$H53*IF($L53="",1,$L53)*$S53)))),"-")</f>
        <v>55390.376263450562</v>
      </c>
      <c r="AE53" s="729" t="str">
        <f>IFERROR(IF(AND($N53="",$U53=""),"",IF($N53="",IF(Z53=0,"-",Z53),IF(T53=0,"0",$H53*IF($L53="",1,$L53)*T53))),"-")</f>
        <v>-</v>
      </c>
      <c r="AF53" s="725" t="s">
        <v>181</v>
      </c>
      <c r="AG53" s="730" t="s">
        <v>181</v>
      </c>
      <c r="AH53" s="731" t="s">
        <v>1305</v>
      </c>
      <c r="AI53" s="435" t="s">
        <v>1301</v>
      </c>
      <c r="AJ53" s="772"/>
    </row>
    <row r="54" spans="1:55" s="15" customFormat="1">
      <c r="A54" s="16"/>
      <c r="B54" s="75" t="s">
        <v>144</v>
      </c>
      <c r="C54" s="76">
        <v>1</v>
      </c>
      <c r="D54" s="1067"/>
      <c r="E54" s="1153"/>
      <c r="F54" s="867"/>
      <c r="G54" s="76"/>
      <c r="H54" s="78"/>
      <c r="I54" s="79"/>
      <c r="J54" s="79"/>
      <c r="K54" s="79"/>
      <c r="L54" s="79"/>
      <c r="M54" s="79"/>
      <c r="N54" s="750"/>
      <c r="O54" s="508" t="str">
        <f>IFERROR(CONCATENATE("tCO2e/",VLOOKUP($N54,'Emission factors'!$C:$I,6,FALSE)),"")</f>
        <v/>
      </c>
      <c r="P54" s="508" t="str">
        <f>IFERROR(VLOOKUP($N54,'Emission factors'!$C:$BQ,9,FALSE),"")</f>
        <v/>
      </c>
      <c r="Q54" s="508" t="str">
        <f>IFERROR(VLOOKUP($N54,'Emission factors'!$C:$BQ,12,FALSE),"")</f>
        <v/>
      </c>
      <c r="R54" s="508" t="str">
        <f>IFERROR(VLOOKUP($N54,'Emission factors'!$C:$BQ,15,FALSE),"")</f>
        <v/>
      </c>
      <c r="S54" s="508" t="str">
        <f>IFERROR(VLOOKUP($N54,'Emission factors'!$C:$BQ,65,FALSE),"")</f>
        <v/>
      </c>
      <c r="T54" s="508" t="str">
        <f>IFERROR(VLOOKUP($N54,'Emission factors'!$C:$BQ,67,FALSE),"")</f>
        <v/>
      </c>
      <c r="U54" s="79"/>
      <c r="V54" s="79"/>
      <c r="W54" s="79"/>
      <c r="X54" s="79"/>
      <c r="Y54" s="79"/>
      <c r="Z54" s="79"/>
      <c r="AA54" s="677" t="str">
        <f t="shared" si="9"/>
        <v/>
      </c>
      <c r="AB54" s="677" t="str">
        <f t="shared" si="9"/>
        <v/>
      </c>
      <c r="AC54" s="677" t="str">
        <f t="shared" si="9"/>
        <v/>
      </c>
      <c r="AD54" s="677" t="str">
        <f>IFERROR(IF(AND($N54="",$U54=""),"",IF($N54="",IF(Y54="",SUM(AA54:AC54),IF(Y54=0,"0",Y54)),IF($S54="",SUM($AA54:$AC54),IF($S54=0,"0",$H54*IF($L54="",1,$L54)*$S54)))),"-")</f>
        <v/>
      </c>
      <c r="AE54" s="677" t="str">
        <f>IFERROR(IF(AND($N54="",$U54=""),"",IF($N54="",IF(Z54=0,"-",Z54),IF(T54=0,"0",$H54*IF($L54="",1,$L54)*T54))),"-")</f>
        <v/>
      </c>
      <c r="AF54" s="79"/>
      <c r="AG54" s="170"/>
      <c r="AH54" s="612"/>
      <c r="AI54" s="545"/>
      <c r="AJ54" s="523"/>
    </row>
    <row r="55" spans="1:55">
      <c r="B55" s="82" t="s">
        <v>146</v>
      </c>
      <c r="C55" s="83">
        <v>3</v>
      </c>
      <c r="D55" s="227" t="s">
        <v>147</v>
      </c>
      <c r="E55" s="228"/>
      <c r="F55" s="704"/>
      <c r="G55" s="102"/>
      <c r="H55" s="86"/>
      <c r="I55" s="86"/>
      <c r="J55" s="86"/>
      <c r="K55" s="86"/>
      <c r="L55" s="86"/>
      <c r="M55" s="86"/>
      <c r="N55" s="845"/>
      <c r="O55" s="86"/>
      <c r="P55" s="86"/>
      <c r="Q55" s="86"/>
      <c r="R55" s="86"/>
      <c r="S55" s="86"/>
      <c r="T55" s="86"/>
      <c r="U55" s="86"/>
      <c r="V55" s="86"/>
      <c r="W55" s="86"/>
      <c r="X55" s="86"/>
      <c r="Y55" s="86"/>
      <c r="Z55" s="86"/>
      <c r="AA55" s="678"/>
      <c r="AB55" s="678"/>
      <c r="AC55" s="678"/>
      <c r="AD55" s="678"/>
      <c r="AE55" s="678"/>
      <c r="AF55" s="73"/>
      <c r="AG55" s="86"/>
      <c r="AH55" s="546"/>
      <c r="AI55" s="605"/>
      <c r="AJ55" s="470"/>
    </row>
    <row r="56" spans="1:55" s="15" customFormat="1" ht="47.25">
      <c r="A56" s="16"/>
      <c r="B56" s="75" t="s">
        <v>146</v>
      </c>
      <c r="C56" s="76">
        <v>3</v>
      </c>
      <c r="D56" s="1067" t="s">
        <v>214</v>
      </c>
      <c r="E56" s="1153"/>
      <c r="F56" s="705" t="s">
        <v>1276</v>
      </c>
      <c r="G56" s="76"/>
      <c r="H56" s="719">
        <v>321281953.19999999</v>
      </c>
      <c r="I56" s="79" t="s">
        <v>942</v>
      </c>
      <c r="J56" s="79"/>
      <c r="K56" s="79"/>
      <c r="L56" s="79"/>
      <c r="M56" s="79" t="s">
        <v>311</v>
      </c>
      <c r="N56" s="750"/>
      <c r="O56" s="508" t="str">
        <f>IFERROR(CONCATENATE("tCO2e/",VLOOKUP($N56,'Emission factors'!$C:$I,6,FALSE)),"")</f>
        <v/>
      </c>
      <c r="P56" s="508" t="str">
        <f>IFERROR(VLOOKUP($N56,'Emission factors'!$C:$BQ,9,FALSE),"")</f>
        <v/>
      </c>
      <c r="Q56" s="508" t="str">
        <f>IFERROR(VLOOKUP($N56,'Emission factors'!$C:$BQ,12,FALSE),"")</f>
        <v/>
      </c>
      <c r="R56" s="508" t="str">
        <f>IFERROR(VLOOKUP($N56,'Emission factors'!$C:$BQ,15,FALSE),"")</f>
        <v/>
      </c>
      <c r="S56" s="508" t="str">
        <f>IFERROR(VLOOKUP($N56,'Emission factors'!$C:$BQ,65,FALSE),"")</f>
        <v/>
      </c>
      <c r="T56" s="508" t="str">
        <f>IFERROR(VLOOKUP($N56,'Emission factors'!$C:$BQ,67,FALSE),"")</f>
        <v/>
      </c>
      <c r="U56" s="79" t="s">
        <v>1057</v>
      </c>
      <c r="V56" s="79"/>
      <c r="W56" s="719">
        <v>15368</v>
      </c>
      <c r="X56" s="719">
        <v>67818</v>
      </c>
      <c r="Y56" s="79"/>
      <c r="Z56" s="79"/>
      <c r="AA56" s="677" t="str">
        <f t="shared" ref="AA56:AC57" si="10">IFERROR(IF(AND($N56="",$U56=""),"",IF($N56="",IF(V56=0,"-",V56),IF(P56=0,"0",$H56*IF($L56="",1,$L56)*P56))),"-")</f>
        <v>-</v>
      </c>
      <c r="AB56" s="717">
        <f t="shared" si="10"/>
        <v>15368</v>
      </c>
      <c r="AC56" s="717">
        <f t="shared" si="10"/>
        <v>67818</v>
      </c>
      <c r="AD56" s="717">
        <f>IFERROR(IF(AND($N56="",$U56=""),"",IF($N56="",IF(Y56="",SUM(AA56:AC56),IF(Y56=0,"0",Y56)),IF($S56="",SUM($AA56:$AC56),IF($S56=0,"0",$H56*IF($L56="",1,$L56)*$S56)))),"-")</f>
        <v>83186</v>
      </c>
      <c r="AE56" s="677" t="str">
        <f>IFERROR(IF(AND($N56="",$U56=""),"",IF($N56="",IF(Z56=0,"-",Z56),IF(T56=0,"0",$H56*IF($L56="",1,$L56)*T56))),"-")</f>
        <v>-</v>
      </c>
      <c r="AF56" s="79" t="s">
        <v>181</v>
      </c>
      <c r="AG56" s="170" t="s">
        <v>181</v>
      </c>
      <c r="AH56" s="544" t="s">
        <v>1277</v>
      </c>
      <c r="AI56" s="545" t="s">
        <v>1107</v>
      </c>
      <c r="AJ56" s="523"/>
    </row>
    <row r="57" spans="1:55" s="15" customFormat="1">
      <c r="A57" s="16"/>
      <c r="B57" s="75" t="s">
        <v>146</v>
      </c>
      <c r="C57" s="76">
        <v>3</v>
      </c>
      <c r="D57" s="1067"/>
      <c r="E57" s="1153"/>
      <c r="F57" s="867"/>
      <c r="G57" s="76"/>
      <c r="H57" s="78"/>
      <c r="I57" s="79"/>
      <c r="J57" s="79"/>
      <c r="K57" s="79"/>
      <c r="L57" s="79"/>
      <c r="M57" s="79"/>
      <c r="N57" s="750"/>
      <c r="O57" s="508" t="str">
        <f>IFERROR(CONCATENATE("tCO2e/",VLOOKUP($N57,'Emission factors'!$C:$I,6,FALSE)),"")</f>
        <v/>
      </c>
      <c r="P57" s="508" t="str">
        <f>IFERROR(VLOOKUP($N57,'Emission factors'!$C:$BQ,9,FALSE),"")</f>
        <v/>
      </c>
      <c r="Q57" s="508" t="str">
        <f>IFERROR(VLOOKUP($N57,'Emission factors'!$C:$BQ,12,FALSE),"")</f>
        <v/>
      </c>
      <c r="R57" s="508" t="str">
        <f>IFERROR(VLOOKUP($N57,'Emission factors'!$C:$BQ,15,FALSE),"")</f>
        <v/>
      </c>
      <c r="S57" s="508" t="str">
        <f>IFERROR(VLOOKUP($N57,'Emission factors'!$C:$BQ,65,FALSE),"")</f>
        <v/>
      </c>
      <c r="T57" s="508" t="str">
        <f>IFERROR(VLOOKUP($N57,'Emission factors'!$C:$BQ,67,FALSE),"")</f>
        <v/>
      </c>
      <c r="U57" s="79"/>
      <c r="V57" s="79"/>
      <c r="W57" s="79"/>
      <c r="X57" s="79"/>
      <c r="Y57" s="79"/>
      <c r="Z57" s="79"/>
      <c r="AA57" s="677" t="str">
        <f t="shared" si="10"/>
        <v/>
      </c>
      <c r="AB57" s="677" t="str">
        <f t="shared" si="10"/>
        <v/>
      </c>
      <c r="AC57" s="677" t="str">
        <f t="shared" si="10"/>
        <v/>
      </c>
      <c r="AD57" s="677" t="str">
        <f>IFERROR(IF(AND($N57="",$U57=""),"",IF($N57="",IF(Y57="",SUM(AA57:AC57),IF(Y57=0,"0",Y57)),IF($S57="",SUM($AA57:$AC57),IF($S57=0,"0",$H57*IF($L57="",1,$L57)*$S57)))),"-")</f>
        <v/>
      </c>
      <c r="AE57" s="677" t="str">
        <f>IFERROR(IF(AND($N57="",$U57=""),"",IF($N57="",IF(Z57=0,"-",Z57),IF(T57=0,"0",$H57*IF($L57="",1,$L57)*T57))),"-")</f>
        <v/>
      </c>
      <c r="AF57" s="79"/>
      <c r="AG57" s="170"/>
      <c r="AH57" s="612"/>
      <c r="AI57" s="545"/>
      <c r="AJ57" s="523"/>
    </row>
    <row r="58" spans="1:55">
      <c r="B58" s="110" t="s">
        <v>148</v>
      </c>
      <c r="C58" s="111">
        <v>1</v>
      </c>
      <c r="D58" s="229" t="s">
        <v>149</v>
      </c>
      <c r="E58" s="230"/>
      <c r="F58" s="815"/>
      <c r="G58" s="115" t="s">
        <v>177</v>
      </c>
      <c r="H58" s="114"/>
      <c r="I58" s="113"/>
      <c r="J58" s="113"/>
      <c r="K58" s="113"/>
      <c r="L58" s="113"/>
      <c r="M58" s="113"/>
      <c r="N58" s="883"/>
      <c r="O58" s="113"/>
      <c r="P58" s="113"/>
      <c r="Q58" s="113"/>
      <c r="R58" s="113"/>
      <c r="S58" s="113"/>
      <c r="T58" s="113"/>
      <c r="U58" s="113"/>
      <c r="V58" s="113"/>
      <c r="W58" s="113"/>
      <c r="X58" s="113"/>
      <c r="Y58" s="113"/>
      <c r="Z58" s="113"/>
      <c r="AA58" s="689"/>
      <c r="AB58" s="689"/>
      <c r="AC58" s="689"/>
      <c r="AD58" s="689"/>
      <c r="AE58" s="689"/>
      <c r="AF58" s="113"/>
      <c r="AG58" s="113"/>
      <c r="AH58" s="624" t="s">
        <v>1134</v>
      </c>
      <c r="AI58" s="471"/>
      <c r="AJ58" s="471"/>
    </row>
    <row r="59" spans="1:55" s="15" customFormat="1">
      <c r="A59" s="16"/>
      <c r="B59" s="93" t="s">
        <v>148</v>
      </c>
      <c r="C59" s="94">
        <v>1</v>
      </c>
      <c r="D59" s="1067"/>
      <c r="E59" s="1153"/>
      <c r="F59" s="705"/>
      <c r="G59" s="76"/>
      <c r="H59" s="78"/>
      <c r="I59" s="79"/>
      <c r="J59" s="79"/>
      <c r="K59" s="79"/>
      <c r="L59" s="79"/>
      <c r="M59" s="79"/>
      <c r="N59" s="750"/>
      <c r="O59" s="508" t="str">
        <f>IFERROR(CONCATENATE("tCO2e/",VLOOKUP($N59,'Emission factors'!$C:$I,6,FALSE)),"")</f>
        <v/>
      </c>
      <c r="P59" s="508" t="str">
        <f>IFERROR(VLOOKUP($N59,'Emission factors'!$C:$BQ,9,FALSE),"")</f>
        <v/>
      </c>
      <c r="Q59" s="508" t="str">
        <f>IFERROR(VLOOKUP($N59,'Emission factors'!$C:$BQ,12,FALSE),"")</f>
        <v/>
      </c>
      <c r="R59" s="508" t="str">
        <f>IFERROR(VLOOKUP($N59,'Emission factors'!$C:$BQ,15,FALSE),"")</f>
        <v/>
      </c>
      <c r="S59" s="508" t="str">
        <f>IFERROR(VLOOKUP($N59,'Emission factors'!$C:$BQ,65,FALSE),"")</f>
        <v/>
      </c>
      <c r="T59" s="508" t="str">
        <f>IFERROR(VLOOKUP($N59,'Emission factors'!$C:$BQ,67,FALSE),"")</f>
        <v/>
      </c>
      <c r="U59" s="79"/>
      <c r="V59" s="79"/>
      <c r="W59" s="79"/>
      <c r="X59" s="79"/>
      <c r="Y59" s="79"/>
      <c r="Z59" s="79"/>
      <c r="AA59" s="677" t="str">
        <f t="shared" ref="AA59:AC60" si="11">IFERROR(IF(AND($N59="",$U59=""),"",IF($N59="",IF(V59=0,"-",V59),IF(P59=0,"0",$H59*IF($L59="",1,$L59)*P59))),"-")</f>
        <v/>
      </c>
      <c r="AB59" s="677" t="str">
        <f t="shared" si="11"/>
        <v/>
      </c>
      <c r="AC59" s="677" t="str">
        <f t="shared" si="11"/>
        <v/>
      </c>
      <c r="AD59" s="677" t="str">
        <f>IFERROR(IF(AND($N59="",$U59=""),"",IF($N59="",IF(Y59="",SUM(AA59:AC59),IF(Y59=0,"0",Y59)),IF($S59="",SUM($AA59:$AC59),IF($S59=0,"0",$H59*IF($L59="",1,$L59)*$S59)))),"-")</f>
        <v/>
      </c>
      <c r="AE59" s="677" t="str">
        <f>IFERROR(IF(AND($N59="",$U59=""),"",IF($N59="",IF(Z59=0,"-",Z59),IF(T59=0,"0",$H59*IF($L59="",1,$L59)*T59))),"-")</f>
        <v/>
      </c>
      <c r="AF59" s="79"/>
      <c r="AG59" s="170"/>
      <c r="AH59" s="544"/>
      <c r="AI59" s="545"/>
      <c r="AJ59" s="523"/>
    </row>
    <row r="60" spans="1:55" s="15" customFormat="1" ht="15" customHeight="1" thickBot="1">
      <c r="A60" s="16"/>
      <c r="B60" s="107" t="s">
        <v>148</v>
      </c>
      <c r="C60" s="99">
        <v>1</v>
      </c>
      <c r="D60" s="1154"/>
      <c r="E60" s="1155"/>
      <c r="F60" s="879"/>
      <c r="G60" s="99"/>
      <c r="H60" s="525"/>
      <c r="I60" s="148"/>
      <c r="J60" s="148"/>
      <c r="K60" s="148"/>
      <c r="L60" s="148"/>
      <c r="M60" s="148"/>
      <c r="N60" s="609"/>
      <c r="O60" s="526" t="str">
        <f>IFERROR(CONCATENATE("tCO2e/",VLOOKUP($N60,'Emission factors'!$C:$I,6,FALSE)),"")</f>
        <v/>
      </c>
      <c r="P60" s="526" t="str">
        <f>IFERROR(VLOOKUP($N60,'Emission factors'!$C:$BQ,9,FALSE),"")</f>
        <v/>
      </c>
      <c r="Q60" s="526" t="str">
        <f>IFERROR(VLOOKUP($N60,'Emission factors'!$C:$BQ,12,FALSE),"")</f>
        <v/>
      </c>
      <c r="R60" s="526" t="str">
        <f>IFERROR(VLOOKUP($N60,'Emission factors'!$C:$BQ,15,FALSE),"")</f>
        <v/>
      </c>
      <c r="S60" s="526" t="str">
        <f>IFERROR(VLOOKUP($N60,'Emission factors'!$C:$BQ,65,FALSE),"")</f>
        <v/>
      </c>
      <c r="T60" s="526" t="str">
        <f>IFERROR(VLOOKUP($N60,'Emission factors'!$C:$BQ,67,FALSE),"")</f>
        <v/>
      </c>
      <c r="U60" s="99"/>
      <c r="V60" s="148"/>
      <c r="W60" s="148"/>
      <c r="X60" s="148"/>
      <c r="Y60" s="148"/>
      <c r="Z60" s="148"/>
      <c r="AA60" s="680" t="str">
        <f t="shared" si="11"/>
        <v/>
      </c>
      <c r="AB60" s="680" t="str">
        <f t="shared" si="11"/>
        <v/>
      </c>
      <c r="AC60" s="680" t="str">
        <f t="shared" si="11"/>
        <v/>
      </c>
      <c r="AD60" s="680" t="str">
        <f>IFERROR(IF(AND($N60="",$U60=""),"",IF($N60="",IF(Y60="",SUM(AA60:AC60),IF(Y60=0,"0",Y60)),IF($S60="",SUM($AA60:$AC60),IF($S60=0,"0",$H60*IF($L60="",1,$L60)*$S60)))),"-")</f>
        <v/>
      </c>
      <c r="AE60" s="680" t="str">
        <f>IFERROR(IF(AND($N60="",$U60=""),"",IF($N60="",IF(Z60=0,"-",Z60),IF(T60=0,"0",$H60*IF($L60="",1,$L60)*T60))),"-")</f>
        <v/>
      </c>
      <c r="AF60" s="148"/>
      <c r="AG60" s="600"/>
      <c r="AH60" s="613"/>
      <c r="AI60" s="548"/>
      <c r="AJ60" s="524"/>
    </row>
    <row r="61" spans="1:55" s="15" customFormat="1">
      <c r="A61" s="16"/>
      <c r="B61" s="14"/>
      <c r="C61" s="14"/>
      <c r="F61" s="881"/>
      <c r="M61" s="152"/>
      <c r="N61" s="779"/>
      <c r="AA61" s="688"/>
      <c r="AB61" s="688"/>
      <c r="AC61" s="688"/>
      <c r="AD61" s="688"/>
      <c r="AE61" s="688"/>
    </row>
    <row r="62" spans="1:55" s="15" customFormat="1" ht="15" customHeight="1">
      <c r="A62" s="16"/>
      <c r="B62" s="150" t="s">
        <v>630</v>
      </c>
      <c r="C62" s="14"/>
      <c r="F62" s="881"/>
      <c r="M62" s="152"/>
      <c r="N62" s="779"/>
      <c r="AA62" s="688"/>
      <c r="AB62" s="688"/>
      <c r="AC62" s="688"/>
      <c r="AD62" s="688"/>
      <c r="AE62" s="688"/>
    </row>
    <row r="63" spans="1:55" s="15" customFormat="1">
      <c r="A63" s="16"/>
      <c r="B63" s="14"/>
      <c r="C63" s="14"/>
      <c r="F63" s="881"/>
      <c r="M63" s="152"/>
      <c r="N63" s="779"/>
      <c r="AA63" s="688"/>
      <c r="AB63" s="688"/>
      <c r="AC63" s="688"/>
      <c r="AD63" s="688"/>
      <c r="AE63" s="688"/>
    </row>
    <row r="64" spans="1:55" s="15" customFormat="1">
      <c r="A64" s="16"/>
      <c r="B64" s="14"/>
      <c r="C64" s="14"/>
      <c r="F64" s="881"/>
      <c r="M64" s="152"/>
      <c r="N64" s="779"/>
      <c r="AA64" s="688"/>
      <c r="AB64" s="688"/>
      <c r="AC64" s="688"/>
      <c r="AD64" s="688"/>
      <c r="AE64" s="688"/>
    </row>
    <row r="65" spans="1:31" s="15" customFormat="1">
      <c r="A65" s="16"/>
      <c r="B65" s="14"/>
      <c r="C65" s="14"/>
      <c r="F65" s="881"/>
      <c r="M65" s="152"/>
      <c r="N65" s="779"/>
      <c r="AA65" s="688"/>
      <c r="AB65" s="688"/>
      <c r="AC65" s="688"/>
      <c r="AD65" s="688"/>
      <c r="AE65" s="688"/>
    </row>
    <row r="66" spans="1:31" s="15" customFormat="1">
      <c r="A66" s="16"/>
      <c r="B66" s="14"/>
      <c r="C66" s="14"/>
      <c r="F66" s="881"/>
      <c r="M66" s="152"/>
      <c r="N66" s="779"/>
      <c r="AA66" s="688"/>
      <c r="AB66" s="688"/>
      <c r="AC66" s="688"/>
      <c r="AD66" s="688"/>
      <c r="AE66" s="688"/>
    </row>
    <row r="67" spans="1:31" s="15" customFormat="1">
      <c r="A67" s="16"/>
      <c r="B67" s="14"/>
      <c r="C67" s="14"/>
      <c r="F67" s="881"/>
      <c r="M67" s="152"/>
      <c r="N67" s="779"/>
      <c r="AA67" s="688"/>
      <c r="AB67" s="688"/>
      <c r="AC67" s="688"/>
      <c r="AD67" s="688"/>
      <c r="AE67" s="688"/>
    </row>
    <row r="68" spans="1:31" s="15" customFormat="1">
      <c r="A68" s="16"/>
      <c r="B68" s="14"/>
      <c r="C68" s="14"/>
      <c r="F68" s="881"/>
      <c r="M68" s="152"/>
      <c r="N68" s="779"/>
      <c r="AA68" s="688"/>
      <c r="AB68" s="688"/>
      <c r="AC68" s="688"/>
      <c r="AD68" s="688"/>
      <c r="AE68" s="688"/>
    </row>
    <row r="69" spans="1:31" s="15" customFormat="1" ht="15" customHeight="1">
      <c r="A69" s="16"/>
      <c r="B69" s="14"/>
      <c r="C69" s="14"/>
      <c r="F69" s="881"/>
      <c r="M69" s="152"/>
      <c r="N69" s="779"/>
      <c r="AA69" s="688"/>
      <c r="AB69" s="688"/>
      <c r="AC69" s="688"/>
      <c r="AD69" s="688"/>
      <c r="AE69" s="688"/>
    </row>
    <row r="70" spans="1:31" s="15" customFormat="1">
      <c r="A70" s="16"/>
      <c r="B70" s="14"/>
      <c r="C70" s="14"/>
      <c r="F70" s="881"/>
      <c r="M70" s="152"/>
      <c r="N70" s="779"/>
      <c r="AA70" s="688"/>
      <c r="AB70" s="688"/>
      <c r="AC70" s="688"/>
      <c r="AD70" s="688"/>
      <c r="AE70" s="688"/>
    </row>
    <row r="71" spans="1:31" s="15" customFormat="1">
      <c r="A71" s="16"/>
      <c r="B71" s="14"/>
      <c r="C71" s="14"/>
      <c r="F71" s="881"/>
      <c r="M71" s="152"/>
      <c r="N71" s="779"/>
      <c r="AA71" s="688"/>
      <c r="AB71" s="688"/>
      <c r="AC71" s="688"/>
      <c r="AD71" s="688"/>
      <c r="AE71" s="688"/>
    </row>
    <row r="72" spans="1:31" s="15" customFormat="1">
      <c r="A72" s="16"/>
      <c r="B72" s="14"/>
      <c r="C72" s="14"/>
      <c r="F72" s="881"/>
      <c r="M72" s="152"/>
      <c r="N72" s="779"/>
      <c r="AA72" s="688"/>
      <c r="AB72" s="688"/>
      <c r="AC72" s="688"/>
      <c r="AD72" s="688"/>
      <c r="AE72" s="688"/>
    </row>
    <row r="73" spans="1:31" s="15" customFormat="1">
      <c r="A73" s="16"/>
      <c r="B73" s="14"/>
      <c r="C73" s="14"/>
      <c r="F73" s="881"/>
      <c r="M73" s="152"/>
      <c r="N73" s="779"/>
      <c r="AA73" s="688"/>
      <c r="AB73" s="688"/>
      <c r="AC73" s="688"/>
      <c r="AD73" s="688"/>
      <c r="AE73" s="688"/>
    </row>
    <row r="74" spans="1:31" s="15" customFormat="1">
      <c r="A74" s="16"/>
      <c r="B74" s="14"/>
      <c r="C74" s="14"/>
      <c r="F74" s="881"/>
      <c r="M74" s="152"/>
      <c r="N74" s="779"/>
      <c r="AA74" s="688"/>
      <c r="AB74" s="688"/>
      <c r="AC74" s="688"/>
      <c r="AD74" s="688"/>
      <c r="AE74" s="688"/>
    </row>
    <row r="75" spans="1:31" s="15" customFormat="1">
      <c r="A75" s="16"/>
      <c r="B75" s="14"/>
      <c r="C75" s="14"/>
      <c r="F75" s="881"/>
      <c r="M75" s="152"/>
      <c r="N75" s="779"/>
      <c r="AA75" s="688"/>
      <c r="AB75" s="688"/>
      <c r="AC75" s="688"/>
      <c r="AD75" s="688"/>
      <c r="AE75" s="688"/>
    </row>
    <row r="76" spans="1:31" s="15" customFormat="1">
      <c r="A76" s="16"/>
      <c r="B76" s="14"/>
      <c r="C76" s="14"/>
      <c r="F76" s="881"/>
      <c r="M76" s="152"/>
      <c r="N76" s="779"/>
      <c r="AA76" s="688"/>
      <c r="AB76" s="688"/>
      <c r="AC76" s="688"/>
      <c r="AD76" s="688"/>
      <c r="AE76" s="688"/>
    </row>
    <row r="77" spans="1:31" s="15" customFormat="1">
      <c r="A77" s="16"/>
      <c r="B77" s="14"/>
      <c r="C77" s="14"/>
      <c r="F77" s="881"/>
      <c r="M77" s="152"/>
      <c r="N77" s="779"/>
      <c r="AA77" s="688"/>
      <c r="AB77" s="688"/>
      <c r="AC77" s="688"/>
      <c r="AD77" s="688"/>
      <c r="AE77" s="688"/>
    </row>
    <row r="78" spans="1:31" s="15" customFormat="1">
      <c r="A78" s="16"/>
      <c r="B78" s="14"/>
      <c r="C78" s="14"/>
      <c r="F78" s="881"/>
      <c r="M78" s="152"/>
      <c r="N78" s="779"/>
      <c r="AA78" s="688"/>
      <c r="AB78" s="688"/>
      <c r="AC78" s="688"/>
      <c r="AD78" s="688"/>
      <c r="AE78" s="688"/>
    </row>
    <row r="79" spans="1:31" s="15" customFormat="1">
      <c r="A79" s="16"/>
      <c r="B79" s="14"/>
      <c r="C79" s="14"/>
      <c r="F79" s="881"/>
      <c r="M79" s="152"/>
      <c r="N79" s="779"/>
      <c r="AA79" s="688"/>
      <c r="AB79" s="688"/>
      <c r="AC79" s="688"/>
      <c r="AD79" s="688"/>
      <c r="AE79" s="688"/>
    </row>
    <row r="80" spans="1:31" s="15" customFormat="1">
      <c r="A80" s="16"/>
      <c r="B80" s="14"/>
      <c r="C80" s="14"/>
      <c r="F80" s="881"/>
      <c r="M80" s="152"/>
      <c r="N80" s="779"/>
      <c r="AA80" s="688"/>
      <c r="AB80" s="688"/>
      <c r="AC80" s="688"/>
      <c r="AD80" s="688"/>
      <c r="AE80" s="688"/>
    </row>
    <row r="81" spans="1:31" s="15" customFormat="1">
      <c r="A81" s="16"/>
      <c r="B81" s="14"/>
      <c r="C81" s="14"/>
      <c r="F81" s="881"/>
      <c r="M81" s="152"/>
      <c r="N81" s="779"/>
      <c r="AA81" s="688"/>
      <c r="AB81" s="688"/>
      <c r="AC81" s="688"/>
      <c r="AD81" s="688"/>
      <c r="AE81" s="688"/>
    </row>
    <row r="82" spans="1:31" s="15" customFormat="1">
      <c r="A82" s="16"/>
      <c r="B82" s="14"/>
      <c r="C82" s="14"/>
      <c r="F82" s="881"/>
      <c r="M82" s="152"/>
      <c r="N82" s="779"/>
      <c r="AA82" s="688"/>
      <c r="AB82" s="688"/>
      <c r="AC82" s="688"/>
      <c r="AD82" s="688"/>
      <c r="AE82" s="688"/>
    </row>
    <row r="83" spans="1:31" s="15" customFormat="1" ht="15" customHeight="1">
      <c r="A83" s="16"/>
      <c r="B83" s="14"/>
      <c r="C83" s="14"/>
      <c r="F83" s="881"/>
      <c r="M83" s="152"/>
      <c r="N83" s="779"/>
      <c r="AA83" s="688"/>
      <c r="AB83" s="688"/>
      <c r="AC83" s="688"/>
      <c r="AD83" s="688"/>
      <c r="AE83" s="688"/>
    </row>
    <row r="84" spans="1:31" s="15" customFormat="1">
      <c r="A84" s="16"/>
      <c r="B84" s="14"/>
      <c r="C84" s="14"/>
      <c r="F84" s="881"/>
      <c r="M84" s="152"/>
      <c r="N84" s="779"/>
      <c r="AA84" s="688"/>
      <c r="AB84" s="688"/>
      <c r="AC84" s="688"/>
      <c r="AD84" s="688"/>
      <c r="AE84" s="688"/>
    </row>
    <row r="85" spans="1:31" s="15" customFormat="1">
      <c r="A85" s="16"/>
      <c r="B85" s="14"/>
      <c r="C85" s="14"/>
      <c r="F85" s="881"/>
      <c r="M85" s="152"/>
      <c r="N85" s="779"/>
      <c r="AA85" s="688"/>
      <c r="AB85" s="688"/>
      <c r="AC85" s="688"/>
      <c r="AD85" s="688"/>
      <c r="AE85" s="688"/>
    </row>
    <row r="86" spans="1:31" s="15" customFormat="1">
      <c r="A86" s="16"/>
      <c r="B86" s="14"/>
      <c r="C86" s="14"/>
      <c r="F86" s="881"/>
      <c r="M86" s="152"/>
      <c r="N86" s="779"/>
      <c r="AA86" s="688"/>
      <c r="AB86" s="688"/>
      <c r="AC86" s="688"/>
      <c r="AD86" s="688"/>
      <c r="AE86" s="688"/>
    </row>
    <row r="87" spans="1:31" s="15" customFormat="1">
      <c r="A87" s="16"/>
      <c r="B87" s="14"/>
      <c r="C87" s="14"/>
      <c r="F87" s="881"/>
      <c r="M87" s="152"/>
      <c r="N87" s="779"/>
      <c r="AA87" s="688"/>
      <c r="AB87" s="688"/>
      <c r="AC87" s="688"/>
      <c r="AD87" s="688"/>
      <c r="AE87" s="688"/>
    </row>
  </sheetData>
  <mergeCells count="77">
    <mergeCell ref="AI8:AI9"/>
    <mergeCell ref="AJ8:AJ9"/>
    <mergeCell ref="AI22:AI23"/>
    <mergeCell ref="AJ22:AJ23"/>
    <mergeCell ref="AI36:AI37"/>
    <mergeCell ref="AJ36:AJ37"/>
    <mergeCell ref="AI50:AI51"/>
    <mergeCell ref="AJ50:AJ51"/>
    <mergeCell ref="D59:E59"/>
    <mergeCell ref="D60:E60"/>
    <mergeCell ref="D51:E51"/>
    <mergeCell ref="D53:E53"/>
    <mergeCell ref="D54:E54"/>
    <mergeCell ref="D56:E56"/>
    <mergeCell ref="D57:E57"/>
    <mergeCell ref="AA50:AE50"/>
    <mergeCell ref="AF50:AG50"/>
    <mergeCell ref="AH50:AH51"/>
    <mergeCell ref="N50:N51"/>
    <mergeCell ref="M50:M51"/>
    <mergeCell ref="J50:L50"/>
    <mergeCell ref="O50:T50"/>
    <mergeCell ref="B50:B51"/>
    <mergeCell ref="C50:C51"/>
    <mergeCell ref="G50:G51"/>
    <mergeCell ref="H50:I50"/>
    <mergeCell ref="D50:F50"/>
    <mergeCell ref="AF36:AG36"/>
    <mergeCell ref="AH36:AH37"/>
    <mergeCell ref="B36:B37"/>
    <mergeCell ref="C36:C37"/>
    <mergeCell ref="G36:G37"/>
    <mergeCell ref="H36:I36"/>
    <mergeCell ref="D36:F36"/>
    <mergeCell ref="N36:N37"/>
    <mergeCell ref="M36:M37"/>
    <mergeCell ref="J36:L36"/>
    <mergeCell ref="O36:T36"/>
    <mergeCell ref="U36:U37"/>
    <mergeCell ref="V36:Z36"/>
    <mergeCell ref="J22:L22"/>
    <mergeCell ref="O22:T22"/>
    <mergeCell ref="U22:U23"/>
    <mergeCell ref="V22:Z22"/>
    <mergeCell ref="AA36:AE36"/>
    <mergeCell ref="B22:B23"/>
    <mergeCell ref="C22:C23"/>
    <mergeCell ref="G22:G23"/>
    <mergeCell ref="H22:I22"/>
    <mergeCell ref="D22:F22"/>
    <mergeCell ref="B8:B9"/>
    <mergeCell ref="C8:C9"/>
    <mergeCell ref="G8:G9"/>
    <mergeCell ref="AA8:AE8"/>
    <mergeCell ref="D8:F8"/>
    <mergeCell ref="N8:N9"/>
    <mergeCell ref="M8:M9"/>
    <mergeCell ref="J8:L8"/>
    <mergeCell ref="O8:T8"/>
    <mergeCell ref="U8:U9"/>
    <mergeCell ref="V8:Z8"/>
    <mergeCell ref="U50:U51"/>
    <mergeCell ref="V50:Z50"/>
    <mergeCell ref="H2:I2"/>
    <mergeCell ref="AI2:AJ2"/>
    <mergeCell ref="H4:I5"/>
    <mergeCell ref="N4:N5"/>
    <mergeCell ref="U4:U5"/>
    <mergeCell ref="AI4:AJ5"/>
    <mergeCell ref="AF8:AG8"/>
    <mergeCell ref="AH8:AH9"/>
    <mergeCell ref="H8:I8"/>
    <mergeCell ref="AA22:AE22"/>
    <mergeCell ref="AF22:AG22"/>
    <mergeCell ref="AH22:AH23"/>
    <mergeCell ref="N22:N23"/>
    <mergeCell ref="M22:M23"/>
  </mergeCells>
  <phoneticPr fontId="10" type="noConversion"/>
  <dataValidations count="13">
    <dataValidation type="list" allowBlank="1" showInputMessage="1" showErrorMessage="1" sqref="D14:D15 D11:D12 D18:D19 E19">
      <formula1>Solid_Waste</formula1>
    </dataValidation>
    <dataValidation type="list" allowBlank="1" showInputMessage="1" showErrorMessage="1" sqref="D28:D29 E33 D25:D26 D31:D33">
      <formula1>Biological_Treatment</formula1>
    </dataValidation>
    <dataValidation type="list" allowBlank="1" showInputMessage="1" showErrorMessage="1" sqref="D47:E47 D39:D40 D42:D43 D45:D46">
      <formula1>Incineration</formula1>
    </dataValidation>
    <dataValidation type="list" allowBlank="1" showInputMessage="1" showErrorMessage="1" sqref="D53:D54 D56:D57 D59:D60">
      <formula1>Wastewater</formula1>
    </dataValidation>
    <dataValidation type="list" allowBlank="1" showInputMessage="1" showErrorMessage="1" sqref="AF45:AG47 AF14:AG15 AF53:AG54 AF17:AG19 AF42:AG43 AF31:AG33 AF39:AG40 AF25:AG26 AF11:AG12 AF56:AG57 AF59:AG60 AF28:AG29">
      <formula1>DQ</formula1>
    </dataValidation>
    <dataValidation type="list" allowBlank="1" showInputMessage="1" showErrorMessage="1" sqref="G38:G47 G10:G19 G24:G33 G52:G60">
      <formula1>NK</formula1>
    </dataValidation>
    <dataValidation type="list" allowBlank="1" showInputMessage="1" showErrorMessage="1" sqref="E11:E12 E14:E15 E39:E40 E42:E43 E17:E18 E45:E46">
      <formula1>Waste</formula1>
    </dataValidation>
    <dataValidation type="list" allowBlank="1" showInputMessage="1" showErrorMessage="1" sqref="E25:E26 E28:E29 E31:E32">
      <formula1>Organic_Waste</formula1>
    </dataValidation>
    <dataValidation type="list" allowBlank="1" showInputMessage="1" showErrorMessage="1" sqref="M42:M43 M39:M40 M45:M46 M28:M29 M25:M26 M31:M32 M14:M15 M11:M12 M17:M18 M56:M57 M53:M54 M59:M60">
      <formula1>Gases</formula1>
    </dataValidation>
    <dataValidation type="list" allowBlank="1" showInputMessage="1" showErrorMessage="1" sqref="AI38:AI46 AI52:AI60 AI24:AI32 AI10:AI18">
      <formula1>CompleteDataSource.</formula1>
    </dataValidation>
    <dataValidation type="list" allowBlank="1" showInputMessage="1" showErrorMessage="1" sqref="N42:N43 N39:N40 N14:N15 N11:N12 N17:N18 N28:N29 N25:N26 N31:N32 N45:N46 N56:N57 N53:N54 N59:N60">
      <formula1>EmissionFactor</formula1>
    </dataValidation>
    <dataValidation type="list" allowBlank="1" showInputMessage="1" showErrorMessage="1" sqref="L42:L43 L39:L40 L45:L46 L14:L15 L11:L12 L17:L18 L28:L29 L25:L26 L31:L32 L56:L57 L53:L54 L59:L60">
      <formula1>Multiplier</formula1>
    </dataValidation>
    <dataValidation type="list" allowBlank="1" showInputMessage="1" showErrorMessage="1" sqref="U11:U12 U14:U15 U17:U18 U25:U26 U28:U29 U31:U32 U39:U40 U42:U43 U45:U46 U53:U54 U56:U57 U59:U60">
      <formula1>Tick</formula1>
    </dataValidation>
  </dataValidations>
  <printOptions verticalCentered="1"/>
  <pageMargins left="0.15748031496062992" right="0.15748031496062992" top="0.15748031496062992" bottom="0.15748031496062992" header="0.1" footer="0.15748031496062992"/>
  <pageSetup paperSize="9" scale="29" orientation="landscape" horizontalDpi="4294967292" verticalDpi="429496729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outlinePr summaryBelow="0" summaryRight="0"/>
    <pageSetUpPr autoPageBreaks="0"/>
  </sheetPr>
  <dimension ref="A1:CC85"/>
  <sheetViews>
    <sheetView showGridLines="0" workbookViewId="0">
      <selection activeCell="BE10" sqref="BE10"/>
    </sheetView>
  </sheetViews>
  <sheetFormatPr defaultColWidth="11" defaultRowHeight="15.75" outlineLevelCol="1"/>
  <cols>
    <col min="1" max="1" width="8.5" style="16" customWidth="1"/>
    <col min="2" max="2" width="10.875" style="5" customWidth="1"/>
    <col min="3" max="3" width="10.875" style="5"/>
    <col min="4" max="5" width="54.5" customWidth="1"/>
    <col min="6" max="6" width="12.375" style="6" customWidth="1"/>
    <col min="7" max="7" width="12.375" style="652" customWidth="1"/>
    <col min="8" max="8" width="12.375" style="652" customWidth="1" collapsed="1"/>
    <col min="9" max="11" width="12.375" style="652" hidden="1" customWidth="1" outlineLevel="1"/>
    <col min="12" max="12" width="16.375" style="652" customWidth="1"/>
    <col min="13" max="13" width="24.875" customWidth="1" collapsed="1"/>
    <col min="14" max="14" width="12.875" hidden="1" customWidth="1" outlineLevel="1"/>
    <col min="15" max="17" width="12.125" hidden="1" customWidth="1" outlineLevel="1"/>
    <col min="18" max="20" width="12.375" hidden="1" customWidth="1" outlineLevel="1"/>
    <col min="21" max="23" width="12.125" hidden="1" customWidth="1" outlineLevel="1"/>
    <col min="24" max="35" width="12.375" hidden="1" customWidth="1" outlineLevel="1"/>
    <col min="36" max="36" width="24.875" customWidth="1" collapsed="1"/>
    <col min="37" max="45" width="12.375" hidden="1" customWidth="1" outlineLevel="1"/>
    <col min="46" max="54" width="12.375" style="684" customWidth="1"/>
    <col min="55" max="56" width="6.125" customWidth="1"/>
    <col min="57" max="57" width="71.875" customWidth="1"/>
    <col min="58" max="58" width="71.875" customWidth="1" collapsed="1"/>
    <col min="59" max="59" width="71.875" hidden="1" customWidth="1" outlineLevel="1"/>
    <col min="60" max="81" width="10.875" style="15"/>
  </cols>
  <sheetData>
    <row r="1" spans="1:81" s="15" customFormat="1">
      <c r="A1" s="16"/>
      <c r="B1" s="14"/>
      <c r="C1" s="14"/>
      <c r="F1" s="16"/>
      <c r="G1" s="648"/>
      <c r="H1" s="648"/>
      <c r="I1" s="648"/>
      <c r="J1" s="648"/>
      <c r="K1" s="648"/>
      <c r="L1" s="648"/>
      <c r="AT1" s="688"/>
      <c r="AU1" s="688"/>
      <c r="AV1" s="688"/>
      <c r="AW1" s="688"/>
      <c r="AX1" s="688"/>
      <c r="AY1" s="688"/>
      <c r="AZ1" s="688"/>
      <c r="BA1" s="688"/>
      <c r="BB1" s="688"/>
    </row>
    <row r="2" spans="1:81" s="39" customFormat="1" ht="23.25">
      <c r="A2" s="41"/>
      <c r="B2" s="36" t="s">
        <v>247</v>
      </c>
      <c r="C2" s="36"/>
      <c r="F2" s="41"/>
      <c r="G2" s="1125" t="s">
        <v>966</v>
      </c>
      <c r="H2" s="1125"/>
      <c r="I2" s="641"/>
      <c r="J2" s="641"/>
      <c r="K2" s="641"/>
      <c r="L2" s="649"/>
      <c r="M2" s="581" t="s">
        <v>966</v>
      </c>
      <c r="N2" s="581"/>
      <c r="O2" s="29"/>
      <c r="P2" s="29"/>
      <c r="Q2" s="29"/>
      <c r="R2" s="29"/>
      <c r="S2" s="29"/>
      <c r="AJ2" s="581" t="s">
        <v>966</v>
      </c>
      <c r="AK2" s="29"/>
      <c r="AL2" s="29"/>
      <c r="AM2" s="29"/>
      <c r="AN2" s="29"/>
      <c r="AO2" s="29"/>
      <c r="AT2" s="690"/>
      <c r="AU2" s="690"/>
      <c r="AV2" s="690"/>
      <c r="AW2" s="690"/>
      <c r="AX2" s="690"/>
      <c r="AY2" s="690"/>
      <c r="AZ2" s="690"/>
      <c r="BA2" s="690"/>
      <c r="BB2" s="690"/>
      <c r="BE2" s="611"/>
      <c r="BF2" s="1125" t="s">
        <v>966</v>
      </c>
      <c r="BG2" s="1125"/>
    </row>
    <row r="3" spans="1:81" s="15" customFormat="1" ht="16.5" thickBot="1">
      <c r="A3" s="16"/>
      <c r="B3" s="14"/>
      <c r="C3" s="14"/>
      <c r="F3" s="16"/>
      <c r="G3" s="641"/>
      <c r="H3" s="641"/>
      <c r="I3" s="641"/>
      <c r="J3" s="641"/>
      <c r="K3" s="641"/>
      <c r="L3" s="648"/>
      <c r="M3" s="581"/>
      <c r="N3" s="581"/>
      <c r="O3" s="29"/>
      <c r="P3" s="29"/>
      <c r="Q3" s="29"/>
      <c r="R3" s="29"/>
      <c r="S3" s="29"/>
      <c r="AJ3" s="29"/>
      <c r="AK3" s="29"/>
      <c r="AL3" s="29"/>
      <c r="AM3" s="29"/>
      <c r="AN3" s="29"/>
      <c r="AO3" s="29"/>
      <c r="AT3" s="688"/>
      <c r="AU3" s="688"/>
      <c r="AV3" s="688"/>
      <c r="AW3" s="688"/>
      <c r="AX3" s="688"/>
      <c r="AY3" s="688"/>
      <c r="AZ3" s="688"/>
      <c r="BA3" s="688"/>
      <c r="BB3" s="688"/>
      <c r="BE3" s="611"/>
      <c r="BF3" s="611"/>
      <c r="BG3" s="616"/>
    </row>
    <row r="4" spans="1:81" s="15" customFormat="1">
      <c r="A4" s="16"/>
      <c r="B4" s="15" t="s">
        <v>1050</v>
      </c>
      <c r="C4" s="14"/>
      <c r="F4" s="16"/>
      <c r="G4" s="1121" t="s">
        <v>968</v>
      </c>
      <c r="H4" s="1122"/>
      <c r="I4" s="639"/>
      <c r="J4" s="639"/>
      <c r="K4" s="642"/>
      <c r="L4" s="650"/>
      <c r="M4" s="1121" t="s">
        <v>974</v>
      </c>
      <c r="N4" s="579"/>
      <c r="O4" s="533"/>
      <c r="P4" s="533"/>
      <c r="Q4" s="533"/>
      <c r="R4" s="533"/>
      <c r="S4" s="533"/>
      <c r="T4" s="533"/>
      <c r="U4" s="533"/>
      <c r="V4" s="533"/>
      <c r="W4" s="533"/>
      <c r="X4" s="533"/>
      <c r="Y4" s="533"/>
      <c r="Z4" s="533"/>
      <c r="AA4" s="533"/>
      <c r="AB4" s="533"/>
      <c r="AC4" s="533"/>
      <c r="AD4" s="533"/>
      <c r="AE4" s="533"/>
      <c r="AF4" s="533"/>
      <c r="AG4" s="533"/>
      <c r="AH4" s="533"/>
      <c r="AI4" s="533"/>
      <c r="AJ4" s="1117" t="s">
        <v>976</v>
      </c>
      <c r="AK4" s="539"/>
      <c r="AL4" s="539"/>
      <c r="AM4" s="539"/>
      <c r="AN4" s="539"/>
      <c r="AO4" s="539"/>
      <c r="AP4" s="539"/>
      <c r="AQ4" s="539"/>
      <c r="AR4" s="539"/>
      <c r="AS4" s="540"/>
      <c r="AT4" s="675"/>
      <c r="AU4" s="688"/>
      <c r="AV4" s="688"/>
      <c r="AW4" s="688"/>
      <c r="AX4" s="688"/>
      <c r="AY4" s="688"/>
      <c r="AZ4" s="688"/>
      <c r="BA4" s="688"/>
      <c r="BB4" s="688"/>
      <c r="BE4" s="611"/>
      <c r="BF4" s="1121" t="s">
        <v>850</v>
      </c>
      <c r="BG4" s="1167"/>
      <c r="BH4" s="601"/>
    </row>
    <row r="5" spans="1:81" s="15" customFormat="1" ht="16.5" thickBot="1">
      <c r="A5" s="16"/>
      <c r="B5" s="14"/>
      <c r="C5" s="14"/>
      <c r="F5" s="16"/>
      <c r="G5" s="1123"/>
      <c r="H5" s="1124"/>
      <c r="I5" s="640"/>
      <c r="J5" s="640"/>
      <c r="K5" s="643"/>
      <c r="L5" s="650"/>
      <c r="M5" s="1123"/>
      <c r="N5" s="580"/>
      <c r="O5" s="535"/>
      <c r="P5" s="535"/>
      <c r="Q5" s="535"/>
      <c r="R5" s="535"/>
      <c r="S5" s="535"/>
      <c r="T5" s="535"/>
      <c r="U5" s="535"/>
      <c r="V5" s="535"/>
      <c r="W5" s="535"/>
      <c r="X5" s="535"/>
      <c r="Y5" s="535"/>
      <c r="Z5" s="535"/>
      <c r="AA5" s="535"/>
      <c r="AB5" s="535"/>
      <c r="AC5" s="535"/>
      <c r="AD5" s="535"/>
      <c r="AE5" s="535"/>
      <c r="AF5" s="535"/>
      <c r="AG5" s="535"/>
      <c r="AH5" s="535"/>
      <c r="AI5" s="535"/>
      <c r="AJ5" s="1118"/>
      <c r="AK5" s="541"/>
      <c r="AL5" s="541"/>
      <c r="AM5" s="541"/>
      <c r="AN5" s="541"/>
      <c r="AO5" s="541"/>
      <c r="AP5" s="541"/>
      <c r="AQ5" s="541"/>
      <c r="AR5" s="541"/>
      <c r="AS5" s="542"/>
      <c r="AT5" s="675"/>
      <c r="AU5" s="688"/>
      <c r="AV5" s="688"/>
      <c r="AW5" s="688"/>
      <c r="AX5" s="688"/>
      <c r="AY5" s="688"/>
      <c r="AZ5" s="688"/>
      <c r="BA5" s="688"/>
      <c r="BB5" s="688"/>
      <c r="BE5" s="611"/>
      <c r="BF5" s="1123"/>
      <c r="BG5" s="1168"/>
      <c r="BH5" s="601"/>
    </row>
    <row r="6" spans="1:81" s="40" customFormat="1" ht="18.75">
      <c r="A6" s="42"/>
      <c r="B6" s="38" t="s">
        <v>248</v>
      </c>
      <c r="C6" s="38"/>
      <c r="F6" s="42"/>
      <c r="G6" s="641"/>
      <c r="H6" s="641"/>
      <c r="I6" s="641"/>
      <c r="J6" s="641"/>
      <c r="K6" s="641"/>
      <c r="L6" s="651"/>
      <c r="AJ6" s="19"/>
      <c r="AK6" s="19"/>
      <c r="AL6" s="19"/>
      <c r="AM6" s="19"/>
      <c r="AN6" s="19"/>
      <c r="AO6" s="19"/>
      <c r="AT6" s="691"/>
      <c r="AU6" s="691"/>
      <c r="AV6" s="691"/>
      <c r="AW6" s="691"/>
      <c r="AX6" s="691"/>
      <c r="AY6" s="691"/>
      <c r="AZ6" s="691"/>
      <c r="BA6" s="691"/>
      <c r="BB6" s="691"/>
      <c r="BE6" s="611"/>
      <c r="BF6" s="611"/>
      <c r="BG6" s="21"/>
    </row>
    <row r="7" spans="1:81" s="15" customFormat="1" ht="16.5" thickBot="1">
      <c r="A7" s="16"/>
      <c r="B7" s="14"/>
      <c r="C7" s="14"/>
      <c r="F7" s="16"/>
      <c r="G7" s="641"/>
      <c r="H7" s="641"/>
      <c r="I7" s="641"/>
      <c r="J7" s="641"/>
      <c r="K7" s="641"/>
      <c r="L7" s="648"/>
      <c r="AJ7" s="19"/>
      <c r="AK7" s="19"/>
      <c r="AL7" s="19"/>
      <c r="AM7" s="19"/>
      <c r="AN7" s="19"/>
      <c r="AO7" s="19"/>
      <c r="AT7" s="688"/>
      <c r="AU7" s="688"/>
      <c r="AV7" s="688"/>
      <c r="AW7" s="688"/>
      <c r="AX7" s="688"/>
      <c r="AY7" s="688"/>
      <c r="AZ7" s="688"/>
      <c r="BA7" s="688"/>
      <c r="BB7" s="688"/>
      <c r="BE7" s="611"/>
      <c r="BF7" s="611"/>
      <c r="BG7" s="21"/>
    </row>
    <row r="8" spans="1:81" s="5" customFormat="1" ht="15.95" customHeight="1">
      <c r="A8" s="53"/>
      <c r="B8" s="1139" t="s">
        <v>39</v>
      </c>
      <c r="C8" s="1133" t="s">
        <v>40</v>
      </c>
      <c r="D8" s="1056" t="s">
        <v>245</v>
      </c>
      <c r="E8" s="1144"/>
      <c r="F8" s="1134" t="s">
        <v>300</v>
      </c>
      <c r="G8" s="1141" t="s">
        <v>171</v>
      </c>
      <c r="H8" s="1142"/>
      <c r="I8" s="1130" t="s">
        <v>871</v>
      </c>
      <c r="J8" s="1131"/>
      <c r="K8" s="1132"/>
      <c r="L8" s="1134" t="s">
        <v>305</v>
      </c>
      <c r="M8" s="1063" t="s">
        <v>798</v>
      </c>
      <c r="N8" s="1163" t="s">
        <v>798</v>
      </c>
      <c r="O8" s="1164"/>
      <c r="P8" s="1164"/>
      <c r="Q8" s="1164"/>
      <c r="R8" s="1164"/>
      <c r="S8" s="1164"/>
      <c r="T8" s="1164"/>
      <c r="U8" s="1164"/>
      <c r="V8" s="1164"/>
      <c r="W8" s="1164"/>
      <c r="X8" s="1164"/>
      <c r="Y8" s="1164"/>
      <c r="Z8" s="1164"/>
      <c r="AA8" s="1164"/>
      <c r="AB8" s="1164"/>
      <c r="AC8" s="1164"/>
      <c r="AD8" s="1164"/>
      <c r="AE8" s="1164"/>
      <c r="AF8" s="1164"/>
      <c r="AG8" s="1164"/>
      <c r="AH8" s="1164"/>
      <c r="AI8" s="1165"/>
      <c r="AJ8" s="1119" t="s">
        <v>967</v>
      </c>
      <c r="AK8" s="1160" t="s">
        <v>975</v>
      </c>
      <c r="AL8" s="1161"/>
      <c r="AM8" s="1161"/>
      <c r="AN8" s="1161"/>
      <c r="AO8" s="1161"/>
      <c r="AP8" s="1161"/>
      <c r="AQ8" s="1161"/>
      <c r="AR8" s="1161"/>
      <c r="AS8" s="1162"/>
      <c r="AT8" s="1143" t="s">
        <v>292</v>
      </c>
      <c r="AU8" s="1143"/>
      <c r="AV8" s="1143"/>
      <c r="AW8" s="1143"/>
      <c r="AX8" s="1143"/>
      <c r="AY8" s="1143"/>
      <c r="AZ8" s="1143"/>
      <c r="BA8" s="1143"/>
      <c r="BB8" s="1143"/>
      <c r="BC8" s="1133" t="s">
        <v>43</v>
      </c>
      <c r="BD8" s="1133"/>
      <c r="BE8" s="1128" t="s">
        <v>981</v>
      </c>
      <c r="BF8" s="1073" t="s">
        <v>734</v>
      </c>
      <c r="BG8" s="1145" t="s">
        <v>850</v>
      </c>
      <c r="BH8" s="14"/>
      <c r="BI8" s="14"/>
      <c r="BJ8" s="14"/>
      <c r="BK8" s="14"/>
      <c r="BL8" s="14"/>
      <c r="BM8" s="14"/>
      <c r="BN8" s="14"/>
      <c r="BO8" s="14"/>
      <c r="BP8" s="14"/>
      <c r="BQ8" s="14"/>
      <c r="BR8" s="14"/>
      <c r="BS8" s="14"/>
      <c r="BT8" s="14"/>
      <c r="BU8" s="14"/>
      <c r="BV8" s="14"/>
      <c r="BW8" s="14"/>
      <c r="BX8" s="14"/>
      <c r="BY8" s="14"/>
      <c r="BZ8" s="14"/>
      <c r="CA8" s="14"/>
      <c r="CB8" s="14"/>
      <c r="CC8" s="14"/>
    </row>
    <row r="9" spans="1:81" s="5" customFormat="1" ht="19.5" thickBot="1">
      <c r="A9" s="53"/>
      <c r="B9" s="1140"/>
      <c r="C9" s="1135"/>
      <c r="D9" s="457" t="s">
        <v>246</v>
      </c>
      <c r="E9" s="457" t="s">
        <v>244</v>
      </c>
      <c r="F9" s="1135"/>
      <c r="G9" s="638" t="s">
        <v>172</v>
      </c>
      <c r="H9" s="638" t="s">
        <v>173</v>
      </c>
      <c r="I9" s="528" t="s">
        <v>831</v>
      </c>
      <c r="J9" s="528" t="s">
        <v>832</v>
      </c>
      <c r="K9" s="528" t="s">
        <v>965</v>
      </c>
      <c r="L9" s="1135"/>
      <c r="M9" s="1064"/>
      <c r="N9" s="528" t="s">
        <v>173</v>
      </c>
      <c r="O9" s="528" t="s">
        <v>969</v>
      </c>
      <c r="P9" s="528" t="s">
        <v>970</v>
      </c>
      <c r="Q9" s="528" t="s">
        <v>971</v>
      </c>
      <c r="R9" s="537" t="s">
        <v>873</v>
      </c>
      <c r="S9" s="537" t="s">
        <v>874</v>
      </c>
      <c r="T9" s="537" t="s">
        <v>901</v>
      </c>
      <c r="U9" s="537" t="s">
        <v>902</v>
      </c>
      <c r="V9" s="537" t="s">
        <v>903</v>
      </c>
      <c r="W9" s="537" t="s">
        <v>904</v>
      </c>
      <c r="X9" s="537" t="s">
        <v>905</v>
      </c>
      <c r="Y9" s="537" t="s">
        <v>906</v>
      </c>
      <c r="Z9" s="537" t="s">
        <v>907</v>
      </c>
      <c r="AA9" s="537" t="s">
        <v>908</v>
      </c>
      <c r="AB9" s="537" t="s">
        <v>909</v>
      </c>
      <c r="AC9" s="537" t="s">
        <v>910</v>
      </c>
      <c r="AD9" s="537" t="s">
        <v>911</v>
      </c>
      <c r="AE9" s="537" t="s">
        <v>912</v>
      </c>
      <c r="AF9" s="528" t="s">
        <v>1046</v>
      </c>
      <c r="AG9" s="528" t="s">
        <v>1047</v>
      </c>
      <c r="AH9" s="528" t="s">
        <v>972</v>
      </c>
      <c r="AI9" s="528" t="s">
        <v>973</v>
      </c>
      <c r="AJ9" s="1120"/>
      <c r="AK9" s="538" t="s">
        <v>969</v>
      </c>
      <c r="AL9" s="538" t="s">
        <v>970</v>
      </c>
      <c r="AM9" s="538" t="s">
        <v>971</v>
      </c>
      <c r="AN9" s="538" t="s">
        <v>45</v>
      </c>
      <c r="AO9" s="538" t="s">
        <v>44</v>
      </c>
      <c r="AP9" s="538" t="s">
        <v>1046</v>
      </c>
      <c r="AQ9" s="538" t="s">
        <v>1047</v>
      </c>
      <c r="AR9" s="538" t="s">
        <v>972</v>
      </c>
      <c r="AS9" s="538" t="s">
        <v>973</v>
      </c>
      <c r="AT9" s="100" t="s">
        <v>293</v>
      </c>
      <c r="AU9" s="100" t="s">
        <v>294</v>
      </c>
      <c r="AV9" s="100" t="s">
        <v>295</v>
      </c>
      <c r="AW9" s="100" t="s">
        <v>45</v>
      </c>
      <c r="AX9" s="100" t="s">
        <v>44</v>
      </c>
      <c r="AY9" s="100" t="s">
        <v>302</v>
      </c>
      <c r="AZ9" s="100" t="s">
        <v>303</v>
      </c>
      <c r="BA9" s="100" t="s">
        <v>296</v>
      </c>
      <c r="BB9" s="100" t="s">
        <v>297</v>
      </c>
      <c r="BC9" s="457" t="s">
        <v>46</v>
      </c>
      <c r="BD9" s="457" t="s">
        <v>47</v>
      </c>
      <c r="BE9" s="1129"/>
      <c r="BF9" s="1074"/>
      <c r="BG9" s="1146"/>
      <c r="BH9" s="14"/>
      <c r="BI9" s="14"/>
      <c r="BJ9" s="14"/>
      <c r="BK9" s="14"/>
      <c r="BL9" s="14"/>
      <c r="BM9" s="14"/>
      <c r="BN9" s="14"/>
      <c r="BO9" s="14"/>
      <c r="BP9" s="14"/>
      <c r="BQ9" s="14"/>
      <c r="BR9" s="14"/>
      <c r="BS9" s="14"/>
      <c r="BT9" s="14"/>
      <c r="BU9" s="14"/>
      <c r="BV9" s="14"/>
      <c r="BW9" s="14"/>
      <c r="BX9" s="14"/>
      <c r="BY9" s="14"/>
      <c r="BZ9" s="14"/>
      <c r="CA9" s="14"/>
      <c r="CB9" s="14"/>
      <c r="CC9" s="14"/>
    </row>
    <row r="10" spans="1:81" ht="63">
      <c r="B10" s="644" t="s">
        <v>152</v>
      </c>
      <c r="C10" s="645">
        <v>1</v>
      </c>
      <c r="D10" s="232" t="s">
        <v>153</v>
      </c>
      <c r="E10" s="233"/>
      <c r="F10" s="646" t="s">
        <v>177</v>
      </c>
      <c r="G10" s="646"/>
      <c r="H10" s="647"/>
      <c r="I10" s="647"/>
      <c r="J10" s="647"/>
      <c r="K10" s="647"/>
      <c r="L10" s="647"/>
      <c r="M10" s="465"/>
      <c r="N10" s="465"/>
      <c r="O10" s="465"/>
      <c r="P10" s="465"/>
      <c r="Q10" s="465"/>
      <c r="R10" s="465"/>
      <c r="S10" s="465"/>
      <c r="T10" s="465"/>
      <c r="U10" s="465"/>
      <c r="V10" s="465"/>
      <c r="W10" s="465"/>
      <c r="X10" s="465"/>
      <c r="Y10" s="465"/>
      <c r="Z10" s="465"/>
      <c r="AA10" s="465"/>
      <c r="AB10" s="465"/>
      <c r="AC10" s="465"/>
      <c r="AD10" s="465"/>
      <c r="AE10" s="465"/>
      <c r="AF10" s="465"/>
      <c r="AG10" s="465"/>
      <c r="AH10" s="465"/>
      <c r="AI10" s="465"/>
      <c r="AJ10" s="465"/>
      <c r="AK10" s="465"/>
      <c r="AL10" s="465"/>
      <c r="AM10" s="465"/>
      <c r="AN10" s="465"/>
      <c r="AO10" s="465"/>
      <c r="AP10" s="465"/>
      <c r="AQ10" s="465"/>
      <c r="AR10" s="465"/>
      <c r="AS10" s="465"/>
      <c r="AT10" s="692"/>
      <c r="AU10" s="692"/>
      <c r="AV10" s="692"/>
      <c r="AW10" s="692"/>
      <c r="AX10" s="692"/>
      <c r="AY10" s="692"/>
      <c r="AZ10" s="692"/>
      <c r="BA10" s="692"/>
      <c r="BB10" s="692"/>
      <c r="BC10" s="467"/>
      <c r="BD10" s="467"/>
      <c r="BE10" s="706" t="s">
        <v>1135</v>
      </c>
      <c r="BF10" s="466"/>
      <c r="BG10" s="626"/>
    </row>
    <row r="11" spans="1:81" s="15" customFormat="1">
      <c r="A11" s="16"/>
      <c r="B11" s="75" t="s">
        <v>152</v>
      </c>
      <c r="C11" s="76">
        <v>1</v>
      </c>
      <c r="D11" s="104"/>
      <c r="E11" s="94"/>
      <c r="F11" s="76"/>
      <c r="G11" s="79"/>
      <c r="H11" s="79"/>
      <c r="I11" s="76"/>
      <c r="J11" s="76"/>
      <c r="K11" s="76"/>
      <c r="L11" s="79"/>
      <c r="M11" s="76"/>
      <c r="N11" s="508" t="str">
        <f>IFERROR(CONCATENATE("tCO2e/",VLOOKUP($M11,'Emission factors'!$C:$H,6,FALSE)),"")</f>
        <v/>
      </c>
      <c r="O11" s="508" t="str">
        <f>IFERROR(VLOOKUP($M11,'Emission factors'!$C:$BQ,9,FALSE),"")</f>
        <v/>
      </c>
      <c r="P11" s="508" t="str">
        <f>IFERROR(VLOOKUP($M11,'Emission factors'!$C:$BQ,12,FALSE),"")</f>
        <v/>
      </c>
      <c r="Q11" s="508" t="str">
        <f>IFERROR(VLOOKUP($M11,'Emission factors'!$C:$BQ,15,FALSE),"")</f>
        <v/>
      </c>
      <c r="R11" s="508" t="str">
        <f>IFERROR(VLOOKUP($M11,'Emission factors'!$C:$BQ,18,FALSE),"")</f>
        <v/>
      </c>
      <c r="S11" s="508" t="str">
        <f>IFERROR(VLOOKUP($M11,'Emission factors'!$C:$BQ,21,FALSE),"")</f>
        <v/>
      </c>
      <c r="T11" s="508" t="str">
        <f>IFERROR(VLOOKUP($M11,'Emission factors'!$C:$BQ,24,FALSE),"")</f>
        <v/>
      </c>
      <c r="U11" s="508" t="str">
        <f>IFERROR(VLOOKUP($M11,'Emission factors'!$C:$BQ,27,FALSE),"")</f>
        <v/>
      </c>
      <c r="V11" s="508" t="str">
        <f>IFERROR(VLOOKUP($M11,'Emission factors'!$C:$BQ,30,FALSE),"")</f>
        <v/>
      </c>
      <c r="W11" s="508" t="str">
        <f>IFERROR(VLOOKUP($M11,'Emission factors'!$C:$BQ,33,FALSE),"")</f>
        <v/>
      </c>
      <c r="X11" s="508" t="str">
        <f>IFERROR(VLOOKUP($M11,'Emission factors'!$C:$BQ,36,FALSE),"")</f>
        <v/>
      </c>
      <c r="Y11" s="508" t="str">
        <f>IFERROR(VLOOKUP($M11,'Emission factors'!$C:$BQ,39,FALSE),"")</f>
        <v/>
      </c>
      <c r="Z11" s="508" t="str">
        <f>IFERROR(VLOOKUP($M11,'Emission factors'!$C:$BQ,42,FALSE),"")</f>
        <v/>
      </c>
      <c r="AA11" s="508" t="str">
        <f>IFERROR(VLOOKUP($M11,'Emission factors'!$C:$BQ,45,FALSE),"")</f>
        <v/>
      </c>
      <c r="AB11" s="508" t="str">
        <f>IFERROR(VLOOKUP($M11,'Emission factors'!$C:$BQ,48,FALSE),"")</f>
        <v/>
      </c>
      <c r="AC11" s="508" t="str">
        <f>IFERROR(VLOOKUP($M11,'Emission factors'!$C:$BQ,51,FALSE),"")</f>
        <v/>
      </c>
      <c r="AD11" s="508" t="str">
        <f>IFERROR(VLOOKUP($M11,'Emission factors'!$C:$BQ,54,FALSE),"")</f>
        <v/>
      </c>
      <c r="AE11" s="508" t="str">
        <f>IFERROR(VLOOKUP($M11,'Emission factors'!$C:$BQ,57,FALSE),"")</f>
        <v/>
      </c>
      <c r="AF11" s="508" t="str">
        <f>IFERROR(VLOOKUP($M11,'Emission factors'!$C:$BQ,60,FALSE),"")</f>
        <v/>
      </c>
      <c r="AG11" s="508" t="str">
        <f>IFERROR(VLOOKUP($M11,'Emission factors'!$C:$BQ,63,FALSE),"")</f>
        <v/>
      </c>
      <c r="AH11" s="508" t="str">
        <f>IFERROR(VLOOKUP($M11,'Emission factors'!$C:$BQ,65,FALSE),"")</f>
        <v/>
      </c>
      <c r="AI11" s="508" t="str">
        <f>IFERROR(VLOOKUP($M11,'Emission factors'!$C:$BQ,67,FALSE),"")</f>
        <v/>
      </c>
      <c r="AJ11" s="79"/>
      <c r="AK11" s="79"/>
      <c r="AL11" s="79"/>
      <c r="AM11" s="79"/>
      <c r="AN11" s="79"/>
      <c r="AO11" s="79"/>
      <c r="AP11" s="79"/>
      <c r="AQ11" s="79"/>
      <c r="AR11" s="79"/>
      <c r="AS11" s="79"/>
      <c r="AT11" s="677" t="str">
        <f t="shared" ref="AT11:AV12" si="0">IFERROR(IF(AND($M11="",$AJ11=""),"",IF($M11="",IF(AK11=0,"-",AK11),IF(O11=0,"0",$G11*IF($K11="",1,$K11)*O11))),"-")</f>
        <v/>
      </c>
      <c r="AU11" s="677" t="str">
        <f t="shared" si="0"/>
        <v/>
      </c>
      <c r="AV11" s="677" t="str">
        <f t="shared" si="0"/>
        <v/>
      </c>
      <c r="AW11" s="677" t="str">
        <f>IFERROR(IF(AND($M11="",$AJ11=""),"",IF($M11="",IF(AN11=0,"-",AN11),IF(AND(R11=0,S11=0),"0",$G11*IF($K11="",1,$K11)*(R11+S11)))),"-")</f>
        <v/>
      </c>
      <c r="AX11" s="677" t="str">
        <f>IFERROR(IF(AND($M11="",$AJ11=""),"",IF($M11="",IF(AO11=0,"-",AO11),IF(AND(T11=0,U11=0,V11=0,W11=0,X11=0,Y11=0,Z11=0,AA11=0,AB11=0,AC11=0,AD11=0,AE11=0),"0",$G11*IF($K11="",1,$K11)*(T11+U11+V11+W11+X11+Y11+Z11+AA11+AB11+AC11+AD11+AE11)))),"-")</f>
        <v/>
      </c>
      <c r="AY11" s="677" t="str">
        <f>IFERROR(IF(AND($M11="",$AJ11=""),"",IF($M11="",IF(AP11=0,"-",AP11),IF(AF11=0,"0",$G11*IF($K11="",1,$K11)*AF11))),"-")</f>
        <v/>
      </c>
      <c r="AZ11" s="677" t="str">
        <f>IFERROR(IF(AND($M11="",$AJ11=""),"",IF($M11="",IF(AQ11=0,"-",AQ11),IF(AG11=0,"0",$G11*IF($K11="",1,$K11)*AG11))),"-")</f>
        <v/>
      </c>
      <c r="BA11" s="677" t="str">
        <f>IFERROR(IF(AND($M11="",$AJ11=""),"",IF($M11="",IF(AR11="",SUM(AT11:AZ11),IF(AR11=0,"0",AR11)),IF($AH11="",SUM($AT11:$AZ11),IF($AH11=0,"0",$G11*IF($K11="",1,$K11)*$AH11)))),"-")</f>
        <v/>
      </c>
      <c r="BB11" s="677" t="str">
        <f>IFERROR(IF(AND($M11="",$AJ11=""),"",IF($M11="",IF(AS11=0,"-",AS11),IF(AI11=0,"0",$G11*IF($K11="",1,$K11)*AI11))),"-")</f>
        <v/>
      </c>
      <c r="BC11" s="95"/>
      <c r="BD11" s="95"/>
      <c r="BE11" s="544"/>
      <c r="BF11" s="545"/>
      <c r="BG11" s="604"/>
    </row>
    <row r="12" spans="1:81" s="15" customFormat="1" ht="15" customHeight="1" thickBot="1">
      <c r="A12" s="16"/>
      <c r="B12" s="107" t="s">
        <v>152</v>
      </c>
      <c r="C12" s="99">
        <v>1</v>
      </c>
      <c r="D12" s="98"/>
      <c r="E12" s="97"/>
      <c r="F12" s="99"/>
      <c r="G12" s="99"/>
      <c r="H12" s="99"/>
      <c r="I12" s="99"/>
      <c r="J12" s="99"/>
      <c r="K12" s="99"/>
      <c r="L12" s="148"/>
      <c r="M12" s="99"/>
      <c r="N12" s="526" t="str">
        <f>IFERROR(CONCATENATE("tCO2e/",VLOOKUP($M12,'Emission factors'!$C:$H,6,FALSE)),"")</f>
        <v/>
      </c>
      <c r="O12" s="526" t="str">
        <f>IFERROR(VLOOKUP($M12,'Emission factors'!$C:$BQ,9,FALSE),"")</f>
        <v/>
      </c>
      <c r="P12" s="526" t="str">
        <f>IFERROR(VLOOKUP($M12,'Emission factors'!$C:$BQ,12,FALSE),"")</f>
        <v/>
      </c>
      <c r="Q12" s="526" t="str">
        <f>IFERROR(VLOOKUP($M12,'Emission factors'!$C:$BQ,15,FALSE),"")</f>
        <v/>
      </c>
      <c r="R12" s="526" t="str">
        <f>IFERROR(VLOOKUP($M12,'Emission factors'!$C:$BQ,18,FALSE),"")</f>
        <v/>
      </c>
      <c r="S12" s="526" t="str">
        <f>IFERROR(VLOOKUP($M12,'Emission factors'!$C:$BQ,21,FALSE),"")</f>
        <v/>
      </c>
      <c r="T12" s="526" t="str">
        <f>IFERROR(VLOOKUP($M12,'Emission factors'!$C:$BQ,24,FALSE),"")</f>
        <v/>
      </c>
      <c r="U12" s="526" t="str">
        <f>IFERROR(VLOOKUP($M12,'Emission factors'!$C:$BQ,27,FALSE),"")</f>
        <v/>
      </c>
      <c r="V12" s="526" t="str">
        <f>IFERROR(VLOOKUP($M12,'Emission factors'!$C:$BQ,30,FALSE),"")</f>
        <v/>
      </c>
      <c r="W12" s="526" t="str">
        <f>IFERROR(VLOOKUP($M12,'Emission factors'!$C:$BQ,33,FALSE),"")</f>
        <v/>
      </c>
      <c r="X12" s="526" t="str">
        <f>IFERROR(VLOOKUP($M12,'Emission factors'!$C:$BQ,36,FALSE),"")</f>
        <v/>
      </c>
      <c r="Y12" s="526" t="str">
        <f>IFERROR(VLOOKUP($M12,'Emission factors'!$C:$BQ,39,FALSE),"")</f>
        <v/>
      </c>
      <c r="Z12" s="526" t="str">
        <f>IFERROR(VLOOKUP($M12,'Emission factors'!$C:$BQ,42,FALSE),"")</f>
        <v/>
      </c>
      <c r="AA12" s="526" t="str">
        <f>IFERROR(VLOOKUP($M12,'Emission factors'!$C:$BQ,45,FALSE),"")</f>
        <v/>
      </c>
      <c r="AB12" s="526" t="str">
        <f>IFERROR(VLOOKUP($M12,'Emission factors'!$C:$BQ,48,FALSE),"")</f>
        <v/>
      </c>
      <c r="AC12" s="526" t="str">
        <f>IFERROR(VLOOKUP($M12,'Emission factors'!$C:$BQ,51,FALSE),"")</f>
        <v/>
      </c>
      <c r="AD12" s="526" t="str">
        <f>IFERROR(VLOOKUP($M12,'Emission factors'!$C:$BQ,54,FALSE),"")</f>
        <v/>
      </c>
      <c r="AE12" s="526" t="str">
        <f>IFERROR(VLOOKUP($M12,'Emission factors'!$C:$BQ,57,FALSE),"")</f>
        <v/>
      </c>
      <c r="AF12" s="526" t="str">
        <f>IFERROR(VLOOKUP($M12,'Emission factors'!$C:$BQ,60,FALSE),"")</f>
        <v/>
      </c>
      <c r="AG12" s="526" t="str">
        <f>IFERROR(VLOOKUP($M12,'Emission factors'!$C:$BQ,63,FALSE),"")</f>
        <v/>
      </c>
      <c r="AH12" s="526" t="str">
        <f>IFERROR(VLOOKUP($M12,'Emission factors'!$C:$BQ,65,FALSE),"")</f>
        <v/>
      </c>
      <c r="AI12" s="526" t="str">
        <f>IFERROR(VLOOKUP($M12,'Emission factors'!$C:$BQ,67,FALSE),"")</f>
        <v/>
      </c>
      <c r="AJ12" s="99"/>
      <c r="AK12" s="148"/>
      <c r="AL12" s="148"/>
      <c r="AM12" s="148"/>
      <c r="AN12" s="148"/>
      <c r="AO12" s="148"/>
      <c r="AP12" s="148"/>
      <c r="AQ12" s="148"/>
      <c r="AR12" s="148"/>
      <c r="AS12" s="148"/>
      <c r="AT12" s="680" t="str">
        <f t="shared" si="0"/>
        <v/>
      </c>
      <c r="AU12" s="680" t="str">
        <f t="shared" si="0"/>
        <v/>
      </c>
      <c r="AV12" s="680" t="str">
        <f t="shared" si="0"/>
        <v/>
      </c>
      <c r="AW12" s="680" t="str">
        <f>IFERROR(IF(AND($M12="",$AJ12=""),"",IF($M12="",IF(AN12=0,"-",AN12),IF(AND(R12=0,S12=0),"0",$G12*IF($K12="",1,$K12)*(R12+S12)))),"-")</f>
        <v/>
      </c>
      <c r="AX12" s="680" t="str">
        <f>IFERROR(IF(AND($M12="",$AJ12=""),"",IF($M12="",IF(AO12=0,"-",AO12),IF(AND(T12=0,U12=0,V12=0,W12=0,X12=0,Y12=0,Z12=0,AA12=0,AB12=0,AC12=0,AD12=0,AE12=0),"0",$G12*IF($K12="",1,$K12)*(T12+U12+V12+W12+X12+Y12+Z12+AA12+AB12+AC12+AD12+AE12)))),"-")</f>
        <v/>
      </c>
      <c r="AY12" s="680" t="str">
        <f>IFERROR(IF(AND($M12="",$AJ12=""),"",IF($M12="",IF(AP12=0,"-",AP12),IF(AF12=0,"0",$G12*IF($K12="",1,$K12)*AF12))),"-")</f>
        <v/>
      </c>
      <c r="AZ12" s="680" t="str">
        <f>IFERROR(IF(AND($M12="",$AJ12=""),"",IF($M12="",IF(AQ12=0,"-",AQ12),IF(AG12=0,"0",$G12*IF($K12="",1,$K12)*AG12))),"-")</f>
        <v/>
      </c>
      <c r="BA12" s="680" t="str">
        <f>IFERROR(IF(AND($M12="",$AJ12=""),"",IF($M12="",IF(AR12="",SUM(AT12:AZ12),IF(AR12=0,"0",AR12)),IF($AH12="",SUM($AT12:$AZ12),IF($AH12=0,"0",$G12*IF($K12="",1,$K12)*$AH12)))),"-")</f>
        <v/>
      </c>
      <c r="BB12" s="680" t="str">
        <f>IFERROR(IF(AND($M12="",$AJ12=""),"",IF($M12="",IF(AS12=0,"-",AS12),IF(AI12=0,"0",$G12*IF($K12="",1,$K12)*AI12))),"-")</f>
        <v/>
      </c>
      <c r="BC12" s="653"/>
      <c r="BD12" s="653"/>
      <c r="BE12" s="654"/>
      <c r="BF12" s="548"/>
      <c r="BG12" s="607"/>
    </row>
    <row r="13" spans="1:81" s="15" customFormat="1">
      <c r="A13" s="16"/>
      <c r="B13" s="14"/>
      <c r="C13" s="14"/>
      <c r="F13" s="16"/>
      <c r="G13" s="648"/>
      <c r="H13" s="648"/>
      <c r="I13" s="648"/>
      <c r="J13" s="648"/>
      <c r="K13" s="648"/>
      <c r="L13" s="648"/>
      <c r="AT13" s="688"/>
      <c r="AU13" s="688"/>
      <c r="AV13" s="688"/>
      <c r="AW13" s="688"/>
      <c r="AX13" s="688"/>
      <c r="AY13" s="688"/>
      <c r="AZ13" s="688"/>
      <c r="BA13" s="688"/>
      <c r="BB13" s="688"/>
    </row>
    <row r="14" spans="1:81" s="15" customFormat="1" ht="18.75">
      <c r="A14" s="16"/>
      <c r="B14" s="38" t="s">
        <v>249</v>
      </c>
      <c r="C14" s="14"/>
      <c r="F14" s="16"/>
      <c r="G14" s="648"/>
      <c r="H14" s="648"/>
      <c r="I14" s="648"/>
      <c r="J14" s="648"/>
      <c r="K14" s="648"/>
      <c r="L14" s="648"/>
      <c r="AT14" s="688"/>
      <c r="AU14" s="688"/>
      <c r="AV14" s="688"/>
      <c r="AW14" s="688"/>
      <c r="AX14" s="688"/>
      <c r="AY14" s="688"/>
      <c r="AZ14" s="688"/>
      <c r="BA14" s="688"/>
      <c r="BB14" s="688"/>
    </row>
    <row r="15" spans="1:81" s="15" customFormat="1" ht="16.5" thickBot="1">
      <c r="A15" s="16"/>
      <c r="B15" s="14"/>
      <c r="C15" s="14"/>
      <c r="F15" s="16"/>
      <c r="G15" s="648"/>
      <c r="H15" s="648"/>
      <c r="I15" s="648"/>
      <c r="J15" s="648"/>
      <c r="K15" s="648"/>
      <c r="L15" s="648"/>
      <c r="AT15" s="688"/>
      <c r="AU15" s="688"/>
      <c r="AV15" s="688"/>
      <c r="AW15" s="688"/>
      <c r="AX15" s="688"/>
      <c r="AY15" s="688"/>
      <c r="AZ15" s="688"/>
      <c r="BA15" s="688"/>
      <c r="BB15" s="688"/>
    </row>
    <row r="16" spans="1:81" s="5" customFormat="1" ht="15.95" customHeight="1">
      <c r="A16" s="53"/>
      <c r="B16" s="1139" t="s">
        <v>39</v>
      </c>
      <c r="C16" s="1133" t="s">
        <v>40</v>
      </c>
      <c r="D16" s="1056" t="s">
        <v>245</v>
      </c>
      <c r="E16" s="1144"/>
      <c r="F16" s="1134" t="s">
        <v>300</v>
      </c>
      <c r="G16" s="1141" t="s">
        <v>171</v>
      </c>
      <c r="H16" s="1142"/>
      <c r="I16" s="1130" t="s">
        <v>871</v>
      </c>
      <c r="J16" s="1131"/>
      <c r="K16" s="1132"/>
      <c r="L16" s="1134" t="s">
        <v>305</v>
      </c>
      <c r="M16" s="1063" t="s">
        <v>798</v>
      </c>
      <c r="N16" s="1166" t="s">
        <v>798</v>
      </c>
      <c r="O16" s="1112"/>
      <c r="P16" s="1112"/>
      <c r="Q16" s="1112"/>
      <c r="R16" s="1112"/>
      <c r="S16" s="1112"/>
      <c r="T16" s="1112"/>
      <c r="U16" s="1112"/>
      <c r="V16" s="1112"/>
      <c r="W16" s="1112"/>
      <c r="X16" s="1112"/>
      <c r="Y16" s="1112"/>
      <c r="Z16" s="1112"/>
      <c r="AA16" s="1112"/>
      <c r="AB16" s="1112"/>
      <c r="AC16" s="1112"/>
      <c r="AD16" s="1112"/>
      <c r="AE16" s="1112"/>
      <c r="AF16" s="1112"/>
      <c r="AG16" s="1112"/>
      <c r="AH16" s="1112"/>
      <c r="AI16" s="1113"/>
      <c r="AJ16" s="1119" t="s">
        <v>967</v>
      </c>
      <c r="AK16" s="1160" t="s">
        <v>975</v>
      </c>
      <c r="AL16" s="1161"/>
      <c r="AM16" s="1161"/>
      <c r="AN16" s="1161"/>
      <c r="AO16" s="1161"/>
      <c r="AP16" s="1161"/>
      <c r="AQ16" s="1161"/>
      <c r="AR16" s="1161"/>
      <c r="AS16" s="1162"/>
      <c r="AT16" s="1143" t="s">
        <v>292</v>
      </c>
      <c r="AU16" s="1143"/>
      <c r="AV16" s="1143"/>
      <c r="AW16" s="1143"/>
      <c r="AX16" s="1143"/>
      <c r="AY16" s="1143"/>
      <c r="AZ16" s="1143"/>
      <c r="BA16" s="1143"/>
      <c r="BB16" s="1143"/>
      <c r="BC16" s="1133" t="s">
        <v>43</v>
      </c>
      <c r="BD16" s="1133"/>
      <c r="BE16" s="1128" t="s">
        <v>981</v>
      </c>
      <c r="BF16" s="1073" t="s">
        <v>734</v>
      </c>
      <c r="BG16" s="1145" t="s">
        <v>850</v>
      </c>
      <c r="BH16" s="14"/>
      <c r="BI16" s="14"/>
      <c r="BJ16" s="14"/>
      <c r="BK16" s="14"/>
      <c r="BL16" s="14"/>
      <c r="BM16" s="14"/>
      <c r="BN16" s="14"/>
      <c r="BO16" s="14"/>
      <c r="BP16" s="14"/>
      <c r="BQ16" s="14"/>
      <c r="BR16" s="14"/>
      <c r="BS16" s="14"/>
      <c r="BT16" s="14"/>
      <c r="BU16" s="14"/>
      <c r="BV16" s="14"/>
      <c r="BW16" s="14"/>
      <c r="BX16" s="14"/>
      <c r="BY16" s="14"/>
      <c r="BZ16" s="14"/>
      <c r="CA16" s="14"/>
      <c r="CB16" s="14"/>
      <c r="CC16" s="14"/>
    </row>
    <row r="17" spans="1:81" s="5" customFormat="1" ht="19.5" thickBot="1">
      <c r="A17" s="53"/>
      <c r="B17" s="1140"/>
      <c r="C17" s="1135"/>
      <c r="D17" s="149" t="s">
        <v>246</v>
      </c>
      <c r="E17" s="149" t="s">
        <v>244</v>
      </c>
      <c r="F17" s="1135"/>
      <c r="G17" s="638" t="s">
        <v>172</v>
      </c>
      <c r="H17" s="638" t="s">
        <v>173</v>
      </c>
      <c r="I17" s="528" t="s">
        <v>831</v>
      </c>
      <c r="J17" s="528" t="s">
        <v>832</v>
      </c>
      <c r="K17" s="528" t="s">
        <v>965</v>
      </c>
      <c r="L17" s="1135"/>
      <c r="M17" s="1064"/>
      <c r="N17" s="528" t="s">
        <v>173</v>
      </c>
      <c r="O17" s="528" t="s">
        <v>969</v>
      </c>
      <c r="P17" s="528" t="s">
        <v>970</v>
      </c>
      <c r="Q17" s="528" t="s">
        <v>971</v>
      </c>
      <c r="R17" s="537" t="s">
        <v>873</v>
      </c>
      <c r="S17" s="537" t="s">
        <v>874</v>
      </c>
      <c r="T17" s="537" t="s">
        <v>901</v>
      </c>
      <c r="U17" s="537" t="s">
        <v>902</v>
      </c>
      <c r="V17" s="537" t="s">
        <v>903</v>
      </c>
      <c r="W17" s="537" t="s">
        <v>904</v>
      </c>
      <c r="X17" s="537" t="s">
        <v>905</v>
      </c>
      <c r="Y17" s="537" t="s">
        <v>906</v>
      </c>
      <c r="Z17" s="537" t="s">
        <v>907</v>
      </c>
      <c r="AA17" s="537" t="s">
        <v>908</v>
      </c>
      <c r="AB17" s="537" t="s">
        <v>909</v>
      </c>
      <c r="AC17" s="537" t="s">
        <v>910</v>
      </c>
      <c r="AD17" s="537" t="s">
        <v>911</v>
      </c>
      <c r="AE17" s="537" t="s">
        <v>912</v>
      </c>
      <c r="AF17" s="528" t="s">
        <v>1046</v>
      </c>
      <c r="AG17" s="528" t="s">
        <v>1047</v>
      </c>
      <c r="AH17" s="528" t="s">
        <v>972</v>
      </c>
      <c r="AI17" s="528" t="s">
        <v>973</v>
      </c>
      <c r="AJ17" s="1120"/>
      <c r="AK17" s="538" t="s">
        <v>969</v>
      </c>
      <c r="AL17" s="538" t="s">
        <v>970</v>
      </c>
      <c r="AM17" s="538" t="s">
        <v>971</v>
      </c>
      <c r="AN17" s="538" t="s">
        <v>45</v>
      </c>
      <c r="AO17" s="538" t="s">
        <v>44</v>
      </c>
      <c r="AP17" s="538" t="s">
        <v>1046</v>
      </c>
      <c r="AQ17" s="538" t="s">
        <v>1047</v>
      </c>
      <c r="AR17" s="538" t="s">
        <v>972</v>
      </c>
      <c r="AS17" s="538" t="s">
        <v>973</v>
      </c>
      <c r="AT17" s="100" t="s">
        <v>293</v>
      </c>
      <c r="AU17" s="100" t="s">
        <v>294</v>
      </c>
      <c r="AV17" s="100" t="s">
        <v>295</v>
      </c>
      <c r="AW17" s="100" t="s">
        <v>45</v>
      </c>
      <c r="AX17" s="100" t="s">
        <v>44</v>
      </c>
      <c r="AY17" s="100" t="s">
        <v>302</v>
      </c>
      <c r="AZ17" s="100" t="s">
        <v>303</v>
      </c>
      <c r="BA17" s="100" t="s">
        <v>296</v>
      </c>
      <c r="BB17" s="100" t="s">
        <v>297</v>
      </c>
      <c r="BC17" s="149" t="s">
        <v>46</v>
      </c>
      <c r="BD17" s="149" t="s">
        <v>47</v>
      </c>
      <c r="BE17" s="1129"/>
      <c r="BF17" s="1074"/>
      <c r="BG17" s="1146"/>
      <c r="BH17" s="14"/>
      <c r="BI17" s="14"/>
      <c r="BJ17" s="14"/>
      <c r="BK17" s="14"/>
      <c r="BL17" s="14"/>
      <c r="BM17" s="14"/>
      <c r="BN17" s="14"/>
      <c r="BO17" s="14"/>
      <c r="BP17" s="14"/>
      <c r="BQ17" s="14"/>
      <c r="BR17" s="14"/>
      <c r="BS17" s="14"/>
      <c r="BT17" s="14"/>
      <c r="BU17" s="14"/>
      <c r="BV17" s="14"/>
      <c r="BW17" s="14"/>
      <c r="BX17" s="14"/>
      <c r="BY17" s="14"/>
      <c r="BZ17" s="14"/>
      <c r="CA17" s="14"/>
      <c r="CB17" s="14"/>
      <c r="CC17" s="14"/>
    </row>
    <row r="18" spans="1:81" ht="31.5">
      <c r="B18" s="178" t="s">
        <v>154</v>
      </c>
      <c r="C18" s="179">
        <v>1</v>
      </c>
      <c r="D18" s="232" t="s">
        <v>155</v>
      </c>
      <c r="E18" s="233"/>
      <c r="F18" s="185" t="s">
        <v>179</v>
      </c>
      <c r="G18" s="185"/>
      <c r="H18" s="187"/>
      <c r="I18" s="187"/>
      <c r="J18" s="187"/>
      <c r="K18" s="187"/>
      <c r="L18" s="187"/>
      <c r="M18" s="186"/>
      <c r="N18" s="186"/>
      <c r="O18" s="186"/>
      <c r="P18" s="186"/>
      <c r="Q18" s="186"/>
      <c r="R18" s="186"/>
      <c r="S18" s="186"/>
      <c r="T18" s="186"/>
      <c r="U18" s="186"/>
      <c r="V18" s="186"/>
      <c r="W18" s="186"/>
      <c r="X18" s="186"/>
      <c r="Y18" s="186"/>
      <c r="Z18" s="186"/>
      <c r="AA18" s="186"/>
      <c r="AB18" s="186"/>
      <c r="AC18" s="186"/>
      <c r="AD18" s="186"/>
      <c r="AE18" s="186"/>
      <c r="AF18" s="186"/>
      <c r="AG18" s="186"/>
      <c r="AH18" s="186"/>
      <c r="AI18" s="186"/>
      <c r="AJ18" s="186"/>
      <c r="AK18" s="186"/>
      <c r="AL18" s="186"/>
      <c r="AM18" s="186"/>
      <c r="AN18" s="186"/>
      <c r="AO18" s="186"/>
      <c r="AP18" s="186"/>
      <c r="AQ18" s="186"/>
      <c r="AR18" s="186"/>
      <c r="AS18" s="186"/>
      <c r="AT18" s="693"/>
      <c r="AU18" s="693"/>
      <c r="AV18" s="693"/>
      <c r="AW18" s="693"/>
      <c r="AX18" s="693"/>
      <c r="AY18" s="693"/>
      <c r="AZ18" s="693"/>
      <c r="BA18" s="693"/>
      <c r="BB18" s="693"/>
      <c r="BC18" s="91"/>
      <c r="BD18" s="91"/>
      <c r="BE18" s="706" t="s">
        <v>1136</v>
      </c>
      <c r="BF18" s="466"/>
      <c r="BG18" s="626"/>
    </row>
    <row r="19" spans="1:81" s="15" customFormat="1">
      <c r="A19" s="16"/>
      <c r="B19" s="75" t="s">
        <v>154</v>
      </c>
      <c r="C19" s="76">
        <v>1</v>
      </c>
      <c r="D19" s="104"/>
      <c r="E19" s="94"/>
      <c r="F19" s="76"/>
      <c r="G19" s="79"/>
      <c r="H19" s="79"/>
      <c r="I19" s="76"/>
      <c r="J19" s="76"/>
      <c r="K19" s="76"/>
      <c r="L19" s="79"/>
      <c r="M19" s="76"/>
      <c r="N19" s="508" t="str">
        <f>IFERROR(CONCATENATE("tCO2e/",VLOOKUP($M19,'Emission factors'!$C:$H,6,FALSE)),"")</f>
        <v/>
      </c>
      <c r="O19" s="508" t="str">
        <f>IFERROR(VLOOKUP($M19,'Emission factors'!$C:$BQ,9,FALSE),"")</f>
        <v/>
      </c>
      <c r="P19" s="508" t="str">
        <f>IFERROR(VLOOKUP($M19,'Emission factors'!$C:$BQ,12,FALSE),"")</f>
        <v/>
      </c>
      <c r="Q19" s="508" t="str">
        <f>IFERROR(VLOOKUP($M19,'Emission factors'!$C:$BQ,15,FALSE),"")</f>
        <v/>
      </c>
      <c r="R19" s="508" t="str">
        <f>IFERROR(VLOOKUP($M19,'Emission factors'!$C:$BQ,18,FALSE),"")</f>
        <v/>
      </c>
      <c r="S19" s="508" t="str">
        <f>IFERROR(VLOOKUP($M19,'Emission factors'!$C:$BQ,21,FALSE),"")</f>
        <v/>
      </c>
      <c r="T19" s="508" t="str">
        <f>IFERROR(VLOOKUP($M19,'Emission factors'!$C:$BQ,24,FALSE),"")</f>
        <v/>
      </c>
      <c r="U19" s="508" t="str">
        <f>IFERROR(VLOOKUP($M19,'Emission factors'!$C:$BQ,27,FALSE),"")</f>
        <v/>
      </c>
      <c r="V19" s="508" t="str">
        <f>IFERROR(VLOOKUP($M19,'Emission factors'!$C:$BQ,30,FALSE),"")</f>
        <v/>
      </c>
      <c r="W19" s="508" t="str">
        <f>IFERROR(VLOOKUP($M19,'Emission factors'!$C:$BQ,33,FALSE),"")</f>
        <v/>
      </c>
      <c r="X19" s="508" t="str">
        <f>IFERROR(VLOOKUP($M19,'Emission factors'!$C:$BQ,36,FALSE),"")</f>
        <v/>
      </c>
      <c r="Y19" s="508" t="str">
        <f>IFERROR(VLOOKUP($M19,'Emission factors'!$C:$BQ,39,FALSE),"")</f>
        <v/>
      </c>
      <c r="Z19" s="508" t="str">
        <f>IFERROR(VLOOKUP($M19,'Emission factors'!$C:$BQ,42,FALSE),"")</f>
        <v/>
      </c>
      <c r="AA19" s="508" t="str">
        <f>IFERROR(VLOOKUP($M19,'Emission factors'!$C:$BQ,45,FALSE),"")</f>
        <v/>
      </c>
      <c r="AB19" s="508" t="str">
        <f>IFERROR(VLOOKUP($M19,'Emission factors'!$C:$BQ,48,FALSE),"")</f>
        <v/>
      </c>
      <c r="AC19" s="508" t="str">
        <f>IFERROR(VLOOKUP($M19,'Emission factors'!$C:$BQ,51,FALSE),"")</f>
        <v/>
      </c>
      <c r="AD19" s="508" t="str">
        <f>IFERROR(VLOOKUP($M19,'Emission factors'!$C:$BQ,54,FALSE),"")</f>
        <v/>
      </c>
      <c r="AE19" s="508" t="str">
        <f>IFERROR(VLOOKUP($M19,'Emission factors'!$C:$BQ,57,FALSE),"")</f>
        <v/>
      </c>
      <c r="AF19" s="508" t="str">
        <f>IFERROR(VLOOKUP($M19,'Emission factors'!$C:$BQ,60,FALSE),"")</f>
        <v/>
      </c>
      <c r="AG19" s="508" t="str">
        <f>IFERROR(VLOOKUP($M19,'Emission factors'!$C:$BQ,63,FALSE),"")</f>
        <v/>
      </c>
      <c r="AH19" s="508" t="str">
        <f>IFERROR(VLOOKUP($M19,'Emission factors'!$C:$BQ,65,FALSE),"")</f>
        <v/>
      </c>
      <c r="AI19" s="508" t="str">
        <f>IFERROR(VLOOKUP($M19,'Emission factors'!$C:$BQ,67,FALSE),"")</f>
        <v/>
      </c>
      <c r="AJ19" s="79"/>
      <c r="AK19" s="79"/>
      <c r="AL19" s="79"/>
      <c r="AM19" s="79"/>
      <c r="AN19" s="79"/>
      <c r="AO19" s="79"/>
      <c r="AP19" s="79"/>
      <c r="AQ19" s="79"/>
      <c r="AR19" s="79"/>
      <c r="AS19" s="79"/>
      <c r="AT19" s="677" t="str">
        <f t="shared" ref="AT19:AV20" si="1">IFERROR(IF(AND($M19="",$AJ19=""),"",IF($M19="",IF(AK19=0,"-",AK19),IF(O19=0,"0",$G19*IF($K19="",1,$K19)*O19))),"-")</f>
        <v/>
      </c>
      <c r="AU19" s="677" t="str">
        <f t="shared" si="1"/>
        <v/>
      </c>
      <c r="AV19" s="677" t="str">
        <f t="shared" si="1"/>
        <v/>
      </c>
      <c r="AW19" s="677" t="str">
        <f>IFERROR(IF(AND($M19="",$AJ19=""),"",IF($M19="",IF(AN19=0,"-",AN19),IF(AND(R19=0,S19=0),"0",$G19*IF($K19="",1,$K19)*(R19+S19)))),"-")</f>
        <v/>
      </c>
      <c r="AX19" s="677" t="str">
        <f>IFERROR(IF(AND($M19="",$AJ19=""),"",IF($M19="",IF(AO19=0,"-",AO19),IF(AND(T19=0,U19=0,V19=0,W19=0,X19=0,Y19=0,Z19=0,AA19=0,AB19=0,AC19=0,AD19=0,AE19=0),"0",$G19*IF($K19="",1,$K19)*(T19+U19+V19+W19+X19+Y19+Z19+AA19+AB19+AC19+AD19+AE19)))),"-")</f>
        <v/>
      </c>
      <c r="AY19" s="677" t="str">
        <f>IFERROR(IF(AND($M19="",$AJ19=""),"",IF($M19="",IF(AP19=0,"-",AP19),IF(AF19=0,"0",$G19*IF($K19="",1,$K19)*AF19))),"-")</f>
        <v/>
      </c>
      <c r="AZ19" s="677" t="str">
        <f>IFERROR(IF(AND($M19="",$AJ19=""),"",IF($M19="",IF(AQ19=0,"-",AQ19),IF(AG19=0,"0",$G19*IF($K19="",1,$K19)*AG19))),"-")</f>
        <v/>
      </c>
      <c r="BA19" s="677" t="str">
        <f>IFERROR(IF(AND($M19="",$AJ19=""),"",IF($M19="",IF(AR19="",SUM(AT19:AZ19),IF(AR19=0,"0",AR19)),IF($AH19="",SUM($AT19:$AZ19),IF($AH19=0,"0",$G19*IF($K19="",1,$K19)*$AH19)))),"-")</f>
        <v/>
      </c>
      <c r="BB19" s="677" t="str">
        <f>IFERROR(IF(AND($M19="",$AJ19=""),"",IF($M19="",IF(AS19=0,"-",AS19),IF(AI19=0,"0",$G19*IF($K19="",1,$K19)*AI19))),"-")</f>
        <v/>
      </c>
      <c r="BC19" s="95"/>
      <c r="BD19" s="95"/>
      <c r="BE19" s="544"/>
      <c r="BF19" s="545"/>
      <c r="BG19" s="604"/>
    </row>
    <row r="20" spans="1:81" s="15" customFormat="1" ht="15" customHeight="1" thickBot="1">
      <c r="A20" s="16"/>
      <c r="B20" s="107" t="s">
        <v>154</v>
      </c>
      <c r="C20" s="99">
        <v>1</v>
      </c>
      <c r="D20" s="98"/>
      <c r="E20" s="97"/>
      <c r="F20" s="99"/>
      <c r="G20" s="99"/>
      <c r="H20" s="99"/>
      <c r="I20" s="99"/>
      <c r="J20" s="99"/>
      <c r="K20" s="99"/>
      <c r="L20" s="148"/>
      <c r="M20" s="99"/>
      <c r="N20" s="526" t="str">
        <f>IFERROR(CONCATENATE("tCO2e/",VLOOKUP($M20,'Emission factors'!$C:$H,6,FALSE)),"")</f>
        <v/>
      </c>
      <c r="O20" s="526" t="str">
        <f>IFERROR(VLOOKUP($M20,'Emission factors'!$C:$BQ,9,FALSE),"")</f>
        <v/>
      </c>
      <c r="P20" s="526" t="str">
        <f>IFERROR(VLOOKUP($M20,'Emission factors'!$C:$BQ,12,FALSE),"")</f>
        <v/>
      </c>
      <c r="Q20" s="526" t="str">
        <f>IFERROR(VLOOKUP($M20,'Emission factors'!$C:$BQ,15,FALSE),"")</f>
        <v/>
      </c>
      <c r="R20" s="526" t="str">
        <f>IFERROR(VLOOKUP($M20,'Emission factors'!$C:$BQ,18,FALSE),"")</f>
        <v/>
      </c>
      <c r="S20" s="526" t="str">
        <f>IFERROR(VLOOKUP($M20,'Emission factors'!$C:$BQ,21,FALSE),"")</f>
        <v/>
      </c>
      <c r="T20" s="526" t="str">
        <f>IFERROR(VLOOKUP($M20,'Emission factors'!$C:$BQ,24,FALSE),"")</f>
        <v/>
      </c>
      <c r="U20" s="526" t="str">
        <f>IFERROR(VLOOKUP($M20,'Emission factors'!$C:$BQ,27,FALSE),"")</f>
        <v/>
      </c>
      <c r="V20" s="526" t="str">
        <f>IFERROR(VLOOKUP($M20,'Emission factors'!$C:$BQ,30,FALSE),"")</f>
        <v/>
      </c>
      <c r="W20" s="526" t="str">
        <f>IFERROR(VLOOKUP($M20,'Emission factors'!$C:$BQ,33,FALSE),"")</f>
        <v/>
      </c>
      <c r="X20" s="526" t="str">
        <f>IFERROR(VLOOKUP($M20,'Emission factors'!$C:$BQ,36,FALSE),"")</f>
        <v/>
      </c>
      <c r="Y20" s="526" t="str">
        <f>IFERROR(VLOOKUP($M20,'Emission factors'!$C:$BQ,39,FALSE),"")</f>
        <v/>
      </c>
      <c r="Z20" s="526" t="str">
        <f>IFERROR(VLOOKUP($M20,'Emission factors'!$C:$BQ,42,FALSE),"")</f>
        <v/>
      </c>
      <c r="AA20" s="526" t="str">
        <f>IFERROR(VLOOKUP($M20,'Emission factors'!$C:$BQ,45,FALSE),"")</f>
        <v/>
      </c>
      <c r="AB20" s="526" t="str">
        <f>IFERROR(VLOOKUP($M20,'Emission factors'!$C:$BQ,48,FALSE),"")</f>
        <v/>
      </c>
      <c r="AC20" s="526" t="str">
        <f>IFERROR(VLOOKUP($M20,'Emission factors'!$C:$BQ,51,FALSE),"")</f>
        <v/>
      </c>
      <c r="AD20" s="526" t="str">
        <f>IFERROR(VLOOKUP($M20,'Emission factors'!$C:$BQ,54,FALSE),"")</f>
        <v/>
      </c>
      <c r="AE20" s="526" t="str">
        <f>IFERROR(VLOOKUP($M20,'Emission factors'!$C:$BQ,57,FALSE),"")</f>
        <v/>
      </c>
      <c r="AF20" s="526" t="str">
        <f>IFERROR(VLOOKUP($M20,'Emission factors'!$C:$BQ,60,FALSE),"")</f>
        <v/>
      </c>
      <c r="AG20" s="526" t="str">
        <f>IFERROR(VLOOKUP($M20,'Emission factors'!$C:$BQ,63,FALSE),"")</f>
        <v/>
      </c>
      <c r="AH20" s="526" t="str">
        <f>IFERROR(VLOOKUP($M20,'Emission factors'!$C:$BQ,65,FALSE),"")</f>
        <v/>
      </c>
      <c r="AI20" s="526" t="str">
        <f>IFERROR(VLOOKUP($M20,'Emission factors'!$C:$BQ,67,FALSE),"")</f>
        <v/>
      </c>
      <c r="AJ20" s="99"/>
      <c r="AK20" s="148"/>
      <c r="AL20" s="148"/>
      <c r="AM20" s="148"/>
      <c r="AN20" s="148"/>
      <c r="AO20" s="148"/>
      <c r="AP20" s="148"/>
      <c r="AQ20" s="148"/>
      <c r="AR20" s="148"/>
      <c r="AS20" s="148"/>
      <c r="AT20" s="680" t="str">
        <f t="shared" si="1"/>
        <v/>
      </c>
      <c r="AU20" s="680" t="str">
        <f t="shared" si="1"/>
        <v/>
      </c>
      <c r="AV20" s="680" t="str">
        <f t="shared" si="1"/>
        <v/>
      </c>
      <c r="AW20" s="680" t="str">
        <f>IFERROR(IF(AND($M20="",$AJ20=""),"",IF($M20="",IF(AN20=0,"-",AN20),IF(AND(R20=0,S20=0),"0",$G20*IF($K20="",1,$K20)*(R20+S20)))),"-")</f>
        <v/>
      </c>
      <c r="AX20" s="680" t="str">
        <f>IFERROR(IF(AND($M20="",$AJ20=""),"",IF($M20="",IF(AO20=0,"-",AO20),IF(AND(T20=0,U20=0,V20=0,W20=0,X20=0,Y20=0,Z20=0,AA20=0,AB20=0,AC20=0,AD20=0,AE20=0),"0",$G20*IF($K20="",1,$K20)*(T20+U20+V20+W20+X20+Y20+Z20+AA20+AB20+AC20+AD20+AE20)))),"-")</f>
        <v/>
      </c>
      <c r="AY20" s="680" t="str">
        <f>IFERROR(IF(AND($M20="",$AJ20=""),"",IF($M20="",IF(AP20=0,"-",AP20),IF(AF20=0,"0",$G20*IF($K20="",1,$K20)*AF20))),"-")</f>
        <v/>
      </c>
      <c r="AZ20" s="680" t="str">
        <f>IFERROR(IF(AND($M20="",$AJ20=""),"",IF($M20="",IF(AQ20=0,"-",AQ20),IF(AG20=0,"0",$G20*IF($K20="",1,$K20)*AG20))),"-")</f>
        <v/>
      </c>
      <c r="BA20" s="680" t="str">
        <f>IFERROR(IF(AND($M20="",$AJ20=""),"",IF($M20="",IF(AR20="",SUM(AT20:AZ20),IF(AR20=0,"0",AR20)),IF($AH20="",SUM($AT20:$AZ20),IF($AH20=0,"0",$G20*IF($K20="",1,$K20)*$AH20)))),"-")</f>
        <v/>
      </c>
      <c r="BB20" s="680" t="str">
        <f>IFERROR(IF(AND($M20="",$AJ20=""),"",IF($M20="",IF(AS20=0,"-",AS20),IF(AI20=0,"0",$G20*IF($K20="",1,$K20)*AI20))),"-")</f>
        <v/>
      </c>
      <c r="BC20" s="653"/>
      <c r="BD20" s="653"/>
      <c r="BE20" s="654"/>
      <c r="BF20" s="548"/>
      <c r="BG20" s="607"/>
    </row>
    <row r="21" spans="1:81" s="15" customFormat="1">
      <c r="A21" s="16"/>
      <c r="B21" s="14"/>
      <c r="C21" s="14"/>
      <c r="F21" s="16"/>
      <c r="G21" s="648"/>
      <c r="H21" s="648"/>
      <c r="I21" s="648"/>
      <c r="J21" s="648"/>
      <c r="K21" s="648"/>
      <c r="L21" s="648"/>
      <c r="AT21" s="688"/>
      <c r="AU21" s="688"/>
      <c r="AV21" s="688"/>
      <c r="AW21" s="688"/>
      <c r="AX21" s="688"/>
      <c r="AY21" s="688"/>
      <c r="AZ21" s="688"/>
      <c r="BA21" s="688"/>
      <c r="BB21" s="688"/>
    </row>
    <row r="22" spans="1:81" s="15" customFormat="1" ht="15" customHeight="1">
      <c r="A22" s="16"/>
      <c r="B22" s="224" t="s">
        <v>631</v>
      </c>
      <c r="C22" s="14"/>
      <c r="F22" s="16"/>
      <c r="G22" s="648"/>
      <c r="H22" s="648"/>
      <c r="I22" s="648"/>
      <c r="J22" s="648"/>
      <c r="K22" s="648"/>
      <c r="L22" s="648"/>
      <c r="AT22" s="688"/>
      <c r="AU22" s="688"/>
      <c r="AV22" s="688"/>
      <c r="AW22" s="688"/>
      <c r="AX22" s="688"/>
      <c r="AY22" s="688"/>
      <c r="AZ22" s="688"/>
      <c r="BA22" s="688"/>
      <c r="BB22" s="688"/>
    </row>
    <row r="23" spans="1:81" s="15" customFormat="1">
      <c r="A23" s="16"/>
      <c r="B23" s="14"/>
      <c r="C23" s="14"/>
      <c r="F23" s="16"/>
      <c r="G23" s="648"/>
      <c r="H23" s="648"/>
      <c r="I23" s="648"/>
      <c r="J23" s="648"/>
      <c r="K23" s="648"/>
      <c r="L23" s="648"/>
      <c r="AT23" s="688"/>
      <c r="AU23" s="688"/>
      <c r="AV23" s="688"/>
      <c r="AW23" s="688"/>
      <c r="AX23" s="688"/>
      <c r="AY23" s="688"/>
      <c r="AZ23" s="688"/>
      <c r="BA23" s="688"/>
      <c r="BB23" s="688"/>
    </row>
    <row r="24" spans="1:81" s="15" customFormat="1">
      <c r="A24" s="16"/>
      <c r="B24" s="14"/>
      <c r="C24" s="14"/>
      <c r="F24" s="16"/>
      <c r="G24" s="648"/>
      <c r="H24" s="648"/>
      <c r="I24" s="648"/>
      <c r="J24" s="648"/>
      <c r="K24" s="648"/>
      <c r="L24" s="648"/>
      <c r="AT24" s="688"/>
      <c r="AU24" s="688"/>
      <c r="AV24" s="688"/>
      <c r="AW24" s="688"/>
      <c r="AX24" s="688"/>
      <c r="AY24" s="688"/>
      <c r="AZ24" s="688"/>
      <c r="BA24" s="688"/>
      <c r="BB24" s="688"/>
    </row>
    <row r="25" spans="1:81" s="15" customFormat="1">
      <c r="A25" s="16"/>
      <c r="B25" s="14"/>
      <c r="C25" s="14"/>
      <c r="F25" s="16"/>
      <c r="G25" s="648"/>
      <c r="H25" s="648"/>
      <c r="I25" s="648"/>
      <c r="J25" s="648"/>
      <c r="K25" s="648"/>
      <c r="L25" s="648"/>
      <c r="AT25" s="688"/>
      <c r="AU25" s="688"/>
      <c r="AV25" s="688"/>
      <c r="AW25" s="688"/>
      <c r="AX25" s="688"/>
      <c r="AY25" s="688"/>
      <c r="AZ25" s="688"/>
      <c r="BA25" s="688"/>
      <c r="BB25" s="688"/>
    </row>
    <row r="26" spans="1:81" s="15" customFormat="1">
      <c r="A26" s="16"/>
      <c r="B26" s="14"/>
      <c r="C26" s="14"/>
      <c r="F26" s="16"/>
      <c r="G26" s="648"/>
      <c r="H26" s="648"/>
      <c r="I26" s="648"/>
      <c r="J26" s="648"/>
      <c r="K26" s="648"/>
      <c r="L26" s="648"/>
      <c r="AT26" s="688"/>
      <c r="AU26" s="688"/>
      <c r="AV26" s="688"/>
      <c r="AW26" s="688"/>
      <c r="AX26" s="688"/>
      <c r="AY26" s="688"/>
      <c r="AZ26" s="688"/>
      <c r="BA26" s="688"/>
      <c r="BB26" s="688"/>
    </row>
    <row r="27" spans="1:81" s="15" customFormat="1">
      <c r="A27" s="16"/>
      <c r="B27" s="14"/>
      <c r="C27" s="14"/>
      <c r="F27" s="16"/>
      <c r="G27" s="648"/>
      <c r="H27" s="648"/>
      <c r="I27" s="648"/>
      <c r="J27" s="648"/>
      <c r="K27" s="648"/>
      <c r="L27" s="648"/>
      <c r="AT27" s="688"/>
      <c r="AU27" s="688"/>
      <c r="AV27" s="688"/>
      <c r="AW27" s="688"/>
      <c r="AX27" s="688"/>
      <c r="AY27" s="688"/>
      <c r="AZ27" s="688"/>
      <c r="BA27" s="688"/>
      <c r="BB27" s="688"/>
    </row>
    <row r="28" spans="1:81" s="15" customFormat="1">
      <c r="A28" s="16"/>
      <c r="B28" s="14"/>
      <c r="C28" s="14"/>
      <c r="F28" s="16"/>
      <c r="G28" s="648"/>
      <c r="H28" s="648"/>
      <c r="I28" s="648"/>
      <c r="J28" s="648"/>
      <c r="K28" s="648"/>
      <c r="L28" s="648"/>
      <c r="AT28" s="688"/>
      <c r="AU28" s="688"/>
      <c r="AV28" s="688"/>
      <c r="AW28" s="688"/>
      <c r="AX28" s="688"/>
      <c r="AY28" s="688"/>
      <c r="AZ28" s="688"/>
      <c r="BA28" s="688"/>
      <c r="BB28" s="688"/>
    </row>
    <row r="29" spans="1:81" s="15" customFormat="1">
      <c r="A29" s="16"/>
      <c r="B29" s="14"/>
      <c r="C29" s="14"/>
      <c r="F29" s="16"/>
      <c r="G29" s="648"/>
      <c r="H29" s="648"/>
      <c r="I29" s="648"/>
      <c r="J29" s="648"/>
      <c r="K29" s="648"/>
      <c r="L29" s="648"/>
      <c r="AT29" s="688"/>
      <c r="AU29" s="688"/>
      <c r="AV29" s="688"/>
      <c r="AW29" s="688"/>
      <c r="AX29" s="688"/>
      <c r="AY29" s="688"/>
      <c r="AZ29" s="688"/>
      <c r="BA29" s="688"/>
      <c r="BB29" s="688"/>
    </row>
    <row r="30" spans="1:81" s="15" customFormat="1">
      <c r="A30" s="16"/>
      <c r="B30" s="14"/>
      <c r="C30" s="14"/>
      <c r="F30" s="16"/>
      <c r="G30" s="648"/>
      <c r="H30" s="648"/>
      <c r="I30" s="648"/>
      <c r="J30" s="648"/>
      <c r="K30" s="648"/>
      <c r="L30" s="648"/>
      <c r="AT30" s="688"/>
      <c r="AU30" s="688"/>
      <c r="AV30" s="688"/>
      <c r="AW30" s="688"/>
      <c r="AX30" s="688"/>
      <c r="AY30" s="688"/>
      <c r="AZ30" s="688"/>
      <c r="BA30" s="688"/>
      <c r="BB30" s="688"/>
    </row>
    <row r="31" spans="1:81" s="15" customFormat="1">
      <c r="A31" s="16"/>
      <c r="B31" s="14"/>
      <c r="C31" s="14"/>
      <c r="F31" s="16"/>
      <c r="G31" s="648"/>
      <c r="H31" s="648"/>
      <c r="I31" s="648"/>
      <c r="J31" s="648"/>
      <c r="K31" s="648"/>
      <c r="L31" s="648"/>
      <c r="AT31" s="688"/>
      <c r="AU31" s="688"/>
      <c r="AV31" s="688"/>
      <c r="AW31" s="688"/>
      <c r="AX31" s="688"/>
      <c r="AY31" s="688"/>
      <c r="AZ31" s="688"/>
      <c r="BA31" s="688"/>
      <c r="BB31" s="688"/>
    </row>
    <row r="32" spans="1:81" s="15" customFormat="1">
      <c r="A32" s="16"/>
      <c r="B32" s="14"/>
      <c r="C32" s="14"/>
      <c r="F32" s="16"/>
      <c r="G32" s="648"/>
      <c r="H32" s="648"/>
      <c r="I32" s="648"/>
      <c r="J32" s="648"/>
      <c r="K32" s="648"/>
      <c r="L32" s="648"/>
      <c r="AT32" s="688"/>
      <c r="AU32" s="688"/>
      <c r="AV32" s="688"/>
      <c r="AW32" s="688"/>
      <c r="AX32" s="688"/>
      <c r="AY32" s="688"/>
      <c r="AZ32" s="688"/>
      <c r="BA32" s="688"/>
      <c r="BB32" s="688"/>
    </row>
    <row r="33" spans="1:54" s="15" customFormat="1">
      <c r="A33" s="16"/>
      <c r="B33" s="14"/>
      <c r="C33" s="14"/>
      <c r="F33" s="16"/>
      <c r="G33" s="648"/>
      <c r="H33" s="648"/>
      <c r="I33" s="648"/>
      <c r="J33" s="648"/>
      <c r="K33" s="648"/>
      <c r="L33" s="648"/>
      <c r="AT33" s="688"/>
      <c r="AU33" s="688"/>
      <c r="AV33" s="688"/>
      <c r="AW33" s="688"/>
      <c r="AX33" s="688"/>
      <c r="AY33" s="688"/>
      <c r="AZ33" s="688"/>
      <c r="BA33" s="688"/>
      <c r="BB33" s="688"/>
    </row>
    <row r="34" spans="1:54" s="15" customFormat="1">
      <c r="A34" s="16"/>
      <c r="B34" s="14"/>
      <c r="C34" s="14"/>
      <c r="F34" s="16"/>
      <c r="G34" s="648"/>
      <c r="H34" s="648"/>
      <c r="I34" s="648"/>
      <c r="J34" s="648"/>
      <c r="K34" s="648"/>
      <c r="L34" s="648"/>
      <c r="AT34" s="688"/>
      <c r="AU34" s="688"/>
      <c r="AV34" s="688"/>
      <c r="AW34" s="688"/>
      <c r="AX34" s="688"/>
      <c r="AY34" s="688"/>
      <c r="AZ34" s="688"/>
      <c r="BA34" s="688"/>
      <c r="BB34" s="688"/>
    </row>
    <row r="35" spans="1:54" s="15" customFormat="1">
      <c r="A35" s="16"/>
      <c r="B35" s="14"/>
      <c r="C35" s="14"/>
      <c r="F35" s="16"/>
      <c r="G35" s="648"/>
      <c r="H35" s="648"/>
      <c r="I35" s="648"/>
      <c r="J35" s="648"/>
      <c r="K35" s="648"/>
      <c r="L35" s="648"/>
      <c r="AT35" s="688"/>
      <c r="AU35" s="688"/>
      <c r="AV35" s="688"/>
      <c r="AW35" s="688"/>
      <c r="AX35" s="688"/>
      <c r="AY35" s="688"/>
      <c r="AZ35" s="688"/>
      <c r="BA35" s="688"/>
      <c r="BB35" s="688"/>
    </row>
    <row r="36" spans="1:54" s="15" customFormat="1">
      <c r="A36" s="16"/>
      <c r="B36" s="14"/>
      <c r="C36" s="14"/>
      <c r="F36" s="16"/>
      <c r="G36" s="648"/>
      <c r="H36" s="648"/>
      <c r="I36" s="648"/>
      <c r="J36" s="648"/>
      <c r="K36" s="648"/>
      <c r="L36" s="648"/>
      <c r="AT36" s="688"/>
      <c r="AU36" s="688"/>
      <c r="AV36" s="688"/>
      <c r="AW36" s="688"/>
      <c r="AX36" s="688"/>
      <c r="AY36" s="688"/>
      <c r="AZ36" s="688"/>
      <c r="BA36" s="688"/>
      <c r="BB36" s="688"/>
    </row>
    <row r="37" spans="1:54" s="15" customFormat="1">
      <c r="A37" s="16"/>
      <c r="B37" s="14"/>
      <c r="C37" s="14"/>
      <c r="F37" s="16"/>
      <c r="G37" s="648"/>
      <c r="H37" s="648"/>
      <c r="I37" s="648"/>
      <c r="J37" s="648"/>
      <c r="K37" s="648"/>
      <c r="L37" s="648"/>
      <c r="AT37" s="688"/>
      <c r="AU37" s="688"/>
      <c r="AV37" s="688"/>
      <c r="AW37" s="688"/>
      <c r="AX37" s="688"/>
      <c r="AY37" s="688"/>
      <c r="AZ37" s="688"/>
      <c r="BA37" s="688"/>
      <c r="BB37" s="688"/>
    </row>
    <row r="38" spans="1:54" s="15" customFormat="1">
      <c r="A38" s="16"/>
      <c r="B38" s="14"/>
      <c r="C38" s="14"/>
      <c r="F38" s="16"/>
      <c r="G38" s="648"/>
      <c r="H38" s="648"/>
      <c r="I38" s="648"/>
      <c r="J38" s="648"/>
      <c r="K38" s="648"/>
      <c r="L38" s="648"/>
      <c r="AT38" s="688"/>
      <c r="AU38" s="688"/>
      <c r="AV38" s="688"/>
      <c r="AW38" s="688"/>
      <c r="AX38" s="688"/>
      <c r="AY38" s="688"/>
      <c r="AZ38" s="688"/>
      <c r="BA38" s="688"/>
      <c r="BB38" s="688"/>
    </row>
    <row r="39" spans="1:54" s="15" customFormat="1">
      <c r="A39" s="16"/>
      <c r="B39" s="14"/>
      <c r="C39" s="14"/>
      <c r="F39" s="16"/>
      <c r="G39" s="648"/>
      <c r="H39" s="648"/>
      <c r="I39" s="648"/>
      <c r="J39" s="648"/>
      <c r="K39" s="648"/>
      <c r="L39" s="648"/>
      <c r="AT39" s="688"/>
      <c r="AU39" s="688"/>
      <c r="AV39" s="688"/>
      <c r="AW39" s="688"/>
      <c r="AX39" s="688"/>
      <c r="AY39" s="688"/>
      <c r="AZ39" s="688"/>
      <c r="BA39" s="688"/>
      <c r="BB39" s="688"/>
    </row>
    <row r="40" spans="1:54" s="15" customFormat="1">
      <c r="A40" s="16"/>
      <c r="B40" s="14"/>
      <c r="C40" s="14"/>
      <c r="F40" s="16"/>
      <c r="G40" s="648"/>
      <c r="H40" s="648"/>
      <c r="I40" s="648"/>
      <c r="J40" s="648"/>
      <c r="K40" s="648"/>
      <c r="L40" s="648"/>
      <c r="AT40" s="688"/>
      <c r="AU40" s="688"/>
      <c r="AV40" s="688"/>
      <c r="AW40" s="688"/>
      <c r="AX40" s="688"/>
      <c r="AY40" s="688"/>
      <c r="AZ40" s="688"/>
      <c r="BA40" s="688"/>
      <c r="BB40" s="688"/>
    </row>
    <row r="41" spans="1:54" s="15" customFormat="1">
      <c r="A41" s="16"/>
      <c r="B41" s="14"/>
      <c r="C41" s="14"/>
      <c r="F41" s="16"/>
      <c r="G41" s="648"/>
      <c r="H41" s="648"/>
      <c r="I41" s="648"/>
      <c r="J41" s="648"/>
      <c r="K41" s="648"/>
      <c r="L41" s="648"/>
      <c r="AT41" s="688"/>
      <c r="AU41" s="688"/>
      <c r="AV41" s="688"/>
      <c r="AW41" s="688"/>
      <c r="AX41" s="688"/>
      <c r="AY41" s="688"/>
      <c r="AZ41" s="688"/>
      <c r="BA41" s="688"/>
      <c r="BB41" s="688"/>
    </row>
    <row r="42" spans="1:54" s="15" customFormat="1">
      <c r="A42" s="16"/>
      <c r="B42" s="14"/>
      <c r="C42" s="14"/>
      <c r="F42" s="16"/>
      <c r="G42" s="648"/>
      <c r="H42" s="648"/>
      <c r="I42" s="648"/>
      <c r="J42" s="648"/>
      <c r="K42" s="648"/>
      <c r="L42" s="648"/>
      <c r="AT42" s="688"/>
      <c r="AU42" s="688"/>
      <c r="AV42" s="688"/>
      <c r="AW42" s="688"/>
      <c r="AX42" s="688"/>
      <c r="AY42" s="688"/>
      <c r="AZ42" s="688"/>
      <c r="BA42" s="688"/>
      <c r="BB42" s="688"/>
    </row>
    <row r="43" spans="1:54" s="15" customFormat="1">
      <c r="A43" s="16"/>
      <c r="B43" s="14"/>
      <c r="C43" s="14"/>
      <c r="F43" s="16"/>
      <c r="G43" s="648"/>
      <c r="H43" s="648"/>
      <c r="I43" s="648"/>
      <c r="J43" s="648"/>
      <c r="K43" s="648"/>
      <c r="L43" s="648"/>
      <c r="AT43" s="688"/>
      <c r="AU43" s="688"/>
      <c r="AV43" s="688"/>
      <c r="AW43" s="688"/>
      <c r="AX43" s="688"/>
      <c r="AY43" s="688"/>
      <c r="AZ43" s="688"/>
      <c r="BA43" s="688"/>
      <c r="BB43" s="688"/>
    </row>
    <row r="44" spans="1:54" s="15" customFormat="1">
      <c r="A44" s="16"/>
      <c r="B44" s="14"/>
      <c r="C44" s="14"/>
      <c r="F44" s="16"/>
      <c r="G44" s="648"/>
      <c r="H44" s="648"/>
      <c r="I44" s="648"/>
      <c r="J44" s="648"/>
      <c r="K44" s="648"/>
      <c r="L44" s="648"/>
      <c r="AT44" s="688"/>
      <c r="AU44" s="688"/>
      <c r="AV44" s="688"/>
      <c r="AW44" s="688"/>
      <c r="AX44" s="688"/>
      <c r="AY44" s="688"/>
      <c r="AZ44" s="688"/>
      <c r="BA44" s="688"/>
      <c r="BB44" s="688"/>
    </row>
    <row r="45" spans="1:54" s="15" customFormat="1">
      <c r="A45" s="16"/>
      <c r="B45" s="14"/>
      <c r="C45" s="14"/>
      <c r="F45" s="16"/>
      <c r="G45" s="648"/>
      <c r="H45" s="648"/>
      <c r="I45" s="648"/>
      <c r="J45" s="648"/>
      <c r="K45" s="648"/>
      <c r="L45" s="648"/>
      <c r="AT45" s="688"/>
      <c r="AU45" s="688"/>
      <c r="AV45" s="688"/>
      <c r="AW45" s="688"/>
      <c r="AX45" s="688"/>
      <c r="AY45" s="688"/>
      <c r="AZ45" s="688"/>
      <c r="BA45" s="688"/>
      <c r="BB45" s="688"/>
    </row>
    <row r="46" spans="1:54" s="15" customFormat="1">
      <c r="A46" s="16"/>
      <c r="B46" s="14"/>
      <c r="C46" s="14"/>
      <c r="F46" s="16"/>
      <c r="G46" s="648"/>
      <c r="H46" s="648"/>
      <c r="I46" s="648"/>
      <c r="J46" s="648"/>
      <c r="K46" s="648"/>
      <c r="L46" s="648"/>
      <c r="AT46" s="688"/>
      <c r="AU46" s="688"/>
      <c r="AV46" s="688"/>
      <c r="AW46" s="688"/>
      <c r="AX46" s="688"/>
      <c r="AY46" s="688"/>
      <c r="AZ46" s="688"/>
      <c r="BA46" s="688"/>
      <c r="BB46" s="688"/>
    </row>
    <row r="47" spans="1:54" s="15" customFormat="1">
      <c r="A47" s="16"/>
      <c r="B47" s="14"/>
      <c r="C47" s="14"/>
      <c r="F47" s="16"/>
      <c r="G47" s="648"/>
      <c r="H47" s="648"/>
      <c r="I47" s="648"/>
      <c r="J47" s="648"/>
      <c r="K47" s="648"/>
      <c r="L47" s="648"/>
      <c r="AT47" s="688"/>
      <c r="AU47" s="688"/>
      <c r="AV47" s="688"/>
      <c r="AW47" s="688"/>
      <c r="AX47" s="688"/>
      <c r="AY47" s="688"/>
      <c r="AZ47" s="688"/>
      <c r="BA47" s="688"/>
      <c r="BB47" s="688"/>
    </row>
    <row r="48" spans="1:54" s="15" customFormat="1">
      <c r="A48" s="16"/>
      <c r="B48" s="14"/>
      <c r="C48" s="14"/>
      <c r="F48" s="16"/>
      <c r="G48" s="648"/>
      <c r="H48" s="648"/>
      <c r="I48" s="648"/>
      <c r="J48" s="648"/>
      <c r="K48" s="648"/>
      <c r="L48" s="648"/>
      <c r="AT48" s="688"/>
      <c r="AU48" s="688"/>
      <c r="AV48" s="688"/>
      <c r="AW48" s="688"/>
      <c r="AX48" s="688"/>
      <c r="AY48" s="688"/>
      <c r="AZ48" s="688"/>
      <c r="BA48" s="688"/>
      <c r="BB48" s="688"/>
    </row>
    <row r="49" spans="1:54" s="15" customFormat="1">
      <c r="A49" s="16"/>
      <c r="B49" s="14"/>
      <c r="C49" s="14"/>
      <c r="F49" s="16"/>
      <c r="G49" s="648"/>
      <c r="H49" s="648"/>
      <c r="I49" s="648"/>
      <c r="J49" s="648"/>
      <c r="K49" s="648"/>
      <c r="L49" s="648"/>
      <c r="AT49" s="688"/>
      <c r="AU49" s="688"/>
      <c r="AV49" s="688"/>
      <c r="AW49" s="688"/>
      <c r="AX49" s="688"/>
      <c r="AY49" s="688"/>
      <c r="AZ49" s="688"/>
      <c r="BA49" s="688"/>
      <c r="BB49" s="688"/>
    </row>
    <row r="50" spans="1:54" s="15" customFormat="1">
      <c r="A50" s="16"/>
      <c r="B50" s="14"/>
      <c r="C50" s="14"/>
      <c r="F50" s="16"/>
      <c r="G50" s="648"/>
      <c r="H50" s="648"/>
      <c r="I50" s="648"/>
      <c r="J50" s="648"/>
      <c r="K50" s="648"/>
      <c r="L50" s="648"/>
      <c r="AT50" s="688"/>
      <c r="AU50" s="688"/>
      <c r="AV50" s="688"/>
      <c r="AW50" s="688"/>
      <c r="AX50" s="688"/>
      <c r="AY50" s="688"/>
      <c r="AZ50" s="688"/>
      <c r="BA50" s="688"/>
      <c r="BB50" s="688"/>
    </row>
    <row r="51" spans="1:54" s="15" customFormat="1">
      <c r="A51" s="16"/>
      <c r="B51" s="14"/>
      <c r="C51" s="14"/>
      <c r="F51" s="16"/>
      <c r="G51" s="648"/>
      <c r="H51" s="648"/>
      <c r="I51" s="648"/>
      <c r="J51" s="648"/>
      <c r="K51" s="648"/>
      <c r="L51" s="648"/>
      <c r="AT51" s="688"/>
      <c r="AU51" s="688"/>
      <c r="AV51" s="688"/>
      <c r="AW51" s="688"/>
      <c r="AX51" s="688"/>
      <c r="AY51" s="688"/>
      <c r="AZ51" s="688"/>
      <c r="BA51" s="688"/>
      <c r="BB51" s="688"/>
    </row>
    <row r="52" spans="1:54" s="15" customFormat="1">
      <c r="A52" s="16"/>
      <c r="B52" s="14"/>
      <c r="C52" s="14"/>
      <c r="F52" s="16"/>
      <c r="G52" s="648"/>
      <c r="H52" s="648"/>
      <c r="I52" s="648"/>
      <c r="J52" s="648"/>
      <c r="K52" s="648"/>
      <c r="L52" s="648"/>
      <c r="AT52" s="688"/>
      <c r="AU52" s="688"/>
      <c r="AV52" s="688"/>
      <c r="AW52" s="688"/>
      <c r="AX52" s="688"/>
      <c r="AY52" s="688"/>
      <c r="AZ52" s="688"/>
      <c r="BA52" s="688"/>
      <c r="BB52" s="688"/>
    </row>
    <row r="53" spans="1:54" s="15" customFormat="1">
      <c r="A53" s="16"/>
      <c r="B53" s="14"/>
      <c r="C53" s="14"/>
      <c r="F53" s="16"/>
      <c r="G53" s="648"/>
      <c r="H53" s="648"/>
      <c r="I53" s="648"/>
      <c r="J53" s="648"/>
      <c r="K53" s="648"/>
      <c r="L53" s="648"/>
      <c r="AT53" s="688"/>
      <c r="AU53" s="688"/>
      <c r="AV53" s="688"/>
      <c r="AW53" s="688"/>
      <c r="AX53" s="688"/>
      <c r="AY53" s="688"/>
      <c r="AZ53" s="688"/>
      <c r="BA53" s="688"/>
      <c r="BB53" s="688"/>
    </row>
    <row r="54" spans="1:54" s="15" customFormat="1">
      <c r="A54" s="16"/>
      <c r="B54" s="14"/>
      <c r="C54" s="14"/>
      <c r="F54" s="16"/>
      <c r="G54" s="648"/>
      <c r="H54" s="648"/>
      <c r="I54" s="648"/>
      <c r="J54" s="648"/>
      <c r="K54" s="648"/>
      <c r="L54" s="648"/>
      <c r="AT54" s="688"/>
      <c r="AU54" s="688"/>
      <c r="AV54" s="688"/>
      <c r="AW54" s="688"/>
      <c r="AX54" s="688"/>
      <c r="AY54" s="688"/>
      <c r="AZ54" s="688"/>
      <c r="BA54" s="688"/>
      <c r="BB54" s="688"/>
    </row>
    <row r="55" spans="1:54" s="15" customFormat="1">
      <c r="A55" s="16"/>
      <c r="B55" s="14"/>
      <c r="C55" s="14"/>
      <c r="F55" s="16"/>
      <c r="G55" s="648"/>
      <c r="H55" s="648"/>
      <c r="I55" s="648"/>
      <c r="J55" s="648"/>
      <c r="K55" s="648"/>
      <c r="L55" s="648"/>
      <c r="AT55" s="688"/>
      <c r="AU55" s="688"/>
      <c r="AV55" s="688"/>
      <c r="AW55" s="688"/>
      <c r="AX55" s="688"/>
      <c r="AY55" s="688"/>
      <c r="AZ55" s="688"/>
      <c r="BA55" s="688"/>
      <c r="BB55" s="688"/>
    </row>
    <row r="56" spans="1:54" s="15" customFormat="1">
      <c r="A56" s="16"/>
      <c r="B56" s="14"/>
      <c r="C56" s="14"/>
      <c r="F56" s="16"/>
      <c r="G56" s="648"/>
      <c r="H56" s="648"/>
      <c r="I56" s="648"/>
      <c r="J56" s="648"/>
      <c r="K56" s="648"/>
      <c r="L56" s="648"/>
      <c r="AT56" s="688"/>
      <c r="AU56" s="688"/>
      <c r="AV56" s="688"/>
      <c r="AW56" s="688"/>
      <c r="AX56" s="688"/>
      <c r="AY56" s="688"/>
      <c r="AZ56" s="688"/>
      <c r="BA56" s="688"/>
      <c r="BB56" s="688"/>
    </row>
    <row r="57" spans="1:54" s="15" customFormat="1">
      <c r="A57" s="16"/>
      <c r="B57" s="14"/>
      <c r="C57" s="14"/>
      <c r="F57" s="16"/>
      <c r="G57" s="648"/>
      <c r="H57" s="648"/>
      <c r="I57" s="648"/>
      <c r="J57" s="648"/>
      <c r="K57" s="648"/>
      <c r="L57" s="648"/>
      <c r="AT57" s="688"/>
      <c r="AU57" s="688"/>
      <c r="AV57" s="688"/>
      <c r="AW57" s="688"/>
      <c r="AX57" s="688"/>
      <c r="AY57" s="688"/>
      <c r="AZ57" s="688"/>
      <c r="BA57" s="688"/>
      <c r="BB57" s="688"/>
    </row>
    <row r="58" spans="1:54" s="15" customFormat="1">
      <c r="A58" s="16"/>
      <c r="B58" s="14"/>
      <c r="C58" s="14"/>
      <c r="F58" s="16"/>
      <c r="G58" s="648"/>
      <c r="H58" s="648"/>
      <c r="I58" s="648"/>
      <c r="J58" s="648"/>
      <c r="K58" s="648"/>
      <c r="L58" s="648"/>
      <c r="AT58" s="688"/>
      <c r="AU58" s="688"/>
      <c r="AV58" s="688"/>
      <c r="AW58" s="688"/>
      <c r="AX58" s="688"/>
      <c r="AY58" s="688"/>
      <c r="AZ58" s="688"/>
      <c r="BA58" s="688"/>
      <c r="BB58" s="688"/>
    </row>
    <row r="59" spans="1:54" s="15" customFormat="1">
      <c r="A59" s="16"/>
      <c r="B59" s="14"/>
      <c r="C59" s="14"/>
      <c r="F59" s="16"/>
      <c r="G59" s="648"/>
      <c r="H59" s="648"/>
      <c r="I59" s="648"/>
      <c r="J59" s="648"/>
      <c r="K59" s="648"/>
      <c r="L59" s="648"/>
      <c r="AT59" s="688"/>
      <c r="AU59" s="688"/>
      <c r="AV59" s="688"/>
      <c r="AW59" s="688"/>
      <c r="AX59" s="688"/>
      <c r="AY59" s="688"/>
      <c r="AZ59" s="688"/>
      <c r="BA59" s="688"/>
      <c r="BB59" s="688"/>
    </row>
    <row r="60" spans="1:54" s="15" customFormat="1">
      <c r="A60" s="16"/>
      <c r="B60" s="14"/>
      <c r="C60" s="14"/>
      <c r="F60" s="16"/>
      <c r="G60" s="648"/>
      <c r="H60" s="648"/>
      <c r="I60" s="648"/>
      <c r="J60" s="648"/>
      <c r="K60" s="648"/>
      <c r="L60" s="648"/>
      <c r="AT60" s="688"/>
      <c r="AU60" s="688"/>
      <c r="AV60" s="688"/>
      <c r="AW60" s="688"/>
      <c r="AX60" s="688"/>
      <c r="AY60" s="688"/>
      <c r="AZ60" s="688"/>
      <c r="BA60" s="688"/>
      <c r="BB60" s="688"/>
    </row>
    <row r="61" spans="1:54" s="15" customFormat="1">
      <c r="A61" s="16"/>
      <c r="B61" s="14"/>
      <c r="C61" s="14"/>
      <c r="F61" s="16"/>
      <c r="G61" s="648"/>
      <c r="H61" s="648"/>
      <c r="I61" s="648"/>
      <c r="J61" s="648"/>
      <c r="K61" s="648"/>
      <c r="L61" s="648"/>
      <c r="AT61" s="688"/>
      <c r="AU61" s="688"/>
      <c r="AV61" s="688"/>
      <c r="AW61" s="688"/>
      <c r="AX61" s="688"/>
      <c r="AY61" s="688"/>
      <c r="AZ61" s="688"/>
      <c r="BA61" s="688"/>
      <c r="BB61" s="688"/>
    </row>
    <row r="62" spans="1:54" s="15" customFormat="1">
      <c r="A62" s="16"/>
      <c r="B62" s="14"/>
      <c r="C62" s="14"/>
      <c r="F62" s="16"/>
      <c r="G62" s="648"/>
      <c r="H62" s="648"/>
      <c r="I62" s="648"/>
      <c r="J62" s="648"/>
      <c r="K62" s="648"/>
      <c r="L62" s="648"/>
      <c r="AT62" s="688"/>
      <c r="AU62" s="688"/>
      <c r="AV62" s="688"/>
      <c r="AW62" s="688"/>
      <c r="AX62" s="688"/>
      <c r="AY62" s="688"/>
      <c r="AZ62" s="688"/>
      <c r="BA62" s="688"/>
      <c r="BB62" s="688"/>
    </row>
    <row r="63" spans="1:54" s="15" customFormat="1">
      <c r="A63" s="16"/>
      <c r="B63" s="14"/>
      <c r="C63" s="14"/>
      <c r="F63" s="16"/>
      <c r="G63" s="648"/>
      <c r="H63" s="648"/>
      <c r="I63" s="648"/>
      <c r="J63" s="648"/>
      <c r="K63" s="648"/>
      <c r="L63" s="648"/>
      <c r="AT63" s="688"/>
      <c r="AU63" s="688"/>
      <c r="AV63" s="688"/>
      <c r="AW63" s="688"/>
      <c r="AX63" s="688"/>
      <c r="AY63" s="688"/>
      <c r="AZ63" s="688"/>
      <c r="BA63" s="688"/>
      <c r="BB63" s="688"/>
    </row>
    <row r="64" spans="1:54" s="15" customFormat="1">
      <c r="A64" s="16"/>
      <c r="B64" s="14"/>
      <c r="C64" s="14"/>
      <c r="F64" s="16"/>
      <c r="G64" s="648"/>
      <c r="H64" s="648"/>
      <c r="I64" s="648"/>
      <c r="J64" s="648"/>
      <c r="K64" s="648"/>
      <c r="L64" s="648"/>
      <c r="AT64" s="688"/>
      <c r="AU64" s="688"/>
      <c r="AV64" s="688"/>
      <c r="AW64" s="688"/>
      <c r="AX64" s="688"/>
      <c r="AY64" s="688"/>
      <c r="AZ64" s="688"/>
      <c r="BA64" s="688"/>
      <c r="BB64" s="688"/>
    </row>
    <row r="65" spans="1:54" s="15" customFormat="1">
      <c r="A65" s="16"/>
      <c r="B65" s="14"/>
      <c r="C65" s="14"/>
      <c r="F65" s="16"/>
      <c r="G65" s="648"/>
      <c r="H65" s="648"/>
      <c r="I65" s="648"/>
      <c r="J65" s="648"/>
      <c r="K65" s="648"/>
      <c r="L65" s="648"/>
      <c r="AT65" s="688"/>
      <c r="AU65" s="688"/>
      <c r="AV65" s="688"/>
      <c r="AW65" s="688"/>
      <c r="AX65" s="688"/>
      <c r="AY65" s="688"/>
      <c r="AZ65" s="688"/>
      <c r="BA65" s="688"/>
      <c r="BB65" s="688"/>
    </row>
    <row r="66" spans="1:54" s="15" customFormat="1">
      <c r="A66" s="16"/>
      <c r="B66" s="14"/>
      <c r="C66" s="14"/>
      <c r="F66" s="16"/>
      <c r="G66" s="648"/>
      <c r="H66" s="648"/>
      <c r="I66" s="648"/>
      <c r="J66" s="648"/>
      <c r="K66" s="648"/>
      <c r="L66" s="648"/>
      <c r="AT66" s="688"/>
      <c r="AU66" s="688"/>
      <c r="AV66" s="688"/>
      <c r="AW66" s="688"/>
      <c r="AX66" s="688"/>
      <c r="AY66" s="688"/>
      <c r="AZ66" s="688"/>
      <c r="BA66" s="688"/>
      <c r="BB66" s="688"/>
    </row>
    <row r="67" spans="1:54" s="15" customFormat="1">
      <c r="A67" s="16"/>
      <c r="B67" s="14"/>
      <c r="C67" s="14"/>
      <c r="F67" s="16"/>
      <c r="G67" s="648"/>
      <c r="H67" s="648"/>
      <c r="I67" s="648"/>
      <c r="J67" s="648"/>
      <c r="K67" s="648"/>
      <c r="L67" s="648"/>
      <c r="AT67" s="688"/>
      <c r="AU67" s="688"/>
      <c r="AV67" s="688"/>
      <c r="AW67" s="688"/>
      <c r="AX67" s="688"/>
      <c r="AY67" s="688"/>
      <c r="AZ67" s="688"/>
      <c r="BA67" s="688"/>
      <c r="BB67" s="688"/>
    </row>
    <row r="68" spans="1:54" s="15" customFormat="1">
      <c r="A68" s="16"/>
      <c r="B68" s="14"/>
      <c r="C68" s="14"/>
      <c r="F68" s="16"/>
      <c r="G68" s="648"/>
      <c r="H68" s="648"/>
      <c r="I68" s="648"/>
      <c r="J68" s="648"/>
      <c r="K68" s="648"/>
      <c r="L68" s="648"/>
      <c r="AT68" s="688"/>
      <c r="AU68" s="688"/>
      <c r="AV68" s="688"/>
      <c r="AW68" s="688"/>
      <c r="AX68" s="688"/>
      <c r="AY68" s="688"/>
      <c r="AZ68" s="688"/>
      <c r="BA68" s="688"/>
      <c r="BB68" s="688"/>
    </row>
    <row r="69" spans="1:54" s="15" customFormat="1">
      <c r="A69" s="16"/>
      <c r="B69" s="14"/>
      <c r="C69" s="14"/>
      <c r="F69" s="16"/>
      <c r="G69" s="648"/>
      <c r="H69" s="648"/>
      <c r="I69" s="648"/>
      <c r="J69" s="648"/>
      <c r="K69" s="648"/>
      <c r="L69" s="648"/>
      <c r="AT69" s="688"/>
      <c r="AU69" s="688"/>
      <c r="AV69" s="688"/>
      <c r="AW69" s="688"/>
      <c r="AX69" s="688"/>
      <c r="AY69" s="688"/>
      <c r="AZ69" s="688"/>
      <c r="BA69" s="688"/>
      <c r="BB69" s="688"/>
    </row>
    <row r="70" spans="1:54" s="15" customFormat="1">
      <c r="A70" s="16"/>
      <c r="B70" s="14"/>
      <c r="C70" s="14"/>
      <c r="F70" s="16"/>
      <c r="G70" s="648"/>
      <c r="H70" s="648"/>
      <c r="I70" s="648"/>
      <c r="J70" s="648"/>
      <c r="K70" s="648"/>
      <c r="L70" s="648"/>
      <c r="AT70" s="688"/>
      <c r="AU70" s="688"/>
      <c r="AV70" s="688"/>
      <c r="AW70" s="688"/>
      <c r="AX70" s="688"/>
      <c r="AY70" s="688"/>
      <c r="AZ70" s="688"/>
      <c r="BA70" s="688"/>
      <c r="BB70" s="688"/>
    </row>
    <row r="71" spans="1:54" s="15" customFormat="1">
      <c r="A71" s="16"/>
      <c r="B71" s="14"/>
      <c r="C71" s="14"/>
      <c r="F71" s="16"/>
      <c r="G71" s="648"/>
      <c r="H71" s="648"/>
      <c r="I71" s="648"/>
      <c r="J71" s="648"/>
      <c r="K71" s="648"/>
      <c r="L71" s="648"/>
      <c r="AT71" s="688"/>
      <c r="AU71" s="688"/>
      <c r="AV71" s="688"/>
      <c r="AW71" s="688"/>
      <c r="AX71" s="688"/>
      <c r="AY71" s="688"/>
      <c r="AZ71" s="688"/>
      <c r="BA71" s="688"/>
      <c r="BB71" s="688"/>
    </row>
    <row r="72" spans="1:54" s="15" customFormat="1">
      <c r="A72" s="16"/>
      <c r="B72" s="14"/>
      <c r="C72" s="14"/>
      <c r="F72" s="16"/>
      <c r="G72" s="648"/>
      <c r="H72" s="648"/>
      <c r="I72" s="648"/>
      <c r="J72" s="648"/>
      <c r="K72" s="648"/>
      <c r="L72" s="648"/>
      <c r="AT72" s="688"/>
      <c r="AU72" s="688"/>
      <c r="AV72" s="688"/>
      <c r="AW72" s="688"/>
      <c r="AX72" s="688"/>
      <c r="AY72" s="688"/>
      <c r="AZ72" s="688"/>
      <c r="BA72" s="688"/>
      <c r="BB72" s="688"/>
    </row>
    <row r="73" spans="1:54" s="15" customFormat="1">
      <c r="A73" s="16"/>
      <c r="B73" s="14"/>
      <c r="C73" s="14"/>
      <c r="F73" s="16"/>
      <c r="G73" s="648"/>
      <c r="H73" s="648"/>
      <c r="I73" s="648"/>
      <c r="J73" s="648"/>
      <c r="K73" s="648"/>
      <c r="L73" s="648"/>
      <c r="AT73" s="688"/>
      <c r="AU73" s="688"/>
      <c r="AV73" s="688"/>
      <c r="AW73" s="688"/>
      <c r="AX73" s="688"/>
      <c r="AY73" s="688"/>
      <c r="AZ73" s="688"/>
      <c r="BA73" s="688"/>
      <c r="BB73" s="688"/>
    </row>
    <row r="74" spans="1:54" s="15" customFormat="1">
      <c r="A74" s="16"/>
      <c r="B74" s="14"/>
      <c r="C74" s="14"/>
      <c r="F74" s="16"/>
      <c r="G74" s="648"/>
      <c r="H74" s="648"/>
      <c r="I74" s="648"/>
      <c r="J74" s="648"/>
      <c r="K74" s="648"/>
      <c r="L74" s="648"/>
      <c r="AT74" s="688"/>
      <c r="AU74" s="688"/>
      <c r="AV74" s="688"/>
      <c r="AW74" s="688"/>
      <c r="AX74" s="688"/>
      <c r="AY74" s="688"/>
      <c r="AZ74" s="688"/>
      <c r="BA74" s="688"/>
      <c r="BB74" s="688"/>
    </row>
    <row r="75" spans="1:54" s="15" customFormat="1">
      <c r="A75" s="16"/>
      <c r="B75" s="14"/>
      <c r="C75" s="14"/>
      <c r="F75" s="16"/>
      <c r="G75" s="648"/>
      <c r="H75" s="648"/>
      <c r="I75" s="648"/>
      <c r="J75" s="648"/>
      <c r="K75" s="648"/>
      <c r="L75" s="648"/>
      <c r="AT75" s="688"/>
      <c r="AU75" s="688"/>
      <c r="AV75" s="688"/>
      <c r="AW75" s="688"/>
      <c r="AX75" s="688"/>
      <c r="AY75" s="688"/>
      <c r="AZ75" s="688"/>
      <c r="BA75" s="688"/>
      <c r="BB75" s="688"/>
    </row>
    <row r="76" spans="1:54" s="15" customFormat="1">
      <c r="A76" s="16"/>
      <c r="B76" s="14"/>
      <c r="C76" s="14"/>
      <c r="F76" s="16"/>
      <c r="G76" s="648"/>
      <c r="H76" s="648"/>
      <c r="I76" s="648"/>
      <c r="J76" s="648"/>
      <c r="K76" s="648"/>
      <c r="L76" s="648"/>
      <c r="AT76" s="688"/>
      <c r="AU76" s="688"/>
      <c r="AV76" s="688"/>
      <c r="AW76" s="688"/>
      <c r="AX76" s="688"/>
      <c r="AY76" s="688"/>
      <c r="AZ76" s="688"/>
      <c r="BA76" s="688"/>
      <c r="BB76" s="688"/>
    </row>
    <row r="77" spans="1:54" s="15" customFormat="1">
      <c r="A77" s="16"/>
      <c r="B77" s="14"/>
      <c r="C77" s="14"/>
      <c r="F77" s="16"/>
      <c r="G77" s="648"/>
      <c r="H77" s="648"/>
      <c r="I77" s="648"/>
      <c r="J77" s="648"/>
      <c r="K77" s="648"/>
      <c r="L77" s="648"/>
      <c r="AT77" s="688"/>
      <c r="AU77" s="688"/>
      <c r="AV77" s="688"/>
      <c r="AW77" s="688"/>
      <c r="AX77" s="688"/>
      <c r="AY77" s="688"/>
      <c r="AZ77" s="688"/>
      <c r="BA77" s="688"/>
      <c r="BB77" s="688"/>
    </row>
    <row r="78" spans="1:54" s="15" customFormat="1">
      <c r="A78" s="16"/>
      <c r="B78" s="14"/>
      <c r="C78" s="14"/>
      <c r="F78" s="16"/>
      <c r="G78" s="648"/>
      <c r="H78" s="648"/>
      <c r="I78" s="648"/>
      <c r="J78" s="648"/>
      <c r="K78" s="648"/>
      <c r="L78" s="648"/>
      <c r="AT78" s="688"/>
      <c r="AU78" s="688"/>
      <c r="AV78" s="688"/>
      <c r="AW78" s="688"/>
      <c r="AX78" s="688"/>
      <c r="AY78" s="688"/>
      <c r="AZ78" s="688"/>
      <c r="BA78" s="688"/>
      <c r="BB78" s="688"/>
    </row>
    <row r="79" spans="1:54" s="15" customFormat="1">
      <c r="A79" s="16"/>
      <c r="B79" s="14"/>
      <c r="C79" s="14"/>
      <c r="F79" s="16"/>
      <c r="G79" s="648"/>
      <c r="H79" s="648"/>
      <c r="I79" s="648"/>
      <c r="J79" s="648"/>
      <c r="K79" s="648"/>
      <c r="L79" s="648"/>
      <c r="AT79" s="688"/>
      <c r="AU79" s="688"/>
      <c r="AV79" s="688"/>
      <c r="AW79" s="688"/>
      <c r="AX79" s="688"/>
      <c r="AY79" s="688"/>
      <c r="AZ79" s="688"/>
      <c r="BA79" s="688"/>
      <c r="BB79" s="688"/>
    </row>
    <row r="80" spans="1:54" s="15" customFormat="1">
      <c r="A80" s="16"/>
      <c r="B80" s="14"/>
      <c r="C80" s="14"/>
      <c r="F80" s="16"/>
      <c r="G80" s="648"/>
      <c r="H80" s="648"/>
      <c r="I80" s="648"/>
      <c r="J80" s="648"/>
      <c r="K80" s="648"/>
      <c r="L80" s="648"/>
      <c r="AT80" s="688"/>
      <c r="AU80" s="688"/>
      <c r="AV80" s="688"/>
      <c r="AW80" s="688"/>
      <c r="AX80" s="688"/>
      <c r="AY80" s="688"/>
      <c r="AZ80" s="688"/>
      <c r="BA80" s="688"/>
      <c r="BB80" s="688"/>
    </row>
    <row r="81" spans="1:54" s="15" customFormat="1">
      <c r="A81" s="16"/>
      <c r="B81" s="14"/>
      <c r="C81" s="14"/>
      <c r="F81" s="16"/>
      <c r="G81" s="648"/>
      <c r="H81" s="648"/>
      <c r="I81" s="648"/>
      <c r="J81" s="648"/>
      <c r="K81" s="648"/>
      <c r="L81" s="648"/>
      <c r="AT81" s="688"/>
      <c r="AU81" s="688"/>
      <c r="AV81" s="688"/>
      <c r="AW81" s="688"/>
      <c r="AX81" s="688"/>
      <c r="AY81" s="688"/>
      <c r="AZ81" s="688"/>
      <c r="BA81" s="688"/>
      <c r="BB81" s="688"/>
    </row>
    <row r="82" spans="1:54" s="15" customFormat="1">
      <c r="A82" s="16"/>
      <c r="B82" s="14"/>
      <c r="C82" s="14"/>
      <c r="F82" s="16"/>
      <c r="G82" s="648"/>
      <c r="H82" s="648"/>
      <c r="I82" s="648"/>
      <c r="J82" s="648"/>
      <c r="K82" s="648"/>
      <c r="L82" s="648"/>
      <c r="AT82" s="688"/>
      <c r="AU82" s="688"/>
      <c r="AV82" s="688"/>
      <c r="AW82" s="688"/>
      <c r="AX82" s="688"/>
      <c r="AY82" s="688"/>
      <c r="AZ82" s="688"/>
      <c r="BA82" s="688"/>
      <c r="BB82" s="688"/>
    </row>
    <row r="83" spans="1:54" s="15" customFormat="1">
      <c r="A83" s="16"/>
      <c r="B83" s="14"/>
      <c r="C83" s="14"/>
      <c r="F83" s="16"/>
      <c r="G83" s="648"/>
      <c r="H83" s="648"/>
      <c r="I83" s="648"/>
      <c r="J83" s="648"/>
      <c r="K83" s="648"/>
      <c r="L83" s="648"/>
      <c r="AT83" s="688"/>
      <c r="AU83" s="688"/>
      <c r="AV83" s="688"/>
      <c r="AW83" s="688"/>
      <c r="AX83" s="688"/>
      <c r="AY83" s="688"/>
      <c r="AZ83" s="688"/>
      <c r="BA83" s="688"/>
      <c r="BB83" s="688"/>
    </row>
    <row r="84" spans="1:54" s="15" customFormat="1">
      <c r="A84" s="16"/>
      <c r="B84" s="14"/>
      <c r="C84" s="14"/>
      <c r="F84" s="16"/>
      <c r="G84" s="648"/>
      <c r="H84" s="648"/>
      <c r="I84" s="648"/>
      <c r="J84" s="648"/>
      <c r="K84" s="648"/>
      <c r="L84" s="648"/>
      <c r="AT84" s="688"/>
      <c r="AU84" s="688"/>
      <c r="AV84" s="688"/>
      <c r="AW84" s="688"/>
      <c r="AX84" s="688"/>
      <c r="AY84" s="688"/>
      <c r="AZ84" s="688"/>
      <c r="BA84" s="688"/>
      <c r="BB84" s="688"/>
    </row>
    <row r="85" spans="1:54" s="15" customFormat="1">
      <c r="A85" s="16"/>
      <c r="B85" s="5"/>
      <c r="C85" s="14"/>
      <c r="F85" s="16"/>
      <c r="G85" s="648"/>
      <c r="H85" s="648"/>
      <c r="I85" s="648"/>
      <c r="J85" s="648"/>
      <c r="K85" s="648"/>
      <c r="L85" s="648"/>
      <c r="AT85" s="688"/>
      <c r="AU85" s="688"/>
      <c r="AV85" s="688"/>
      <c r="AW85" s="688"/>
      <c r="AX85" s="688"/>
      <c r="AY85" s="688"/>
      <c r="AZ85" s="688"/>
      <c r="BA85" s="688"/>
      <c r="BB85" s="688"/>
    </row>
  </sheetData>
  <mergeCells count="38">
    <mergeCell ref="M4:M5"/>
    <mergeCell ref="N8:AI8"/>
    <mergeCell ref="N16:AI16"/>
    <mergeCell ref="BF2:BG2"/>
    <mergeCell ref="BF4:BG5"/>
    <mergeCell ref="AJ4:AJ5"/>
    <mergeCell ref="AJ8:AJ9"/>
    <mergeCell ref="AK8:AS8"/>
    <mergeCell ref="BF8:BF9"/>
    <mergeCell ref="BG8:BG9"/>
    <mergeCell ref="BF16:BF17"/>
    <mergeCell ref="BG16:BG17"/>
    <mergeCell ref="M8:M9"/>
    <mergeCell ref="M16:M17"/>
    <mergeCell ref="AT16:BB16"/>
    <mergeCell ref="BC16:BD16"/>
    <mergeCell ref="L8:L9"/>
    <mergeCell ref="L16:L17"/>
    <mergeCell ref="G2:H2"/>
    <mergeCell ref="G4:H5"/>
    <mergeCell ref="I8:K8"/>
    <mergeCell ref="I16:K16"/>
    <mergeCell ref="B8:B9"/>
    <mergeCell ref="C8:C9"/>
    <mergeCell ref="D8:E8"/>
    <mergeCell ref="F8:F9"/>
    <mergeCell ref="G8:H8"/>
    <mergeCell ref="B16:B17"/>
    <mergeCell ref="C16:C17"/>
    <mergeCell ref="D16:E16"/>
    <mergeCell ref="F16:F17"/>
    <mergeCell ref="G16:H16"/>
    <mergeCell ref="BE16:BE17"/>
    <mergeCell ref="BC8:BD8"/>
    <mergeCell ref="BE8:BE9"/>
    <mergeCell ref="AT8:BB8"/>
    <mergeCell ref="AJ16:AJ17"/>
    <mergeCell ref="AK16:AS16"/>
  </mergeCells>
  <phoneticPr fontId="10" type="noConversion"/>
  <dataValidations count="9">
    <dataValidation type="list" allowBlank="1" showInputMessage="1" showErrorMessage="1" sqref="BC11:BD12 BC19:BD20">
      <formula1>DQ</formula1>
    </dataValidation>
    <dataValidation type="list" allowBlank="1" showInputMessage="1" showErrorMessage="1" sqref="F10:F12 F18:F20">
      <formula1>NK</formula1>
    </dataValidation>
    <dataValidation type="list" allowBlank="1" showInputMessage="1" showErrorMessage="1" sqref="D11:D12">
      <formula1>IPPU_IP</formula1>
    </dataValidation>
    <dataValidation type="list" allowBlank="1" showInputMessage="1" showErrorMessage="1" sqref="D19:D20">
      <formula1>IPPU_PU</formula1>
    </dataValidation>
    <dataValidation type="list" allowBlank="1" showInputMessage="1" showErrorMessage="1" sqref="L11:L12 L19:L20">
      <formula1>Gases</formula1>
    </dataValidation>
    <dataValidation type="list" allowBlank="1" showInputMessage="1" showErrorMessage="1" sqref="BF11:BF12 BF19:BF20">
      <formula1>CompleteDataSource.</formula1>
    </dataValidation>
    <dataValidation type="list" allowBlank="1" showInputMessage="1" showErrorMessage="1" sqref="I11:I12 I19:I20">
      <formula1>Multiplier</formula1>
    </dataValidation>
    <dataValidation type="list" allowBlank="1" showInputMessage="1" showErrorMessage="1" sqref="M11:M12 M19:M20">
      <formula1>EmissionFactor</formula1>
    </dataValidation>
    <dataValidation type="list" allowBlank="1" showInputMessage="1" showErrorMessage="1" sqref="AJ11:AJ12 AJ19:AJ20">
      <formula1>Tick</formula1>
    </dataValidation>
  </dataValidations>
  <printOptions verticalCentered="1"/>
  <pageMargins left="0.15748031496062992" right="0.15748031496062992" top="0.15748031496062992" bottom="0.15748031496062992" header="0.30000000000000004" footer="0.15748031496062992"/>
  <pageSetup paperSize="9" scale="29" orientation="landscape" horizontalDpi="4294967292" verticalDpi="429496729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tint="0.39997558519241921"/>
    <outlinePr summaryBelow="0" summaryRight="0"/>
    <pageSetUpPr autoPageBreaks="0"/>
  </sheetPr>
  <dimension ref="A1:BN72"/>
  <sheetViews>
    <sheetView showGridLines="0" workbookViewId="0">
      <selection activeCell="AG28" sqref="AG28"/>
    </sheetView>
  </sheetViews>
  <sheetFormatPr defaultColWidth="11" defaultRowHeight="15.75" outlineLevelCol="1"/>
  <cols>
    <col min="1" max="1" width="8.625" style="16" customWidth="1"/>
    <col min="2" max="2" width="10.875" style="5" customWidth="1"/>
    <col min="3" max="3" width="10.875" style="5"/>
    <col min="4" max="5" width="54.5" customWidth="1"/>
    <col min="6" max="7" width="12.375" style="6" customWidth="1"/>
    <col min="8" max="8" width="12.375" style="6" customWidth="1" collapsed="1"/>
    <col min="9" max="11" width="12.375" style="6" hidden="1" customWidth="1" outlineLevel="1"/>
    <col min="12" max="12" width="16.375" customWidth="1"/>
    <col min="13" max="13" width="24.875" style="6" customWidth="1" collapsed="1"/>
    <col min="14" max="14" width="12.875" style="6" hidden="1" customWidth="1" outlineLevel="1"/>
    <col min="15" max="19" width="12.375" style="6" hidden="1" customWidth="1" outlineLevel="1"/>
    <col min="20" max="20" width="24.875" style="6" customWidth="1" collapsed="1"/>
    <col min="21" max="25" width="12.375" style="6" hidden="1" customWidth="1" outlineLevel="1"/>
    <col min="26" max="30" width="12.375" style="684" customWidth="1"/>
    <col min="31" max="32" width="6.125" customWidth="1"/>
    <col min="33" max="33" width="71.875" customWidth="1"/>
    <col min="34" max="34" width="71.875" customWidth="1" collapsed="1"/>
    <col min="35" max="35" width="71.875" hidden="1" customWidth="1" outlineLevel="1"/>
    <col min="36" max="66" width="10.875" style="15"/>
  </cols>
  <sheetData>
    <row r="1" spans="1:66" s="15" customFormat="1">
      <c r="A1" s="16"/>
      <c r="B1" s="16"/>
      <c r="C1" s="16"/>
      <c r="D1" s="16"/>
      <c r="E1" s="16"/>
      <c r="F1" s="16"/>
      <c r="G1" s="16"/>
      <c r="H1" s="16"/>
      <c r="I1" s="16"/>
      <c r="J1" s="16"/>
      <c r="K1" s="16"/>
      <c r="L1" s="16"/>
      <c r="M1" s="16"/>
      <c r="N1" s="16"/>
      <c r="O1" s="16"/>
      <c r="P1" s="16"/>
      <c r="Q1" s="16"/>
      <c r="R1" s="16"/>
      <c r="S1" s="16"/>
      <c r="T1" s="16"/>
      <c r="U1" s="16"/>
      <c r="V1" s="16"/>
      <c r="W1" s="16"/>
      <c r="X1" s="16"/>
      <c r="Y1" s="16"/>
      <c r="Z1" s="694"/>
      <c r="AA1" s="694"/>
      <c r="AB1" s="694"/>
      <c r="AC1" s="694"/>
      <c r="AD1" s="694"/>
      <c r="AE1" s="16"/>
      <c r="AF1" s="16"/>
      <c r="AG1" s="16"/>
      <c r="AH1" s="16"/>
      <c r="AI1" s="16"/>
    </row>
    <row r="2" spans="1:66" s="15" customFormat="1" ht="23.25">
      <c r="A2" s="16"/>
      <c r="B2" s="36" t="s">
        <v>250</v>
      </c>
      <c r="C2" s="14"/>
      <c r="F2" s="16"/>
      <c r="G2" s="1125" t="s">
        <v>966</v>
      </c>
      <c r="H2" s="1125"/>
      <c r="I2" s="581"/>
      <c r="J2" s="581"/>
      <c r="K2" s="581"/>
      <c r="M2" s="581" t="s">
        <v>966</v>
      </c>
      <c r="N2" s="29"/>
      <c r="O2" s="29"/>
      <c r="P2" s="29"/>
      <c r="Q2" s="29"/>
      <c r="R2" s="29"/>
      <c r="S2" s="29"/>
      <c r="T2" s="581" t="s">
        <v>966</v>
      </c>
      <c r="U2" s="29"/>
      <c r="V2" s="29"/>
      <c r="W2" s="29"/>
      <c r="X2" s="29"/>
      <c r="Y2" s="29"/>
      <c r="Z2" s="688"/>
      <c r="AA2" s="688"/>
      <c r="AB2" s="688"/>
      <c r="AC2" s="688"/>
      <c r="AD2" s="688"/>
      <c r="AG2" s="611"/>
      <c r="AH2" s="1125" t="s">
        <v>966</v>
      </c>
      <c r="AI2" s="1125"/>
    </row>
    <row r="3" spans="1:66" s="15" customFormat="1" ht="16.5" thickBot="1">
      <c r="A3" s="16"/>
      <c r="B3" s="14"/>
      <c r="C3" s="14"/>
      <c r="F3" s="16"/>
      <c r="G3" s="581"/>
      <c r="H3" s="581"/>
      <c r="I3" s="581"/>
      <c r="J3" s="581"/>
      <c r="K3" s="581"/>
      <c r="M3" s="581"/>
      <c r="N3" s="29"/>
      <c r="O3" s="29"/>
      <c r="P3" s="29"/>
      <c r="Q3" s="29"/>
      <c r="R3" s="29"/>
      <c r="S3" s="29"/>
      <c r="T3" s="29"/>
      <c r="U3" s="29"/>
      <c r="V3" s="29"/>
      <c r="W3" s="29"/>
      <c r="X3" s="29"/>
      <c r="Y3" s="29"/>
      <c r="Z3" s="688"/>
      <c r="AA3" s="688"/>
      <c r="AB3" s="688"/>
      <c r="AC3" s="688"/>
      <c r="AD3" s="688"/>
      <c r="AG3" s="611"/>
      <c r="AH3" s="611"/>
      <c r="AI3" s="616"/>
    </row>
    <row r="4" spans="1:66" s="15" customFormat="1">
      <c r="A4" s="16"/>
      <c r="B4" s="389" t="s">
        <v>1051</v>
      </c>
      <c r="C4" s="14"/>
      <c r="F4" s="16"/>
      <c r="G4" s="1121" t="s">
        <v>968</v>
      </c>
      <c r="H4" s="1122"/>
      <c r="I4" s="579"/>
      <c r="J4" s="579"/>
      <c r="K4" s="572"/>
      <c r="L4" s="625"/>
      <c r="M4" s="1121" t="s">
        <v>974</v>
      </c>
      <c r="N4" s="533"/>
      <c r="O4" s="533"/>
      <c r="P4" s="533"/>
      <c r="Q4" s="533"/>
      <c r="R4" s="533"/>
      <c r="S4" s="534"/>
      <c r="T4" s="1117" t="s">
        <v>976</v>
      </c>
      <c r="U4" s="539"/>
      <c r="V4" s="539"/>
      <c r="W4" s="539"/>
      <c r="X4" s="539"/>
      <c r="Y4" s="540"/>
      <c r="Z4" s="675"/>
      <c r="AA4" s="688"/>
      <c r="AB4" s="688"/>
      <c r="AC4" s="688"/>
      <c r="AD4" s="688"/>
      <c r="AG4" s="611"/>
      <c r="AH4" s="1121" t="s">
        <v>850</v>
      </c>
      <c r="AI4" s="1167"/>
      <c r="AJ4" s="601"/>
    </row>
    <row r="5" spans="1:66" s="15" customFormat="1" ht="16.5" thickBot="1">
      <c r="A5" s="16"/>
      <c r="B5" s="14"/>
      <c r="C5" s="14"/>
      <c r="F5" s="16"/>
      <c r="G5" s="1123"/>
      <c r="H5" s="1124"/>
      <c r="I5" s="580"/>
      <c r="J5" s="580"/>
      <c r="K5" s="573"/>
      <c r="L5" s="625"/>
      <c r="M5" s="1123"/>
      <c r="N5" s="535"/>
      <c r="O5" s="535"/>
      <c r="P5" s="535"/>
      <c r="Q5" s="535"/>
      <c r="R5" s="535"/>
      <c r="S5" s="536"/>
      <c r="T5" s="1118"/>
      <c r="U5" s="541"/>
      <c r="V5" s="541"/>
      <c r="W5" s="541"/>
      <c r="X5" s="541"/>
      <c r="Y5" s="542"/>
      <c r="Z5" s="675"/>
      <c r="AA5" s="688"/>
      <c r="AB5" s="688"/>
      <c r="AC5" s="688"/>
      <c r="AD5" s="688"/>
      <c r="AG5" s="611"/>
      <c r="AH5" s="1123"/>
      <c r="AI5" s="1168"/>
      <c r="AJ5" s="601"/>
    </row>
    <row r="6" spans="1:66" s="15" customFormat="1" ht="18.75">
      <c r="A6" s="16"/>
      <c r="B6" s="38" t="s">
        <v>251</v>
      </c>
      <c r="C6" s="14"/>
      <c r="F6" s="16"/>
      <c r="G6" s="19"/>
      <c r="H6" s="19"/>
      <c r="I6" s="19"/>
      <c r="J6" s="19"/>
      <c r="K6" s="19"/>
      <c r="M6" s="19"/>
      <c r="N6" s="19"/>
      <c r="O6" s="19"/>
      <c r="P6" s="19"/>
      <c r="Q6" s="19"/>
      <c r="R6" s="19"/>
      <c r="S6" s="19"/>
      <c r="T6" s="19"/>
      <c r="U6" s="19"/>
      <c r="V6" s="19"/>
      <c r="W6" s="19"/>
      <c r="X6" s="19"/>
      <c r="Y6" s="19"/>
      <c r="Z6" s="688"/>
      <c r="AA6" s="688"/>
      <c r="AB6" s="688"/>
      <c r="AC6" s="688"/>
      <c r="AD6" s="688"/>
      <c r="AG6" s="611"/>
      <c r="AH6" s="611"/>
      <c r="AI6" s="21"/>
    </row>
    <row r="7" spans="1:66" s="15" customFormat="1" ht="16.5" thickBot="1">
      <c r="A7" s="16"/>
      <c r="B7" s="14"/>
      <c r="C7" s="14"/>
      <c r="F7" s="16"/>
      <c r="G7" s="19"/>
      <c r="H7" s="19"/>
      <c r="I7" s="19"/>
      <c r="J7" s="19"/>
      <c r="K7" s="19"/>
      <c r="M7" s="19"/>
      <c r="N7" s="19"/>
      <c r="O7" s="19"/>
      <c r="P7" s="19"/>
      <c r="Q7" s="19"/>
      <c r="R7" s="19"/>
      <c r="S7" s="19"/>
      <c r="T7" s="19"/>
      <c r="U7" s="19"/>
      <c r="V7" s="19"/>
      <c r="W7" s="19"/>
      <c r="X7" s="19"/>
      <c r="Y7" s="19"/>
      <c r="Z7" s="688"/>
      <c r="AA7" s="688"/>
      <c r="AB7" s="688"/>
      <c r="AC7" s="688"/>
      <c r="AD7" s="688"/>
      <c r="AG7" s="611"/>
      <c r="AH7" s="611"/>
      <c r="AI7" s="21"/>
    </row>
    <row r="8" spans="1:66" s="5" customFormat="1" ht="15.95" customHeight="1">
      <c r="A8" s="53"/>
      <c r="B8" s="1139" t="s">
        <v>39</v>
      </c>
      <c r="C8" s="1133" t="s">
        <v>40</v>
      </c>
      <c r="D8" s="1056" t="s">
        <v>245</v>
      </c>
      <c r="E8" s="1144"/>
      <c r="F8" s="1134" t="s">
        <v>300</v>
      </c>
      <c r="G8" s="1141" t="s">
        <v>171</v>
      </c>
      <c r="H8" s="1142"/>
      <c r="I8" s="1130" t="s">
        <v>871</v>
      </c>
      <c r="J8" s="1131"/>
      <c r="K8" s="1132"/>
      <c r="L8" s="1134" t="s">
        <v>305</v>
      </c>
      <c r="M8" s="1063" t="s">
        <v>798</v>
      </c>
      <c r="N8" s="1112" t="s">
        <v>798</v>
      </c>
      <c r="O8" s="1112"/>
      <c r="P8" s="1112"/>
      <c r="Q8" s="1112"/>
      <c r="R8" s="1112"/>
      <c r="S8" s="1113"/>
      <c r="T8" s="1119" t="s">
        <v>967</v>
      </c>
      <c r="U8" s="1114" t="s">
        <v>975</v>
      </c>
      <c r="V8" s="1114"/>
      <c r="W8" s="1114"/>
      <c r="X8" s="1114"/>
      <c r="Y8" s="1114"/>
      <c r="Z8" s="1143" t="s">
        <v>292</v>
      </c>
      <c r="AA8" s="1143"/>
      <c r="AB8" s="1143"/>
      <c r="AC8" s="1143"/>
      <c r="AD8" s="1143"/>
      <c r="AE8" s="1133" t="s">
        <v>43</v>
      </c>
      <c r="AF8" s="1133"/>
      <c r="AG8" s="1128" t="s">
        <v>981</v>
      </c>
      <c r="AH8" s="1073" t="s">
        <v>734</v>
      </c>
      <c r="AI8" s="1145" t="s">
        <v>850</v>
      </c>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row>
    <row r="9" spans="1:66" s="5" customFormat="1" ht="19.5" thickBot="1">
      <c r="A9" s="53"/>
      <c r="B9" s="1140"/>
      <c r="C9" s="1135"/>
      <c r="D9" s="578" t="s">
        <v>246</v>
      </c>
      <c r="E9" s="578" t="s">
        <v>244</v>
      </c>
      <c r="F9" s="1135"/>
      <c r="G9" s="578" t="s">
        <v>172</v>
      </c>
      <c r="H9" s="578" t="s">
        <v>173</v>
      </c>
      <c r="I9" s="528" t="s">
        <v>831</v>
      </c>
      <c r="J9" s="528" t="s">
        <v>832</v>
      </c>
      <c r="K9" s="528" t="s">
        <v>965</v>
      </c>
      <c r="L9" s="1135"/>
      <c r="M9" s="1064"/>
      <c r="N9" s="537" t="s">
        <v>173</v>
      </c>
      <c r="O9" s="538" t="s">
        <v>969</v>
      </c>
      <c r="P9" s="538" t="s">
        <v>970</v>
      </c>
      <c r="Q9" s="538" t="s">
        <v>971</v>
      </c>
      <c r="R9" s="538" t="s">
        <v>972</v>
      </c>
      <c r="S9" s="538" t="s">
        <v>973</v>
      </c>
      <c r="T9" s="1120"/>
      <c r="U9" s="538" t="s">
        <v>969</v>
      </c>
      <c r="V9" s="538" t="s">
        <v>970</v>
      </c>
      <c r="W9" s="538" t="s">
        <v>971</v>
      </c>
      <c r="X9" s="538" t="s">
        <v>972</v>
      </c>
      <c r="Y9" s="538" t="s">
        <v>973</v>
      </c>
      <c r="Z9" s="100" t="s">
        <v>293</v>
      </c>
      <c r="AA9" s="100" t="s">
        <v>294</v>
      </c>
      <c r="AB9" s="100" t="s">
        <v>295</v>
      </c>
      <c r="AC9" s="100" t="s">
        <v>296</v>
      </c>
      <c r="AD9" s="100" t="s">
        <v>297</v>
      </c>
      <c r="AE9" s="578" t="s">
        <v>46</v>
      </c>
      <c r="AF9" s="578" t="s">
        <v>47</v>
      </c>
      <c r="AG9" s="1129"/>
      <c r="AH9" s="1074"/>
      <c r="AI9" s="1146"/>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row>
    <row r="10" spans="1:66">
      <c r="B10" s="178" t="s">
        <v>158</v>
      </c>
      <c r="C10" s="179">
        <v>1</v>
      </c>
      <c r="D10" s="253" t="s">
        <v>159</v>
      </c>
      <c r="E10" s="254"/>
      <c r="F10" s="185" t="s">
        <v>177</v>
      </c>
      <c r="G10" s="185"/>
      <c r="H10" s="187"/>
      <c r="I10" s="187"/>
      <c r="J10" s="187"/>
      <c r="K10" s="187"/>
      <c r="L10" s="186"/>
      <c r="M10" s="187"/>
      <c r="N10" s="187"/>
      <c r="O10" s="187"/>
      <c r="P10" s="187"/>
      <c r="Q10" s="187"/>
      <c r="R10" s="187"/>
      <c r="S10" s="187"/>
      <c r="T10" s="187"/>
      <c r="U10" s="187"/>
      <c r="V10" s="187"/>
      <c r="W10" s="187"/>
      <c r="X10" s="187"/>
      <c r="Y10" s="187"/>
      <c r="Z10" s="693"/>
      <c r="AA10" s="693"/>
      <c r="AB10" s="693"/>
      <c r="AC10" s="693"/>
      <c r="AD10" s="693"/>
      <c r="AE10" s="255"/>
      <c r="AF10" s="467"/>
      <c r="AG10" s="660" t="s">
        <v>1137</v>
      </c>
      <c r="AH10" s="466"/>
      <c r="AI10" s="626"/>
    </row>
    <row r="11" spans="1:66" s="15" customFormat="1">
      <c r="A11" s="16"/>
      <c r="B11" s="75" t="s">
        <v>158</v>
      </c>
      <c r="C11" s="76">
        <v>1</v>
      </c>
      <c r="D11" s="104"/>
      <c r="E11" s="94"/>
      <c r="F11" s="76"/>
      <c r="G11" s="78"/>
      <c r="H11" s="79"/>
      <c r="I11" s="79"/>
      <c r="J11" s="79"/>
      <c r="K11" s="79"/>
      <c r="L11" s="79"/>
      <c r="M11" s="79"/>
      <c r="N11" s="508" t="str">
        <f>IFERROR(CONCATENATE("tCO2e/",VLOOKUP($M11,'Emission factors'!$C:$H,6,FALSE)),"")</f>
        <v/>
      </c>
      <c r="O11" s="508" t="str">
        <f>IFERROR(VLOOKUP($M11,'Emission factors'!$C:$BQ,9,FALSE),"")</f>
        <v/>
      </c>
      <c r="P11" s="508" t="str">
        <f>IFERROR(VLOOKUP($M11,'Emission factors'!$C:$BQ,12,FALSE),"")</f>
        <v/>
      </c>
      <c r="Q11" s="508" t="str">
        <f>IFERROR(VLOOKUP($M11,'Emission factors'!$C:$BQ,15,FALSE),"")</f>
        <v/>
      </c>
      <c r="R11" s="508" t="str">
        <f>IFERROR(VLOOKUP($M11,'Emission factors'!$C:$BQ,65,FALSE),"")</f>
        <v/>
      </c>
      <c r="S11" s="508" t="str">
        <f>IFERROR(VLOOKUP($M11,'Emission factors'!$C:$BQ,67,FALSE),"")</f>
        <v/>
      </c>
      <c r="T11" s="79"/>
      <c r="U11" s="79"/>
      <c r="V11" s="79"/>
      <c r="W11" s="79"/>
      <c r="X11" s="79"/>
      <c r="Y11" s="79"/>
      <c r="Z11" s="677" t="str">
        <f t="shared" ref="Z11:AB12" si="0">IFERROR(IF(AND($M11="",$T11=""),"",IF($M11="",IF(U11=0,"-",U11),IF(O11=0,"0",$G11*IF($K11="",1,$K11)*O11))),"-")</f>
        <v/>
      </c>
      <c r="AA11" s="677" t="str">
        <f t="shared" si="0"/>
        <v/>
      </c>
      <c r="AB11" s="677" t="str">
        <f t="shared" si="0"/>
        <v/>
      </c>
      <c r="AC11" s="677" t="str">
        <f>IFERROR(IF(AND($M11="",$T11=""),"",IF($M11="",IF(X11="",SUM(U11:W11),IF(X11=0,"0",X11)),IF($R11="",SUM($Z11:$AB11),IF($R11=0,"0",$G11*IF($K11="",1,$K11)*$R11)))),"-")</f>
        <v/>
      </c>
      <c r="AD11" s="677" t="str">
        <f>IFERROR(IF(AND($M11="",$T11=""),"",IF($M11="",IF(Y11=0,"-",Y11),IF(S11=0,"0",$G11*IF($K11="",1,$K11)*S11))),"-")</f>
        <v/>
      </c>
      <c r="AE11" s="79"/>
      <c r="AF11" s="170"/>
      <c r="AG11" s="544"/>
      <c r="AH11" s="545"/>
      <c r="AI11" s="604"/>
    </row>
    <row r="12" spans="1:66" s="15" customFormat="1" ht="15" customHeight="1" thickBot="1">
      <c r="A12" s="16"/>
      <c r="B12" s="107" t="s">
        <v>158</v>
      </c>
      <c r="C12" s="99">
        <v>1</v>
      </c>
      <c r="D12" s="98"/>
      <c r="E12" s="97"/>
      <c r="F12" s="99"/>
      <c r="G12" s="525"/>
      <c r="H12" s="148"/>
      <c r="I12" s="148"/>
      <c r="J12" s="148"/>
      <c r="K12" s="148"/>
      <c r="L12" s="148"/>
      <c r="M12" s="148"/>
      <c r="N12" s="526" t="str">
        <f>IFERROR(CONCATENATE("tCO2e/",VLOOKUP(M12,'Emission factors'!C:H,6,FALSE)),"")</f>
        <v/>
      </c>
      <c r="O12" s="526" t="str">
        <f>IFERROR(VLOOKUP($M12,'Emission factors'!$C:$BQ,9,FALSE),"")</f>
        <v/>
      </c>
      <c r="P12" s="526" t="str">
        <f>IFERROR(VLOOKUP($M12,'Emission factors'!$C:$BQ,12,FALSE),"")</f>
        <v/>
      </c>
      <c r="Q12" s="526" t="str">
        <f>IFERROR(VLOOKUP($M12,'Emission factors'!$C:$BQ,15,FALSE),"")</f>
        <v/>
      </c>
      <c r="R12" s="526" t="str">
        <f>IFERROR(VLOOKUP($M12,'Emission factors'!$C:$BQ,65,FALSE),"")</f>
        <v/>
      </c>
      <c r="S12" s="526" t="str">
        <f>IFERROR(VLOOKUP($M12,'Emission factors'!$C:$BQ,67,FALSE),"")</f>
        <v/>
      </c>
      <c r="T12" s="99"/>
      <c r="U12" s="148"/>
      <c r="V12" s="148"/>
      <c r="W12" s="148"/>
      <c r="X12" s="148"/>
      <c r="Y12" s="148"/>
      <c r="Z12" s="680" t="str">
        <f t="shared" si="0"/>
        <v/>
      </c>
      <c r="AA12" s="680" t="str">
        <f t="shared" si="0"/>
        <v/>
      </c>
      <c r="AB12" s="680" t="str">
        <f t="shared" si="0"/>
        <v/>
      </c>
      <c r="AC12" s="680" t="str">
        <f>IFERROR(IF(AND($M12="",$T12=""),"",IF($M12="",IF(X12="",SUM(U12:W12),IF(X12=0,"0",X12)),IF($R12="",SUM($Z12:$AB12),IF($R12=0,"0",$G12*IF($K12="",1,$K12)*$R12)))),"-")</f>
        <v/>
      </c>
      <c r="AD12" s="680" t="str">
        <f>IFERROR(IF(AND($M12="",$T12=""),"",IF($M12="",IF(Y12=0,"-",Y12),IF(S12=0,"0",$G12*IF($K12="",1,$K12)*S12))),"-")</f>
        <v/>
      </c>
      <c r="AE12" s="148"/>
      <c r="AF12" s="600"/>
      <c r="AG12" s="609"/>
      <c r="AH12" s="548"/>
      <c r="AI12" s="607"/>
    </row>
    <row r="13" spans="1:66" s="24" customFormat="1">
      <c r="A13" s="29"/>
      <c r="B13" s="7"/>
      <c r="C13" s="7"/>
      <c r="D13" s="13"/>
      <c r="E13" s="9"/>
      <c r="F13" s="7"/>
      <c r="G13" s="7"/>
      <c r="H13" s="7"/>
      <c r="I13" s="7"/>
      <c r="J13" s="7"/>
      <c r="K13" s="7"/>
      <c r="L13" s="8"/>
      <c r="M13" s="7"/>
      <c r="N13" s="7"/>
      <c r="O13" s="7"/>
      <c r="P13" s="7"/>
      <c r="Q13" s="7"/>
      <c r="R13" s="7"/>
      <c r="S13" s="7"/>
      <c r="T13" s="7"/>
      <c r="U13" s="7"/>
      <c r="V13" s="7"/>
      <c r="W13" s="7"/>
      <c r="X13" s="7"/>
      <c r="Y13" s="7"/>
      <c r="Z13" s="673"/>
      <c r="AA13" s="673"/>
      <c r="AB13" s="673"/>
      <c r="AC13" s="673"/>
      <c r="AD13" s="673"/>
    </row>
    <row r="14" spans="1:66" s="24" customFormat="1" ht="18.75">
      <c r="A14" s="29"/>
      <c r="B14" s="38" t="s">
        <v>252</v>
      </c>
      <c r="C14" s="7"/>
      <c r="D14" s="13"/>
      <c r="E14" s="9"/>
      <c r="F14" s="7"/>
      <c r="G14" s="7"/>
      <c r="H14" s="7"/>
      <c r="I14" s="7"/>
      <c r="J14" s="7"/>
      <c r="K14" s="7"/>
      <c r="L14" s="8"/>
      <c r="M14" s="7"/>
      <c r="N14" s="7"/>
      <c r="O14" s="7"/>
      <c r="P14" s="7"/>
      <c r="Q14" s="7"/>
      <c r="R14" s="7"/>
      <c r="S14" s="7"/>
      <c r="T14" s="7"/>
      <c r="U14" s="7"/>
      <c r="V14" s="7"/>
      <c r="W14" s="7"/>
      <c r="X14" s="7"/>
      <c r="Y14" s="7"/>
      <c r="Z14" s="673"/>
      <c r="AA14" s="673"/>
      <c r="AB14" s="673"/>
      <c r="AC14" s="673"/>
      <c r="AD14" s="673"/>
    </row>
    <row r="15" spans="1:66" s="24" customFormat="1" ht="16.5" thickBot="1">
      <c r="A15" s="29"/>
      <c r="B15" s="7"/>
      <c r="C15" s="7"/>
      <c r="D15" s="13"/>
      <c r="E15" s="9"/>
      <c r="F15" s="7"/>
      <c r="G15" s="7"/>
      <c r="H15" s="7"/>
      <c r="I15" s="7"/>
      <c r="J15" s="7"/>
      <c r="K15" s="7"/>
      <c r="L15" s="8"/>
      <c r="M15" s="7"/>
      <c r="N15" s="7"/>
      <c r="O15" s="7"/>
      <c r="P15" s="7"/>
      <c r="Q15" s="7"/>
      <c r="R15" s="7"/>
      <c r="S15" s="7"/>
      <c r="T15" s="7"/>
      <c r="U15" s="7"/>
      <c r="V15" s="7"/>
      <c r="W15" s="7"/>
      <c r="X15" s="7"/>
      <c r="Y15" s="7"/>
      <c r="Z15" s="673"/>
      <c r="AA15" s="673"/>
      <c r="AB15" s="673"/>
      <c r="AC15" s="673"/>
      <c r="AD15" s="673"/>
    </row>
    <row r="16" spans="1:66" s="5" customFormat="1" ht="15.95" customHeight="1">
      <c r="A16" s="53"/>
      <c r="B16" s="1139" t="s">
        <v>39</v>
      </c>
      <c r="C16" s="1133" t="s">
        <v>40</v>
      </c>
      <c r="D16" s="1056" t="s">
        <v>245</v>
      </c>
      <c r="E16" s="1144"/>
      <c r="F16" s="1134" t="s">
        <v>300</v>
      </c>
      <c r="G16" s="1141" t="s">
        <v>171</v>
      </c>
      <c r="H16" s="1142"/>
      <c r="I16" s="1130" t="s">
        <v>871</v>
      </c>
      <c r="J16" s="1131"/>
      <c r="K16" s="1132"/>
      <c r="L16" s="1134" t="s">
        <v>305</v>
      </c>
      <c r="M16" s="1063" t="s">
        <v>798</v>
      </c>
      <c r="N16" s="1112" t="s">
        <v>798</v>
      </c>
      <c r="O16" s="1112"/>
      <c r="P16" s="1112"/>
      <c r="Q16" s="1112"/>
      <c r="R16" s="1112"/>
      <c r="S16" s="1113"/>
      <c r="T16" s="1119" t="s">
        <v>967</v>
      </c>
      <c r="U16" s="1114" t="s">
        <v>975</v>
      </c>
      <c r="V16" s="1114"/>
      <c r="W16" s="1114"/>
      <c r="X16" s="1114"/>
      <c r="Y16" s="1114"/>
      <c r="Z16" s="1143" t="s">
        <v>292</v>
      </c>
      <c r="AA16" s="1143"/>
      <c r="AB16" s="1143"/>
      <c r="AC16" s="1143"/>
      <c r="AD16" s="1143"/>
      <c r="AE16" s="1133" t="s">
        <v>43</v>
      </c>
      <c r="AF16" s="1133"/>
      <c r="AG16" s="1128" t="s">
        <v>799</v>
      </c>
      <c r="AH16" s="1119" t="s">
        <v>734</v>
      </c>
      <c r="AI16" s="1073" t="s">
        <v>850</v>
      </c>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row>
    <row r="17" spans="1:66" s="5" customFormat="1" ht="19.5" thickBot="1">
      <c r="A17" s="53"/>
      <c r="B17" s="1140"/>
      <c r="C17" s="1135"/>
      <c r="D17" s="149" t="s">
        <v>246</v>
      </c>
      <c r="E17" s="149" t="s">
        <v>244</v>
      </c>
      <c r="F17" s="1135"/>
      <c r="G17" s="329" t="s">
        <v>172</v>
      </c>
      <c r="H17" s="329" t="s">
        <v>173</v>
      </c>
      <c r="I17" s="528" t="s">
        <v>831</v>
      </c>
      <c r="J17" s="528" t="s">
        <v>832</v>
      </c>
      <c r="K17" s="528" t="s">
        <v>965</v>
      </c>
      <c r="L17" s="1135"/>
      <c r="M17" s="1064"/>
      <c r="N17" s="537" t="s">
        <v>173</v>
      </c>
      <c r="O17" s="538" t="s">
        <v>969</v>
      </c>
      <c r="P17" s="538" t="s">
        <v>970</v>
      </c>
      <c r="Q17" s="538" t="s">
        <v>971</v>
      </c>
      <c r="R17" s="538" t="s">
        <v>972</v>
      </c>
      <c r="S17" s="538" t="s">
        <v>973</v>
      </c>
      <c r="T17" s="1120"/>
      <c r="U17" s="538" t="s">
        <v>969</v>
      </c>
      <c r="V17" s="538" t="s">
        <v>970</v>
      </c>
      <c r="W17" s="538" t="s">
        <v>971</v>
      </c>
      <c r="X17" s="538" t="s">
        <v>972</v>
      </c>
      <c r="Y17" s="538" t="s">
        <v>973</v>
      </c>
      <c r="Z17" s="100" t="s">
        <v>293</v>
      </c>
      <c r="AA17" s="100" t="s">
        <v>294</v>
      </c>
      <c r="AB17" s="100" t="s">
        <v>295</v>
      </c>
      <c r="AC17" s="100" t="s">
        <v>296</v>
      </c>
      <c r="AD17" s="100" t="s">
        <v>297</v>
      </c>
      <c r="AE17" s="149" t="s">
        <v>46</v>
      </c>
      <c r="AF17" s="149" t="s">
        <v>47</v>
      </c>
      <c r="AG17" s="1129"/>
      <c r="AH17" s="1120"/>
      <c r="AI17" s="107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row>
    <row r="18" spans="1:66">
      <c r="B18" s="178" t="s">
        <v>169</v>
      </c>
      <c r="C18" s="179">
        <v>1</v>
      </c>
      <c r="D18" s="232" t="s">
        <v>160</v>
      </c>
      <c r="E18" s="233"/>
      <c r="F18" s="327" t="s">
        <v>177</v>
      </c>
      <c r="G18" s="185"/>
      <c r="H18" s="187"/>
      <c r="I18" s="187"/>
      <c r="J18" s="187"/>
      <c r="K18" s="187"/>
      <c r="L18" s="186"/>
      <c r="M18" s="187"/>
      <c r="N18" s="187"/>
      <c r="O18" s="187"/>
      <c r="P18" s="187"/>
      <c r="Q18" s="187"/>
      <c r="R18" s="187"/>
      <c r="S18" s="187"/>
      <c r="T18" s="187"/>
      <c r="U18" s="187"/>
      <c r="V18" s="187"/>
      <c r="W18" s="187"/>
      <c r="X18" s="187"/>
      <c r="Y18" s="187"/>
      <c r="Z18" s="693"/>
      <c r="AA18" s="693"/>
      <c r="AB18" s="693"/>
      <c r="AC18" s="693"/>
      <c r="AD18" s="693"/>
      <c r="AE18" s="255"/>
      <c r="AF18" s="467"/>
      <c r="AG18" s="660" t="s">
        <v>1138</v>
      </c>
      <c r="AH18" s="465"/>
      <c r="AI18" s="466"/>
    </row>
    <row r="19" spans="1:66" s="15" customFormat="1">
      <c r="A19" s="16"/>
      <c r="B19" s="75" t="s">
        <v>169</v>
      </c>
      <c r="C19" s="76">
        <v>1</v>
      </c>
      <c r="D19" s="104"/>
      <c r="E19" s="94"/>
      <c r="F19" s="76"/>
      <c r="G19" s="78"/>
      <c r="H19" s="79"/>
      <c r="I19" s="79"/>
      <c r="J19" s="79"/>
      <c r="K19" s="79"/>
      <c r="L19" s="79"/>
      <c r="M19" s="79"/>
      <c r="N19" s="508" t="str">
        <f>IFERROR(CONCATENATE("tCO2e/",VLOOKUP($M19,'Emission factors'!$C:$H,6,FALSE)),"")</f>
        <v/>
      </c>
      <c r="O19" s="508" t="str">
        <f>IFERROR(VLOOKUP($M19,'Emission factors'!$C:$BQ,9,FALSE),"")</f>
        <v/>
      </c>
      <c r="P19" s="508" t="str">
        <f>IFERROR(VLOOKUP($M19,'Emission factors'!$C:$BQ,12,FALSE),"")</f>
        <v/>
      </c>
      <c r="Q19" s="508" t="str">
        <f>IFERROR(VLOOKUP($M19,'Emission factors'!$C:$BQ,15,FALSE),"")</f>
        <v/>
      </c>
      <c r="R19" s="508" t="str">
        <f>IFERROR(VLOOKUP($M19,'Emission factors'!$C:$BQ,65,FALSE),"")</f>
        <v/>
      </c>
      <c r="S19" s="508" t="str">
        <f>IFERROR(VLOOKUP($M19,'Emission factors'!$C:$BQ,67,FALSE),"")</f>
        <v/>
      </c>
      <c r="T19" s="79"/>
      <c r="U19" s="79"/>
      <c r="V19" s="79"/>
      <c r="W19" s="79"/>
      <c r="X19" s="79"/>
      <c r="Y19" s="79"/>
      <c r="Z19" s="677" t="str">
        <f t="shared" ref="Z19:AB20" si="1">IFERROR(IF(AND($M19="",$T19=""),"",IF($M19="",IF(U19=0,"-",U19),IF(O19=0,"0",$G19*IF($K19="",1,$K19)*O19))),"-")</f>
        <v/>
      </c>
      <c r="AA19" s="677" t="str">
        <f t="shared" si="1"/>
        <v/>
      </c>
      <c r="AB19" s="677" t="str">
        <f t="shared" si="1"/>
        <v/>
      </c>
      <c r="AC19" s="677" t="str">
        <f>IFERROR(IF(AND($M19="",$T19=""),"",IF($M19="",IF(X19="",SUM(U19:W19),IF(X19=0,"0",X19)),IF($R19="",SUM($Z19:$AB19),IF($R19=0,"0",$G19*IF($K19="",1,$K19)*$R19)))),"-")</f>
        <v/>
      </c>
      <c r="AD19" s="677" t="str">
        <f>IFERROR(IF(AND($M19="",$T19=""),"",IF($M19="",IF(Y19=0,"-",Y19),IF(S19=0,"0",$G19*IF($K19="",1,$K19)*S19))),"-")</f>
        <v/>
      </c>
      <c r="AE19" s="79"/>
      <c r="AF19" s="170"/>
      <c r="AG19" s="544"/>
      <c r="AH19" s="545"/>
      <c r="AI19" s="604"/>
    </row>
    <row r="20" spans="1:66" s="15" customFormat="1" ht="15" customHeight="1" thickBot="1">
      <c r="A20" s="16"/>
      <c r="B20" s="107" t="s">
        <v>169</v>
      </c>
      <c r="C20" s="99">
        <v>1</v>
      </c>
      <c r="D20" s="98"/>
      <c r="E20" s="97"/>
      <c r="F20" s="99"/>
      <c r="G20" s="525"/>
      <c r="H20" s="148"/>
      <c r="I20" s="148"/>
      <c r="J20" s="148"/>
      <c r="K20" s="148"/>
      <c r="L20" s="148"/>
      <c r="M20" s="148"/>
      <c r="N20" s="526" t="str">
        <f>IFERROR(CONCATENATE("tCO2e/",VLOOKUP(M20,'Emission factors'!C:H,6,FALSE)),"")</f>
        <v/>
      </c>
      <c r="O20" s="526" t="str">
        <f>IFERROR(VLOOKUP($M20,'Emission factors'!$C:$BQ,9,FALSE),"")</f>
        <v/>
      </c>
      <c r="P20" s="526" t="str">
        <f>IFERROR(VLOOKUP($M20,'Emission factors'!$C:$BQ,12,FALSE),"")</f>
        <v/>
      </c>
      <c r="Q20" s="526" t="str">
        <f>IFERROR(VLOOKUP($M20,'Emission factors'!$C:$BQ,15,FALSE),"")</f>
        <v/>
      </c>
      <c r="R20" s="526" t="str">
        <f>IFERROR(VLOOKUP($M20,'Emission factors'!$C:$BQ,65,FALSE),"")</f>
        <v/>
      </c>
      <c r="S20" s="526" t="str">
        <f>IFERROR(VLOOKUP($M20,'Emission factors'!$C:$BQ,67,FALSE),"")</f>
        <v/>
      </c>
      <c r="T20" s="99"/>
      <c r="U20" s="148"/>
      <c r="V20" s="148"/>
      <c r="W20" s="148"/>
      <c r="X20" s="148"/>
      <c r="Y20" s="148"/>
      <c r="Z20" s="680" t="str">
        <f t="shared" si="1"/>
        <v/>
      </c>
      <c r="AA20" s="680" t="str">
        <f t="shared" si="1"/>
        <v/>
      </c>
      <c r="AB20" s="680" t="str">
        <f t="shared" si="1"/>
        <v/>
      </c>
      <c r="AC20" s="680" t="str">
        <f>IFERROR(IF(AND($M20="",$T20=""),"",IF($M20="",IF(X20="",SUM(U20:W20),IF(X20=0,"0",X20)),IF($R20="",SUM($Z20:$AB20),IF($R20=0,"0",$G20*IF($K20="",1,$K20)*$R20)))),"-")</f>
        <v/>
      </c>
      <c r="AD20" s="680" t="str">
        <f>IFERROR(IF(AND($M20="",$T20=""),"",IF($M20="",IF(Y20=0,"-",Y20),IF(S20=0,"0",$G20*IF($K20="",1,$K20)*S20))),"-")</f>
        <v/>
      </c>
      <c r="AE20" s="148"/>
      <c r="AF20" s="600"/>
      <c r="AG20" s="609"/>
      <c r="AH20" s="548"/>
      <c r="AI20" s="607"/>
    </row>
    <row r="21" spans="1:66" s="24" customFormat="1">
      <c r="A21" s="29"/>
      <c r="B21" s="7"/>
      <c r="C21" s="7"/>
      <c r="D21" s="13"/>
      <c r="E21" s="9"/>
      <c r="F21" s="7"/>
      <c r="G21" s="7"/>
      <c r="H21" s="7"/>
      <c r="I21" s="7"/>
      <c r="J21" s="7"/>
      <c r="K21" s="7"/>
      <c r="L21" s="8"/>
      <c r="M21" s="7"/>
      <c r="N21" s="7"/>
      <c r="O21" s="7"/>
      <c r="P21" s="7"/>
      <c r="Q21" s="7"/>
      <c r="R21" s="7"/>
      <c r="S21" s="7"/>
      <c r="T21" s="7"/>
      <c r="U21" s="7"/>
      <c r="V21" s="7"/>
      <c r="W21" s="7"/>
      <c r="X21" s="7"/>
      <c r="Y21" s="7"/>
      <c r="Z21" s="10"/>
      <c r="AA21" s="10"/>
      <c r="AB21" s="10"/>
      <c r="AC21" s="10"/>
      <c r="AD21" s="10"/>
      <c r="AE21" s="7"/>
      <c r="AF21" s="7"/>
    </row>
    <row r="22" spans="1:66" s="24" customFormat="1" ht="18.75">
      <c r="A22" s="29"/>
      <c r="B22" s="38" t="s">
        <v>253</v>
      </c>
      <c r="C22" s="7"/>
      <c r="D22" s="13"/>
      <c r="E22" s="9"/>
      <c r="F22" s="7"/>
      <c r="G22" s="7"/>
      <c r="H22" s="7"/>
      <c r="I22" s="7"/>
      <c r="J22" s="7"/>
      <c r="K22" s="7"/>
      <c r="L22" s="8"/>
      <c r="M22" s="7"/>
      <c r="N22" s="7"/>
      <c r="O22" s="7"/>
      <c r="P22" s="7"/>
      <c r="Q22" s="7"/>
      <c r="R22" s="7"/>
      <c r="S22" s="7"/>
      <c r="T22" s="7"/>
      <c r="U22" s="7"/>
      <c r="V22" s="7"/>
      <c r="W22" s="7"/>
      <c r="X22" s="7"/>
      <c r="Y22" s="7"/>
      <c r="Z22" s="10"/>
      <c r="AA22" s="10"/>
      <c r="AB22" s="10"/>
      <c r="AC22" s="10"/>
      <c r="AD22" s="10"/>
      <c r="AE22" s="7"/>
      <c r="AF22" s="7"/>
    </row>
    <row r="23" spans="1:66" s="24" customFormat="1" ht="16.5" thickBot="1">
      <c r="A23" s="29"/>
      <c r="B23" s="7"/>
      <c r="C23" s="7"/>
      <c r="D23" s="13"/>
      <c r="E23" s="9"/>
      <c r="F23" s="7"/>
      <c r="G23" s="7"/>
      <c r="H23" s="7"/>
      <c r="I23" s="7"/>
      <c r="J23" s="7"/>
      <c r="K23" s="7"/>
      <c r="L23" s="8"/>
      <c r="M23" s="7"/>
      <c r="N23" s="7"/>
      <c r="O23" s="7"/>
      <c r="P23" s="7"/>
      <c r="Q23" s="7"/>
      <c r="R23" s="7"/>
      <c r="S23" s="7"/>
      <c r="T23" s="7"/>
      <c r="U23" s="7"/>
      <c r="V23" s="7"/>
      <c r="W23" s="7"/>
      <c r="X23" s="7"/>
      <c r="Y23" s="7"/>
      <c r="Z23" s="10"/>
      <c r="AA23" s="10"/>
      <c r="AB23" s="10"/>
      <c r="AC23" s="10"/>
      <c r="AD23" s="10"/>
      <c r="AE23" s="7"/>
      <c r="AF23" s="7"/>
    </row>
    <row r="24" spans="1:66" s="5" customFormat="1" ht="15.95" customHeight="1">
      <c r="A24" s="53"/>
      <c r="B24" s="1139" t="s">
        <v>39</v>
      </c>
      <c r="C24" s="1133" t="s">
        <v>40</v>
      </c>
      <c r="D24" s="1056" t="s">
        <v>245</v>
      </c>
      <c r="E24" s="1144"/>
      <c r="F24" s="1134" t="s">
        <v>300</v>
      </c>
      <c r="G24" s="1141" t="s">
        <v>171</v>
      </c>
      <c r="H24" s="1142"/>
      <c r="I24" s="1130" t="s">
        <v>871</v>
      </c>
      <c r="J24" s="1131"/>
      <c r="K24" s="1132"/>
      <c r="L24" s="1134" t="s">
        <v>305</v>
      </c>
      <c r="M24" s="1063" t="s">
        <v>798</v>
      </c>
      <c r="N24" s="1112" t="s">
        <v>798</v>
      </c>
      <c r="O24" s="1112"/>
      <c r="P24" s="1112"/>
      <c r="Q24" s="1112"/>
      <c r="R24" s="1112"/>
      <c r="S24" s="1113"/>
      <c r="T24" s="1119" t="s">
        <v>967</v>
      </c>
      <c r="U24" s="1114" t="s">
        <v>975</v>
      </c>
      <c r="V24" s="1114"/>
      <c r="W24" s="1114"/>
      <c r="X24" s="1114"/>
      <c r="Y24" s="1114"/>
      <c r="Z24" s="1143" t="s">
        <v>292</v>
      </c>
      <c r="AA24" s="1143"/>
      <c r="AB24" s="1143"/>
      <c r="AC24" s="1143"/>
      <c r="AD24" s="1143"/>
      <c r="AE24" s="1133" t="s">
        <v>43</v>
      </c>
      <c r="AF24" s="1133"/>
      <c r="AG24" s="1128" t="s">
        <v>799</v>
      </c>
      <c r="AH24" s="1119" t="s">
        <v>734</v>
      </c>
      <c r="AI24" s="1073" t="s">
        <v>850</v>
      </c>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row>
    <row r="25" spans="1:66" s="5" customFormat="1" ht="19.5" thickBot="1">
      <c r="A25" s="53"/>
      <c r="B25" s="1140"/>
      <c r="C25" s="1135"/>
      <c r="D25" s="149" t="s">
        <v>246</v>
      </c>
      <c r="E25" s="149" t="s">
        <v>244</v>
      </c>
      <c r="F25" s="1135"/>
      <c r="G25" s="329" t="s">
        <v>172</v>
      </c>
      <c r="H25" s="329" t="s">
        <v>173</v>
      </c>
      <c r="I25" s="528" t="s">
        <v>831</v>
      </c>
      <c r="J25" s="528" t="s">
        <v>832</v>
      </c>
      <c r="K25" s="528" t="s">
        <v>965</v>
      </c>
      <c r="L25" s="1135"/>
      <c r="M25" s="1064"/>
      <c r="N25" s="537" t="s">
        <v>173</v>
      </c>
      <c r="O25" s="538" t="s">
        <v>969</v>
      </c>
      <c r="P25" s="538" t="s">
        <v>970</v>
      </c>
      <c r="Q25" s="538" t="s">
        <v>971</v>
      </c>
      <c r="R25" s="538" t="s">
        <v>972</v>
      </c>
      <c r="S25" s="538" t="s">
        <v>973</v>
      </c>
      <c r="T25" s="1120"/>
      <c r="U25" s="538" t="s">
        <v>969</v>
      </c>
      <c r="V25" s="538" t="s">
        <v>970</v>
      </c>
      <c r="W25" s="538" t="s">
        <v>971</v>
      </c>
      <c r="X25" s="538" t="s">
        <v>972</v>
      </c>
      <c r="Y25" s="538" t="s">
        <v>973</v>
      </c>
      <c r="Z25" s="100" t="s">
        <v>293</v>
      </c>
      <c r="AA25" s="100" t="s">
        <v>294</v>
      </c>
      <c r="AB25" s="100" t="s">
        <v>295</v>
      </c>
      <c r="AC25" s="100" t="s">
        <v>296</v>
      </c>
      <c r="AD25" s="100" t="s">
        <v>297</v>
      </c>
      <c r="AE25" s="149" t="s">
        <v>46</v>
      </c>
      <c r="AF25" s="149" t="s">
        <v>47</v>
      </c>
      <c r="AG25" s="1129"/>
      <c r="AH25" s="1120"/>
      <c r="AI25" s="107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row>
    <row r="26" spans="1:66">
      <c r="B26" s="178" t="s">
        <v>170</v>
      </c>
      <c r="C26" s="179">
        <v>1</v>
      </c>
      <c r="D26" s="232" t="s">
        <v>161</v>
      </c>
      <c r="E26" s="233"/>
      <c r="F26" s="327" t="s">
        <v>177</v>
      </c>
      <c r="G26" s="185"/>
      <c r="H26" s="187"/>
      <c r="I26" s="187"/>
      <c r="J26" s="187"/>
      <c r="K26" s="187"/>
      <c r="L26" s="186"/>
      <c r="M26" s="187"/>
      <c r="N26" s="187"/>
      <c r="O26" s="187"/>
      <c r="P26" s="187"/>
      <c r="Q26" s="187"/>
      <c r="R26" s="187"/>
      <c r="S26" s="187"/>
      <c r="T26" s="187"/>
      <c r="U26" s="187"/>
      <c r="V26" s="187"/>
      <c r="W26" s="187"/>
      <c r="X26" s="187"/>
      <c r="Y26" s="187"/>
      <c r="Z26" s="693"/>
      <c r="AA26" s="693"/>
      <c r="AB26" s="693"/>
      <c r="AC26" s="693"/>
      <c r="AD26" s="693"/>
      <c r="AE26" s="255"/>
      <c r="AF26" s="467"/>
      <c r="AG26" s="660" t="s">
        <v>1139</v>
      </c>
      <c r="AH26" s="465"/>
      <c r="AI26" s="466"/>
    </row>
    <row r="27" spans="1:66" s="15" customFormat="1">
      <c r="A27" s="16"/>
      <c r="B27" s="75" t="s">
        <v>170</v>
      </c>
      <c r="C27" s="76">
        <v>1</v>
      </c>
      <c r="D27" s="104"/>
      <c r="E27" s="94"/>
      <c r="F27" s="76"/>
      <c r="G27" s="78"/>
      <c r="H27" s="79"/>
      <c r="I27" s="79"/>
      <c r="J27" s="79"/>
      <c r="K27" s="79"/>
      <c r="L27" s="79"/>
      <c r="M27" s="79"/>
      <c r="N27" s="508" t="str">
        <f>IFERROR(CONCATENATE("tCO2e/",VLOOKUP($M27,'Emission factors'!$C:$H,6,FALSE)),"")</f>
        <v/>
      </c>
      <c r="O27" s="508" t="str">
        <f>IFERROR(VLOOKUP($M27,'Emission factors'!$C:$BQ,9,FALSE),"")</f>
        <v/>
      </c>
      <c r="P27" s="508" t="str">
        <f>IFERROR(VLOOKUP($M27,'Emission factors'!$C:$BQ,12,FALSE),"")</f>
        <v/>
      </c>
      <c r="Q27" s="508" t="str">
        <f>IFERROR(VLOOKUP($M27,'Emission factors'!$C:$BQ,15,FALSE),"")</f>
        <v/>
      </c>
      <c r="R27" s="508" t="str">
        <f>IFERROR(VLOOKUP($M27,'Emission factors'!$C:$BQ,65,FALSE),"")</f>
        <v/>
      </c>
      <c r="S27" s="508" t="str">
        <f>IFERROR(VLOOKUP($M27,'Emission factors'!$C:$BQ,67,FALSE),"")</f>
        <v/>
      </c>
      <c r="T27" s="79"/>
      <c r="U27" s="79"/>
      <c r="V27" s="79"/>
      <c r="W27" s="79"/>
      <c r="X27" s="79"/>
      <c r="Y27" s="79"/>
      <c r="Z27" s="677" t="str">
        <f t="shared" ref="Z27:AB28" si="2">IFERROR(IF(AND($M27="",$T27=""),"",IF($M27="",IF(U27=0,"-",U27),IF(O27=0,"0",$G27*IF($K27="",1,$K27)*O27))),"-")</f>
        <v/>
      </c>
      <c r="AA27" s="677" t="str">
        <f t="shared" si="2"/>
        <v/>
      </c>
      <c r="AB27" s="677" t="str">
        <f t="shared" si="2"/>
        <v/>
      </c>
      <c r="AC27" s="677" t="str">
        <f>IFERROR(IF(AND($M27="",$T27=""),"",IF($M27="",IF(X27="",SUM(U27:W27),IF(X27=0,"0",X27)),IF($R27="",SUM($Z27:$AB27),IF($R27=0,"0",$G27*IF($K27="",1,$K27)*$R27)))),"-")</f>
        <v/>
      </c>
      <c r="AD27" s="677" t="str">
        <f>IFERROR(IF(AND($M27="",$T27=""),"",IF($M27="",IF(Y27=0,"-",Y27),IF(S27=0,"0",$G27*IF($K27="",1,$K27)*S27))),"-")</f>
        <v/>
      </c>
      <c r="AE27" s="79"/>
      <c r="AF27" s="170"/>
      <c r="AG27" s="544"/>
      <c r="AH27" s="545"/>
      <c r="AI27" s="604"/>
    </row>
    <row r="28" spans="1:66" s="15" customFormat="1" ht="15" customHeight="1" thickBot="1">
      <c r="A28" s="16"/>
      <c r="B28" s="107" t="s">
        <v>170</v>
      </c>
      <c r="C28" s="99">
        <v>1</v>
      </c>
      <c r="D28" s="98"/>
      <c r="E28" s="97"/>
      <c r="F28" s="99"/>
      <c r="G28" s="525"/>
      <c r="H28" s="148"/>
      <c r="I28" s="148"/>
      <c r="J28" s="148"/>
      <c r="K28" s="148"/>
      <c r="L28" s="148"/>
      <c r="M28" s="148"/>
      <c r="N28" s="526" t="str">
        <f>IFERROR(CONCATENATE("tCO2e/",VLOOKUP(M28,'Emission factors'!C:H,6,FALSE)),"")</f>
        <v/>
      </c>
      <c r="O28" s="526" t="str">
        <f>IFERROR(VLOOKUP($M28,'Emission factors'!$C:$BQ,9,FALSE),"")</f>
        <v/>
      </c>
      <c r="P28" s="526" t="str">
        <f>IFERROR(VLOOKUP($M28,'Emission factors'!$C:$BQ,12,FALSE),"")</f>
        <v/>
      </c>
      <c r="Q28" s="526" t="str">
        <f>IFERROR(VLOOKUP($M28,'Emission factors'!$C:$BQ,15,FALSE),"")</f>
        <v/>
      </c>
      <c r="R28" s="526" t="str">
        <f>IFERROR(VLOOKUP($M28,'Emission factors'!$C:$BQ,65,FALSE),"")</f>
        <v/>
      </c>
      <c r="S28" s="526" t="str">
        <f>IFERROR(VLOOKUP($M28,'Emission factors'!$C:$BQ,67,FALSE),"")</f>
        <v/>
      </c>
      <c r="T28" s="99"/>
      <c r="U28" s="148"/>
      <c r="V28" s="148"/>
      <c r="W28" s="148"/>
      <c r="X28" s="148"/>
      <c r="Y28" s="148"/>
      <c r="Z28" s="680" t="str">
        <f t="shared" si="2"/>
        <v/>
      </c>
      <c r="AA28" s="680" t="str">
        <f t="shared" si="2"/>
        <v/>
      </c>
      <c r="AB28" s="680" t="str">
        <f t="shared" si="2"/>
        <v/>
      </c>
      <c r="AC28" s="680" t="str">
        <f>IFERROR(IF(AND($M28="",$T28=""),"",IF($M28="",IF(X28="",SUM(U28:W28),IF(X28=0,"0",X28)),IF($R28="",SUM($Z28:$AB28),IF($R28=0,"0",$G28*IF($K28="",1,$K28)*$R28)))),"-")</f>
        <v/>
      </c>
      <c r="AD28" s="680" t="str">
        <f>IFERROR(IF(AND($M28="",$T28=""),"",IF($M28="",IF(Y28=0,"-",Y28),IF(S28=0,"0",$G28*IF($K28="",1,$K28)*S28))),"-")</f>
        <v/>
      </c>
      <c r="AE28" s="148"/>
      <c r="AF28" s="600"/>
      <c r="AG28" s="609"/>
      <c r="AH28" s="548"/>
      <c r="AI28" s="607"/>
    </row>
    <row r="29" spans="1:66" s="15" customFormat="1">
      <c r="A29" s="16"/>
      <c r="B29" s="27"/>
      <c r="C29" s="27"/>
      <c r="D29" s="24"/>
      <c r="E29" s="24"/>
      <c r="F29" s="29"/>
      <c r="G29" s="29"/>
      <c r="H29" s="29"/>
      <c r="I29" s="29"/>
      <c r="J29" s="29"/>
      <c r="K29" s="29"/>
      <c r="L29" s="24"/>
      <c r="M29" s="29"/>
      <c r="N29" s="29"/>
      <c r="O29" s="29"/>
      <c r="P29" s="29"/>
      <c r="Q29" s="29"/>
      <c r="R29" s="29"/>
      <c r="S29" s="29"/>
      <c r="T29" s="29"/>
      <c r="U29" s="29"/>
      <c r="V29" s="29"/>
      <c r="W29" s="29"/>
      <c r="X29" s="29"/>
      <c r="Y29" s="29"/>
      <c r="Z29" s="688"/>
      <c r="AA29" s="688"/>
      <c r="AB29" s="688"/>
      <c r="AC29" s="688"/>
      <c r="AD29" s="688"/>
    </row>
    <row r="30" spans="1:66" s="15" customFormat="1" ht="15" customHeight="1">
      <c r="A30" s="16"/>
      <c r="B30" s="224" t="s">
        <v>632</v>
      </c>
      <c r="C30" s="14"/>
      <c r="F30" s="16"/>
      <c r="G30" s="16"/>
      <c r="H30" s="16"/>
      <c r="I30" s="16"/>
      <c r="J30" s="16"/>
      <c r="K30" s="16"/>
      <c r="M30" s="16"/>
      <c r="N30" s="16"/>
      <c r="O30" s="16"/>
      <c r="P30" s="16"/>
      <c r="Q30" s="16"/>
      <c r="R30" s="16"/>
      <c r="S30" s="16"/>
      <c r="T30" s="16"/>
      <c r="U30" s="16"/>
      <c r="V30" s="16"/>
      <c r="W30" s="16"/>
      <c r="X30" s="16"/>
      <c r="Y30" s="16"/>
      <c r="Z30" s="688"/>
      <c r="AA30" s="688"/>
      <c r="AB30" s="688"/>
      <c r="AC30" s="688"/>
      <c r="AD30" s="688"/>
    </row>
    <row r="31" spans="1:66" s="15" customFormat="1">
      <c r="A31" s="16"/>
      <c r="B31" s="14"/>
      <c r="C31" s="14"/>
      <c r="F31" s="16"/>
      <c r="G31" s="16"/>
      <c r="H31" s="16"/>
      <c r="I31" s="16"/>
      <c r="J31" s="16"/>
      <c r="K31" s="16"/>
      <c r="M31" s="16"/>
      <c r="N31" s="16"/>
      <c r="O31" s="16"/>
      <c r="P31" s="16"/>
      <c r="Q31" s="16"/>
      <c r="R31" s="16"/>
      <c r="S31" s="16"/>
      <c r="T31" s="16"/>
      <c r="U31" s="16"/>
      <c r="V31" s="16"/>
      <c r="W31" s="16"/>
      <c r="X31" s="16"/>
      <c r="Y31" s="16"/>
      <c r="Z31" s="688"/>
      <c r="AA31" s="688"/>
      <c r="AB31" s="688"/>
      <c r="AC31" s="688"/>
      <c r="AD31" s="688"/>
    </row>
    <row r="32" spans="1:66" s="15" customFormat="1">
      <c r="A32" s="16"/>
      <c r="B32" s="14"/>
      <c r="C32" s="14"/>
      <c r="F32" s="16"/>
      <c r="G32" s="16"/>
      <c r="H32" s="16"/>
      <c r="I32" s="16"/>
      <c r="J32" s="16"/>
      <c r="K32" s="16"/>
      <c r="M32" s="16"/>
      <c r="N32" s="16"/>
      <c r="O32" s="16"/>
      <c r="P32" s="16"/>
      <c r="Q32" s="16"/>
      <c r="R32" s="16"/>
      <c r="S32" s="16"/>
      <c r="T32" s="16"/>
      <c r="U32" s="16"/>
      <c r="V32" s="16"/>
      <c r="W32" s="16"/>
      <c r="X32" s="16"/>
      <c r="Y32" s="16"/>
      <c r="Z32" s="688"/>
      <c r="AA32" s="688"/>
      <c r="AB32" s="688"/>
      <c r="AC32" s="688"/>
      <c r="AD32" s="688"/>
    </row>
    <row r="33" spans="1:30" s="15" customFormat="1">
      <c r="A33" s="16"/>
      <c r="B33" s="14"/>
      <c r="C33" s="14"/>
      <c r="F33" s="16"/>
      <c r="G33" s="16"/>
      <c r="H33" s="16"/>
      <c r="I33" s="16"/>
      <c r="J33" s="16"/>
      <c r="K33" s="16"/>
      <c r="M33" s="16"/>
      <c r="N33" s="16"/>
      <c r="O33" s="16"/>
      <c r="P33" s="16"/>
      <c r="Q33" s="16"/>
      <c r="R33" s="16"/>
      <c r="S33" s="16"/>
      <c r="T33" s="16"/>
      <c r="U33" s="16"/>
      <c r="V33" s="16"/>
      <c r="W33" s="16"/>
      <c r="X33" s="16"/>
      <c r="Y33" s="16"/>
      <c r="Z33" s="688"/>
      <c r="AA33" s="688"/>
      <c r="AB33" s="688"/>
      <c r="AC33" s="688"/>
      <c r="AD33" s="688"/>
    </row>
    <row r="34" spans="1:30" s="15" customFormat="1">
      <c r="A34" s="16"/>
      <c r="B34" s="14"/>
      <c r="C34" s="14"/>
      <c r="F34" s="16"/>
      <c r="G34" s="16"/>
      <c r="H34" s="16"/>
      <c r="I34" s="16"/>
      <c r="J34" s="16"/>
      <c r="K34" s="16"/>
      <c r="M34" s="16"/>
      <c r="N34" s="16"/>
      <c r="O34" s="16"/>
      <c r="P34" s="16"/>
      <c r="Q34" s="16"/>
      <c r="R34" s="16"/>
      <c r="S34" s="16"/>
      <c r="T34" s="16"/>
      <c r="U34" s="16"/>
      <c r="V34" s="16"/>
      <c r="W34" s="16"/>
      <c r="X34" s="16"/>
      <c r="Y34" s="16"/>
      <c r="Z34" s="688"/>
      <c r="AA34" s="688"/>
      <c r="AB34" s="688"/>
      <c r="AC34" s="688"/>
      <c r="AD34" s="688"/>
    </row>
    <row r="35" spans="1:30" s="15" customFormat="1">
      <c r="A35" s="16"/>
      <c r="B35" s="14"/>
      <c r="C35" s="14"/>
      <c r="F35" s="16"/>
      <c r="G35" s="16"/>
      <c r="H35" s="16"/>
      <c r="I35" s="16"/>
      <c r="J35" s="16"/>
      <c r="K35" s="16"/>
      <c r="M35" s="16"/>
      <c r="N35" s="16"/>
      <c r="O35" s="16"/>
      <c r="P35" s="16"/>
      <c r="Q35" s="16"/>
      <c r="R35" s="16"/>
      <c r="S35" s="16"/>
      <c r="T35" s="16"/>
      <c r="U35" s="16"/>
      <c r="V35" s="16"/>
      <c r="W35" s="16"/>
      <c r="X35" s="16"/>
      <c r="Y35" s="16"/>
      <c r="Z35" s="688"/>
      <c r="AA35" s="688"/>
      <c r="AB35" s="688"/>
      <c r="AC35" s="688"/>
      <c r="AD35" s="688"/>
    </row>
    <row r="36" spans="1:30" s="15" customFormat="1">
      <c r="A36" s="16"/>
      <c r="B36" s="14"/>
      <c r="C36" s="14"/>
      <c r="F36" s="16"/>
      <c r="G36" s="16"/>
      <c r="H36" s="16"/>
      <c r="I36" s="16"/>
      <c r="J36" s="16"/>
      <c r="K36" s="16"/>
      <c r="M36" s="16"/>
      <c r="N36" s="16"/>
      <c r="O36" s="16"/>
      <c r="P36" s="16"/>
      <c r="Q36" s="16"/>
      <c r="R36" s="16"/>
      <c r="S36" s="16"/>
      <c r="T36" s="16"/>
      <c r="U36" s="16"/>
      <c r="V36" s="16"/>
      <c r="W36" s="16"/>
      <c r="X36" s="16"/>
      <c r="Y36" s="16"/>
      <c r="Z36" s="688"/>
      <c r="AA36" s="688"/>
      <c r="AB36" s="688"/>
      <c r="AC36" s="688"/>
      <c r="AD36" s="688"/>
    </row>
    <row r="37" spans="1:30" s="15" customFormat="1">
      <c r="A37" s="16"/>
      <c r="B37" s="14"/>
      <c r="C37" s="14"/>
      <c r="F37" s="16"/>
      <c r="G37" s="16"/>
      <c r="H37" s="16"/>
      <c r="I37" s="16"/>
      <c r="J37" s="16"/>
      <c r="K37" s="16"/>
      <c r="M37" s="16"/>
      <c r="N37" s="16"/>
      <c r="O37" s="16"/>
      <c r="P37" s="16"/>
      <c r="Q37" s="16"/>
      <c r="R37" s="16"/>
      <c r="S37" s="16"/>
      <c r="T37" s="16"/>
      <c r="U37" s="16"/>
      <c r="V37" s="16"/>
      <c r="W37" s="16"/>
      <c r="X37" s="16"/>
      <c r="Y37" s="16"/>
      <c r="Z37" s="688"/>
      <c r="AA37" s="688"/>
      <c r="AB37" s="688"/>
      <c r="AC37" s="688"/>
      <c r="AD37" s="688"/>
    </row>
    <row r="38" spans="1:30" s="15" customFormat="1">
      <c r="A38" s="16"/>
      <c r="B38" s="14"/>
      <c r="C38" s="14"/>
      <c r="F38" s="16"/>
      <c r="G38" s="16"/>
      <c r="H38" s="16"/>
      <c r="I38" s="16"/>
      <c r="J38" s="16"/>
      <c r="K38" s="16"/>
      <c r="M38" s="16"/>
      <c r="N38" s="16"/>
      <c r="O38" s="16"/>
      <c r="P38" s="16"/>
      <c r="Q38" s="16"/>
      <c r="R38" s="16"/>
      <c r="S38" s="16"/>
      <c r="T38" s="16"/>
      <c r="U38" s="16"/>
      <c r="V38" s="16"/>
      <c r="W38" s="16"/>
      <c r="X38" s="16"/>
      <c r="Y38" s="16"/>
      <c r="Z38" s="688"/>
      <c r="AA38" s="688"/>
      <c r="AB38" s="688"/>
      <c r="AC38" s="688"/>
      <c r="AD38" s="688"/>
    </row>
    <row r="39" spans="1:30" s="15" customFormat="1">
      <c r="A39" s="16"/>
      <c r="B39" s="14"/>
      <c r="C39" s="14"/>
      <c r="F39" s="16"/>
      <c r="G39" s="16"/>
      <c r="H39" s="16"/>
      <c r="I39" s="16"/>
      <c r="J39" s="16"/>
      <c r="K39" s="16"/>
      <c r="M39" s="16"/>
      <c r="N39" s="16"/>
      <c r="O39" s="16"/>
      <c r="P39" s="16"/>
      <c r="Q39" s="16"/>
      <c r="R39" s="16"/>
      <c r="S39" s="16"/>
      <c r="T39" s="16"/>
      <c r="U39" s="16"/>
      <c r="V39" s="16"/>
      <c r="W39" s="16"/>
      <c r="X39" s="16"/>
      <c r="Y39" s="16"/>
      <c r="Z39" s="688"/>
      <c r="AA39" s="688"/>
      <c r="AB39" s="688"/>
      <c r="AC39" s="688"/>
      <c r="AD39" s="688"/>
    </row>
    <row r="40" spans="1:30" s="15" customFormat="1">
      <c r="A40" s="16"/>
      <c r="B40" s="14"/>
      <c r="C40" s="14"/>
      <c r="F40" s="16"/>
      <c r="G40" s="16"/>
      <c r="H40" s="16"/>
      <c r="I40" s="16"/>
      <c r="J40" s="16"/>
      <c r="K40" s="16"/>
      <c r="M40" s="16"/>
      <c r="N40" s="16"/>
      <c r="O40" s="16"/>
      <c r="P40" s="16"/>
      <c r="Q40" s="16"/>
      <c r="R40" s="16"/>
      <c r="S40" s="16"/>
      <c r="T40" s="16"/>
      <c r="U40" s="16"/>
      <c r="V40" s="16"/>
      <c r="W40" s="16"/>
      <c r="X40" s="16"/>
      <c r="Y40" s="16"/>
      <c r="Z40" s="688"/>
      <c r="AA40" s="688"/>
      <c r="AB40" s="688"/>
      <c r="AC40" s="688"/>
      <c r="AD40" s="688"/>
    </row>
    <row r="41" spans="1:30" s="15" customFormat="1">
      <c r="A41" s="16"/>
      <c r="B41" s="14"/>
      <c r="C41" s="14"/>
      <c r="F41" s="16"/>
      <c r="G41" s="16"/>
      <c r="H41" s="16"/>
      <c r="I41" s="16"/>
      <c r="J41" s="16"/>
      <c r="K41" s="16"/>
      <c r="M41" s="16"/>
      <c r="N41" s="16"/>
      <c r="O41" s="16"/>
      <c r="P41" s="16"/>
      <c r="Q41" s="16"/>
      <c r="R41" s="16"/>
      <c r="S41" s="16"/>
      <c r="T41" s="16"/>
      <c r="U41" s="16"/>
      <c r="V41" s="16"/>
      <c r="W41" s="16"/>
      <c r="X41" s="16"/>
      <c r="Y41" s="16"/>
      <c r="Z41" s="688"/>
      <c r="AA41" s="688"/>
      <c r="AB41" s="688"/>
      <c r="AC41" s="688"/>
      <c r="AD41" s="688"/>
    </row>
    <row r="42" spans="1:30" s="15" customFormat="1">
      <c r="A42" s="16"/>
      <c r="B42" s="14"/>
      <c r="C42" s="14"/>
      <c r="F42" s="16"/>
      <c r="G42" s="16"/>
      <c r="H42" s="16"/>
      <c r="I42" s="16"/>
      <c r="J42" s="16"/>
      <c r="K42" s="16"/>
      <c r="M42" s="16"/>
      <c r="N42" s="16"/>
      <c r="O42" s="16"/>
      <c r="P42" s="16"/>
      <c r="Q42" s="16"/>
      <c r="R42" s="16"/>
      <c r="S42" s="16"/>
      <c r="T42" s="16"/>
      <c r="U42" s="16"/>
      <c r="V42" s="16"/>
      <c r="W42" s="16"/>
      <c r="X42" s="16"/>
      <c r="Y42" s="16"/>
      <c r="Z42" s="688"/>
      <c r="AA42" s="688"/>
      <c r="AB42" s="688"/>
      <c r="AC42" s="688"/>
      <c r="AD42" s="688"/>
    </row>
    <row r="43" spans="1:30" s="15" customFormat="1">
      <c r="A43" s="16"/>
      <c r="B43" s="14"/>
      <c r="C43" s="14"/>
      <c r="F43" s="16"/>
      <c r="G43" s="16"/>
      <c r="H43" s="16"/>
      <c r="I43" s="16"/>
      <c r="J43" s="16"/>
      <c r="K43" s="16"/>
      <c r="M43" s="16"/>
      <c r="N43" s="16"/>
      <c r="O43" s="16"/>
      <c r="P43" s="16"/>
      <c r="Q43" s="16"/>
      <c r="R43" s="16"/>
      <c r="S43" s="16"/>
      <c r="T43" s="16"/>
      <c r="U43" s="16"/>
      <c r="V43" s="16"/>
      <c r="W43" s="16"/>
      <c r="X43" s="16"/>
      <c r="Y43" s="16"/>
      <c r="Z43" s="688"/>
      <c r="AA43" s="688"/>
      <c r="AB43" s="688"/>
      <c r="AC43" s="688"/>
      <c r="AD43" s="688"/>
    </row>
    <row r="44" spans="1:30" s="15" customFormat="1">
      <c r="A44" s="16"/>
      <c r="B44" s="14"/>
      <c r="C44" s="14"/>
      <c r="F44" s="16"/>
      <c r="G44" s="16"/>
      <c r="H44" s="16"/>
      <c r="I44" s="16"/>
      <c r="J44" s="16"/>
      <c r="K44" s="16"/>
      <c r="M44" s="16"/>
      <c r="N44" s="16"/>
      <c r="O44" s="16"/>
      <c r="P44" s="16"/>
      <c r="Q44" s="16"/>
      <c r="R44" s="16"/>
      <c r="S44" s="16"/>
      <c r="T44" s="16"/>
      <c r="U44" s="16"/>
      <c r="V44" s="16"/>
      <c r="W44" s="16"/>
      <c r="X44" s="16"/>
      <c r="Y44" s="16"/>
      <c r="Z44" s="688"/>
      <c r="AA44" s="688"/>
      <c r="AB44" s="688"/>
      <c r="AC44" s="688"/>
      <c r="AD44" s="688"/>
    </row>
    <row r="45" spans="1:30" s="15" customFormat="1">
      <c r="A45" s="16"/>
      <c r="B45" s="14"/>
      <c r="C45" s="14"/>
      <c r="F45" s="16"/>
      <c r="G45" s="16"/>
      <c r="H45" s="16"/>
      <c r="I45" s="16"/>
      <c r="J45" s="16"/>
      <c r="K45" s="16"/>
      <c r="M45" s="16"/>
      <c r="N45" s="16"/>
      <c r="O45" s="16"/>
      <c r="P45" s="16"/>
      <c r="Q45" s="16"/>
      <c r="R45" s="16"/>
      <c r="S45" s="16"/>
      <c r="T45" s="16"/>
      <c r="U45" s="16"/>
      <c r="V45" s="16"/>
      <c r="W45" s="16"/>
      <c r="X45" s="16"/>
      <c r="Y45" s="16"/>
      <c r="Z45" s="688"/>
      <c r="AA45" s="688"/>
      <c r="AB45" s="688"/>
      <c r="AC45" s="688"/>
      <c r="AD45" s="688"/>
    </row>
    <row r="46" spans="1:30" s="15" customFormat="1">
      <c r="A46" s="16"/>
      <c r="B46" s="14"/>
      <c r="C46" s="14"/>
      <c r="F46" s="16"/>
      <c r="G46" s="16"/>
      <c r="H46" s="16"/>
      <c r="I46" s="16"/>
      <c r="J46" s="16"/>
      <c r="K46" s="16"/>
      <c r="M46" s="16"/>
      <c r="N46" s="16"/>
      <c r="O46" s="16"/>
      <c r="P46" s="16"/>
      <c r="Q46" s="16"/>
      <c r="R46" s="16"/>
      <c r="S46" s="16"/>
      <c r="T46" s="16"/>
      <c r="U46" s="16"/>
      <c r="V46" s="16"/>
      <c r="W46" s="16"/>
      <c r="X46" s="16"/>
      <c r="Y46" s="16"/>
      <c r="Z46" s="688"/>
      <c r="AA46" s="688"/>
      <c r="AB46" s="688"/>
      <c r="AC46" s="688"/>
      <c r="AD46" s="688"/>
    </row>
    <row r="47" spans="1:30" s="15" customFormat="1">
      <c r="A47" s="16"/>
      <c r="B47" s="14"/>
      <c r="C47" s="14"/>
      <c r="F47" s="16"/>
      <c r="G47" s="16"/>
      <c r="H47" s="16"/>
      <c r="I47" s="16"/>
      <c r="J47" s="16"/>
      <c r="K47" s="16"/>
      <c r="M47" s="16"/>
      <c r="N47" s="16"/>
      <c r="O47" s="16"/>
      <c r="P47" s="16"/>
      <c r="Q47" s="16"/>
      <c r="R47" s="16"/>
      <c r="S47" s="16"/>
      <c r="T47" s="16"/>
      <c r="U47" s="16"/>
      <c r="V47" s="16"/>
      <c r="W47" s="16"/>
      <c r="X47" s="16"/>
      <c r="Y47" s="16"/>
      <c r="Z47" s="688"/>
      <c r="AA47" s="688"/>
      <c r="AB47" s="688"/>
      <c r="AC47" s="688"/>
      <c r="AD47" s="688"/>
    </row>
    <row r="48" spans="1:30" s="15" customFormat="1">
      <c r="A48" s="16"/>
      <c r="B48" s="14"/>
      <c r="C48" s="14"/>
      <c r="F48" s="16"/>
      <c r="G48" s="16"/>
      <c r="H48" s="16"/>
      <c r="I48" s="16"/>
      <c r="J48" s="16"/>
      <c r="K48" s="16"/>
      <c r="M48" s="16"/>
      <c r="N48" s="16"/>
      <c r="O48" s="16"/>
      <c r="P48" s="16"/>
      <c r="Q48" s="16"/>
      <c r="R48" s="16"/>
      <c r="S48" s="16"/>
      <c r="T48" s="16"/>
      <c r="U48" s="16"/>
      <c r="V48" s="16"/>
      <c r="W48" s="16"/>
      <c r="X48" s="16"/>
      <c r="Y48" s="16"/>
      <c r="Z48" s="688"/>
      <c r="AA48" s="688"/>
      <c r="AB48" s="688"/>
      <c r="AC48" s="688"/>
      <c r="AD48" s="688"/>
    </row>
    <row r="49" spans="1:30" s="15" customFormat="1">
      <c r="A49" s="16"/>
      <c r="B49" s="14"/>
      <c r="C49" s="14"/>
      <c r="F49" s="16"/>
      <c r="G49" s="16"/>
      <c r="H49" s="16"/>
      <c r="I49" s="16"/>
      <c r="J49" s="16"/>
      <c r="K49" s="16"/>
      <c r="M49" s="16"/>
      <c r="N49" s="16"/>
      <c r="O49" s="16"/>
      <c r="P49" s="16"/>
      <c r="Q49" s="16"/>
      <c r="R49" s="16"/>
      <c r="S49" s="16"/>
      <c r="T49" s="16"/>
      <c r="U49" s="16"/>
      <c r="V49" s="16"/>
      <c r="W49" s="16"/>
      <c r="X49" s="16"/>
      <c r="Y49" s="16"/>
      <c r="Z49" s="688"/>
      <c r="AA49" s="688"/>
      <c r="AB49" s="688"/>
      <c r="AC49" s="688"/>
      <c r="AD49" s="688"/>
    </row>
    <row r="50" spans="1:30" s="15" customFormat="1">
      <c r="A50" s="16"/>
      <c r="B50" s="14"/>
      <c r="C50" s="14"/>
      <c r="F50" s="16"/>
      <c r="G50" s="16"/>
      <c r="H50" s="16"/>
      <c r="I50" s="16"/>
      <c r="J50" s="16"/>
      <c r="K50" s="16"/>
      <c r="M50" s="16"/>
      <c r="N50" s="16"/>
      <c r="O50" s="16"/>
      <c r="P50" s="16"/>
      <c r="Q50" s="16"/>
      <c r="R50" s="16"/>
      <c r="S50" s="16"/>
      <c r="T50" s="16"/>
      <c r="U50" s="16"/>
      <c r="V50" s="16"/>
      <c r="W50" s="16"/>
      <c r="X50" s="16"/>
      <c r="Y50" s="16"/>
      <c r="Z50" s="688"/>
      <c r="AA50" s="688"/>
      <c r="AB50" s="688"/>
      <c r="AC50" s="688"/>
      <c r="AD50" s="688"/>
    </row>
    <row r="51" spans="1:30" s="15" customFormat="1">
      <c r="A51" s="16"/>
      <c r="B51" s="14"/>
      <c r="C51" s="14"/>
      <c r="F51" s="16"/>
      <c r="G51" s="16"/>
      <c r="H51" s="16"/>
      <c r="I51" s="16"/>
      <c r="J51" s="16"/>
      <c r="K51" s="16"/>
      <c r="M51" s="16"/>
      <c r="N51" s="16"/>
      <c r="O51" s="16"/>
      <c r="P51" s="16"/>
      <c r="Q51" s="16"/>
      <c r="R51" s="16"/>
      <c r="S51" s="16"/>
      <c r="T51" s="16"/>
      <c r="U51" s="16"/>
      <c r="V51" s="16"/>
      <c r="W51" s="16"/>
      <c r="X51" s="16"/>
      <c r="Y51" s="16"/>
      <c r="Z51" s="688"/>
      <c r="AA51" s="688"/>
      <c r="AB51" s="688"/>
      <c r="AC51" s="688"/>
      <c r="AD51" s="688"/>
    </row>
    <row r="52" spans="1:30" s="15" customFormat="1">
      <c r="A52" s="16"/>
      <c r="B52" s="14"/>
      <c r="C52" s="14"/>
      <c r="F52" s="16"/>
      <c r="G52" s="16"/>
      <c r="H52" s="16"/>
      <c r="I52" s="16"/>
      <c r="J52" s="16"/>
      <c r="K52" s="16"/>
      <c r="M52" s="16"/>
      <c r="N52" s="16"/>
      <c r="O52" s="16"/>
      <c r="P52" s="16"/>
      <c r="Q52" s="16"/>
      <c r="R52" s="16"/>
      <c r="S52" s="16"/>
      <c r="T52" s="16"/>
      <c r="U52" s="16"/>
      <c r="V52" s="16"/>
      <c r="W52" s="16"/>
      <c r="X52" s="16"/>
      <c r="Y52" s="16"/>
      <c r="Z52" s="688"/>
      <c r="AA52" s="688"/>
      <c r="AB52" s="688"/>
      <c r="AC52" s="688"/>
      <c r="AD52" s="688"/>
    </row>
    <row r="53" spans="1:30" s="15" customFormat="1">
      <c r="A53" s="16"/>
      <c r="B53" s="14"/>
      <c r="C53" s="14"/>
      <c r="F53" s="16"/>
      <c r="G53" s="16"/>
      <c r="H53" s="16"/>
      <c r="I53" s="16"/>
      <c r="J53" s="16"/>
      <c r="K53" s="16"/>
      <c r="M53" s="16"/>
      <c r="N53" s="16"/>
      <c r="O53" s="16"/>
      <c r="P53" s="16"/>
      <c r="Q53" s="16"/>
      <c r="R53" s="16"/>
      <c r="S53" s="16"/>
      <c r="T53" s="16"/>
      <c r="U53" s="16"/>
      <c r="V53" s="16"/>
      <c r="W53" s="16"/>
      <c r="X53" s="16"/>
      <c r="Y53" s="16"/>
      <c r="Z53" s="688"/>
      <c r="AA53" s="688"/>
      <c r="AB53" s="688"/>
      <c r="AC53" s="688"/>
      <c r="AD53" s="688"/>
    </row>
    <row r="54" spans="1:30" s="15" customFormat="1">
      <c r="A54" s="16"/>
      <c r="B54" s="14"/>
      <c r="C54" s="14"/>
      <c r="F54" s="16"/>
      <c r="G54" s="16"/>
      <c r="H54" s="16"/>
      <c r="I54" s="16"/>
      <c r="J54" s="16"/>
      <c r="K54" s="16"/>
      <c r="M54" s="16"/>
      <c r="N54" s="16"/>
      <c r="O54" s="16"/>
      <c r="P54" s="16"/>
      <c r="Q54" s="16"/>
      <c r="R54" s="16"/>
      <c r="S54" s="16"/>
      <c r="T54" s="16"/>
      <c r="U54" s="16"/>
      <c r="V54" s="16"/>
      <c r="W54" s="16"/>
      <c r="X54" s="16"/>
      <c r="Y54" s="16"/>
      <c r="Z54" s="688"/>
      <c r="AA54" s="688"/>
      <c r="AB54" s="688"/>
      <c r="AC54" s="688"/>
      <c r="AD54" s="688"/>
    </row>
    <row r="55" spans="1:30" s="15" customFormat="1">
      <c r="A55" s="16"/>
      <c r="B55" s="14"/>
      <c r="C55" s="14"/>
      <c r="F55" s="16"/>
      <c r="G55" s="16"/>
      <c r="H55" s="16"/>
      <c r="I55" s="16"/>
      <c r="J55" s="16"/>
      <c r="K55" s="16"/>
      <c r="M55" s="16"/>
      <c r="N55" s="16"/>
      <c r="O55" s="16"/>
      <c r="P55" s="16"/>
      <c r="Q55" s="16"/>
      <c r="R55" s="16"/>
      <c r="S55" s="16"/>
      <c r="T55" s="16"/>
      <c r="U55" s="16"/>
      <c r="V55" s="16"/>
      <c r="W55" s="16"/>
      <c r="X55" s="16"/>
      <c r="Y55" s="16"/>
      <c r="Z55" s="688"/>
      <c r="AA55" s="688"/>
      <c r="AB55" s="688"/>
      <c r="AC55" s="688"/>
      <c r="AD55" s="688"/>
    </row>
    <row r="56" spans="1:30" s="15" customFormat="1">
      <c r="A56" s="16"/>
      <c r="B56" s="14"/>
      <c r="C56" s="14"/>
      <c r="F56" s="16"/>
      <c r="G56" s="16"/>
      <c r="H56" s="16"/>
      <c r="I56" s="16"/>
      <c r="J56" s="16"/>
      <c r="K56" s="16"/>
      <c r="M56" s="16"/>
      <c r="N56" s="16"/>
      <c r="O56" s="16"/>
      <c r="P56" s="16"/>
      <c r="Q56" s="16"/>
      <c r="R56" s="16"/>
      <c r="S56" s="16"/>
      <c r="T56" s="16"/>
      <c r="U56" s="16"/>
      <c r="V56" s="16"/>
      <c r="W56" s="16"/>
      <c r="X56" s="16"/>
      <c r="Y56" s="16"/>
      <c r="Z56" s="688"/>
      <c r="AA56" s="688"/>
      <c r="AB56" s="688"/>
      <c r="AC56" s="688"/>
      <c r="AD56" s="688"/>
    </row>
    <row r="57" spans="1:30" s="15" customFormat="1">
      <c r="A57" s="16"/>
      <c r="B57" s="14"/>
      <c r="C57" s="14"/>
      <c r="F57" s="16"/>
      <c r="G57" s="16"/>
      <c r="H57" s="16"/>
      <c r="I57" s="16"/>
      <c r="J57" s="16"/>
      <c r="K57" s="16"/>
      <c r="M57" s="16"/>
      <c r="N57" s="16"/>
      <c r="O57" s="16"/>
      <c r="P57" s="16"/>
      <c r="Q57" s="16"/>
      <c r="R57" s="16"/>
      <c r="S57" s="16"/>
      <c r="T57" s="16"/>
      <c r="U57" s="16"/>
      <c r="V57" s="16"/>
      <c r="W57" s="16"/>
      <c r="X57" s="16"/>
      <c r="Y57" s="16"/>
      <c r="Z57" s="688"/>
      <c r="AA57" s="688"/>
      <c r="AB57" s="688"/>
      <c r="AC57" s="688"/>
      <c r="AD57" s="688"/>
    </row>
    <row r="58" spans="1:30" s="15" customFormat="1">
      <c r="A58" s="16"/>
      <c r="B58" s="14"/>
      <c r="C58" s="14"/>
      <c r="F58" s="16"/>
      <c r="G58" s="16"/>
      <c r="H58" s="16"/>
      <c r="I58" s="16"/>
      <c r="J58" s="16"/>
      <c r="K58" s="16"/>
      <c r="M58" s="16"/>
      <c r="N58" s="16"/>
      <c r="O58" s="16"/>
      <c r="P58" s="16"/>
      <c r="Q58" s="16"/>
      <c r="R58" s="16"/>
      <c r="S58" s="16"/>
      <c r="T58" s="16"/>
      <c r="U58" s="16"/>
      <c r="V58" s="16"/>
      <c r="W58" s="16"/>
      <c r="X58" s="16"/>
      <c r="Y58" s="16"/>
      <c r="Z58" s="688"/>
      <c r="AA58" s="688"/>
      <c r="AB58" s="688"/>
      <c r="AC58" s="688"/>
      <c r="AD58" s="688"/>
    </row>
    <row r="59" spans="1:30" s="15" customFormat="1">
      <c r="A59" s="16"/>
      <c r="B59" s="14"/>
      <c r="C59" s="14"/>
      <c r="F59" s="16"/>
      <c r="G59" s="16"/>
      <c r="H59" s="16"/>
      <c r="I59" s="16"/>
      <c r="J59" s="16"/>
      <c r="K59" s="16"/>
      <c r="M59" s="16"/>
      <c r="N59" s="16"/>
      <c r="O59" s="16"/>
      <c r="P59" s="16"/>
      <c r="Q59" s="16"/>
      <c r="R59" s="16"/>
      <c r="S59" s="16"/>
      <c r="T59" s="16"/>
      <c r="U59" s="16"/>
      <c r="V59" s="16"/>
      <c r="W59" s="16"/>
      <c r="X59" s="16"/>
      <c r="Y59" s="16"/>
      <c r="Z59" s="688"/>
      <c r="AA59" s="688"/>
      <c r="AB59" s="688"/>
      <c r="AC59" s="688"/>
      <c r="AD59" s="688"/>
    </row>
    <row r="60" spans="1:30" s="15" customFormat="1">
      <c r="A60" s="16"/>
      <c r="B60" s="14"/>
      <c r="C60" s="14"/>
      <c r="F60" s="16"/>
      <c r="G60" s="16"/>
      <c r="H60" s="16"/>
      <c r="I60" s="16"/>
      <c r="J60" s="16"/>
      <c r="K60" s="16"/>
      <c r="M60" s="16"/>
      <c r="N60" s="16"/>
      <c r="O60" s="16"/>
      <c r="P60" s="16"/>
      <c r="Q60" s="16"/>
      <c r="R60" s="16"/>
      <c r="S60" s="16"/>
      <c r="T60" s="16"/>
      <c r="U60" s="16"/>
      <c r="V60" s="16"/>
      <c r="W60" s="16"/>
      <c r="X60" s="16"/>
      <c r="Y60" s="16"/>
      <c r="Z60" s="688"/>
      <c r="AA60" s="688"/>
      <c r="AB60" s="688"/>
      <c r="AC60" s="688"/>
      <c r="AD60" s="688"/>
    </row>
    <row r="61" spans="1:30" s="15" customFormat="1">
      <c r="A61" s="16"/>
      <c r="B61" s="14"/>
      <c r="C61" s="14"/>
      <c r="F61" s="16"/>
      <c r="G61" s="16"/>
      <c r="H61" s="16"/>
      <c r="I61" s="16"/>
      <c r="J61" s="16"/>
      <c r="K61" s="16"/>
      <c r="M61" s="16"/>
      <c r="N61" s="16"/>
      <c r="O61" s="16"/>
      <c r="P61" s="16"/>
      <c r="Q61" s="16"/>
      <c r="R61" s="16"/>
      <c r="S61" s="16"/>
      <c r="T61" s="16"/>
      <c r="U61" s="16"/>
      <c r="V61" s="16"/>
      <c r="W61" s="16"/>
      <c r="X61" s="16"/>
      <c r="Y61" s="16"/>
      <c r="Z61" s="688"/>
      <c r="AA61" s="688"/>
      <c r="AB61" s="688"/>
      <c r="AC61" s="688"/>
      <c r="AD61" s="688"/>
    </row>
    <row r="62" spans="1:30" s="15" customFormat="1">
      <c r="A62" s="16"/>
      <c r="B62" s="14"/>
      <c r="C62" s="14"/>
      <c r="F62" s="16"/>
      <c r="G62" s="16"/>
      <c r="H62" s="16"/>
      <c r="I62" s="16"/>
      <c r="J62" s="16"/>
      <c r="K62" s="16"/>
      <c r="M62" s="16"/>
      <c r="N62" s="16"/>
      <c r="O62" s="16"/>
      <c r="P62" s="16"/>
      <c r="Q62" s="16"/>
      <c r="R62" s="16"/>
      <c r="S62" s="16"/>
      <c r="T62" s="16"/>
      <c r="U62" s="16"/>
      <c r="V62" s="16"/>
      <c r="W62" s="16"/>
      <c r="X62" s="16"/>
      <c r="Y62" s="16"/>
      <c r="Z62" s="688"/>
      <c r="AA62" s="688"/>
      <c r="AB62" s="688"/>
      <c r="AC62" s="688"/>
      <c r="AD62" s="688"/>
    </row>
    <row r="63" spans="1:30" s="15" customFormat="1">
      <c r="A63" s="16"/>
      <c r="B63" s="14"/>
      <c r="C63" s="14"/>
      <c r="F63" s="16"/>
      <c r="G63" s="16"/>
      <c r="H63" s="16"/>
      <c r="I63" s="16"/>
      <c r="J63" s="16"/>
      <c r="K63" s="16"/>
      <c r="M63" s="16"/>
      <c r="N63" s="16"/>
      <c r="O63" s="16"/>
      <c r="P63" s="16"/>
      <c r="Q63" s="16"/>
      <c r="R63" s="16"/>
      <c r="S63" s="16"/>
      <c r="T63" s="16"/>
      <c r="U63" s="16"/>
      <c r="V63" s="16"/>
      <c r="W63" s="16"/>
      <c r="X63" s="16"/>
      <c r="Y63" s="16"/>
      <c r="Z63" s="688"/>
      <c r="AA63" s="688"/>
      <c r="AB63" s="688"/>
      <c r="AC63" s="688"/>
      <c r="AD63" s="688"/>
    </row>
    <row r="64" spans="1:30" s="15" customFormat="1">
      <c r="A64" s="16"/>
      <c r="B64" s="14"/>
      <c r="C64" s="14"/>
      <c r="F64" s="16"/>
      <c r="G64" s="16"/>
      <c r="H64" s="16"/>
      <c r="I64" s="16"/>
      <c r="J64" s="16"/>
      <c r="K64" s="16"/>
      <c r="M64" s="16"/>
      <c r="N64" s="16"/>
      <c r="O64" s="16"/>
      <c r="P64" s="16"/>
      <c r="Q64" s="16"/>
      <c r="R64" s="16"/>
      <c r="S64" s="16"/>
      <c r="T64" s="16"/>
      <c r="U64" s="16"/>
      <c r="V64" s="16"/>
      <c r="W64" s="16"/>
      <c r="X64" s="16"/>
      <c r="Y64" s="16"/>
      <c r="Z64" s="688"/>
      <c r="AA64" s="688"/>
      <c r="AB64" s="688"/>
      <c r="AC64" s="688"/>
      <c r="AD64" s="688"/>
    </row>
    <row r="65" spans="1:30" s="15" customFormat="1">
      <c r="A65" s="16"/>
      <c r="B65" s="14"/>
      <c r="C65" s="14"/>
      <c r="F65" s="16"/>
      <c r="G65" s="16"/>
      <c r="H65" s="16"/>
      <c r="I65" s="16"/>
      <c r="J65" s="16"/>
      <c r="K65" s="16"/>
      <c r="M65" s="16"/>
      <c r="N65" s="16"/>
      <c r="O65" s="16"/>
      <c r="P65" s="16"/>
      <c r="Q65" s="16"/>
      <c r="R65" s="16"/>
      <c r="S65" s="16"/>
      <c r="T65" s="16"/>
      <c r="U65" s="16"/>
      <c r="V65" s="16"/>
      <c r="W65" s="16"/>
      <c r="X65" s="16"/>
      <c r="Y65" s="16"/>
      <c r="Z65" s="688"/>
      <c r="AA65" s="688"/>
      <c r="AB65" s="688"/>
      <c r="AC65" s="688"/>
      <c r="AD65" s="688"/>
    </row>
    <row r="66" spans="1:30" s="15" customFormat="1">
      <c r="A66" s="16"/>
      <c r="B66" s="14"/>
      <c r="C66" s="14"/>
      <c r="F66" s="16"/>
      <c r="G66" s="16"/>
      <c r="H66" s="16"/>
      <c r="I66" s="16"/>
      <c r="J66" s="16"/>
      <c r="K66" s="16"/>
      <c r="M66" s="16"/>
      <c r="N66" s="16"/>
      <c r="O66" s="16"/>
      <c r="P66" s="16"/>
      <c r="Q66" s="16"/>
      <c r="R66" s="16"/>
      <c r="S66" s="16"/>
      <c r="T66" s="16"/>
      <c r="U66" s="16"/>
      <c r="V66" s="16"/>
      <c r="W66" s="16"/>
      <c r="X66" s="16"/>
      <c r="Y66" s="16"/>
      <c r="Z66" s="688"/>
      <c r="AA66" s="688"/>
      <c r="AB66" s="688"/>
      <c r="AC66" s="688"/>
      <c r="AD66" s="688"/>
    </row>
    <row r="67" spans="1:30" s="15" customFormat="1">
      <c r="A67" s="16"/>
      <c r="B67" s="14"/>
      <c r="C67" s="14"/>
      <c r="F67" s="16"/>
      <c r="G67" s="16"/>
      <c r="H67" s="16"/>
      <c r="I67" s="16"/>
      <c r="J67" s="16"/>
      <c r="K67" s="16"/>
      <c r="M67" s="16"/>
      <c r="N67" s="16"/>
      <c r="O67" s="16"/>
      <c r="P67" s="16"/>
      <c r="Q67" s="16"/>
      <c r="R67" s="16"/>
      <c r="S67" s="16"/>
      <c r="T67" s="16"/>
      <c r="U67" s="16"/>
      <c r="V67" s="16"/>
      <c r="W67" s="16"/>
      <c r="X67" s="16"/>
      <c r="Y67" s="16"/>
      <c r="Z67" s="688"/>
      <c r="AA67" s="688"/>
      <c r="AB67" s="688"/>
      <c r="AC67" s="688"/>
      <c r="AD67" s="688"/>
    </row>
    <row r="68" spans="1:30" s="15" customFormat="1">
      <c r="A68" s="16"/>
      <c r="B68" s="14"/>
      <c r="C68" s="14"/>
      <c r="F68" s="16"/>
      <c r="G68" s="16"/>
      <c r="H68" s="16"/>
      <c r="I68" s="16"/>
      <c r="J68" s="16"/>
      <c r="K68" s="16"/>
      <c r="M68" s="16"/>
      <c r="N68" s="16"/>
      <c r="O68" s="16"/>
      <c r="P68" s="16"/>
      <c r="Q68" s="16"/>
      <c r="R68" s="16"/>
      <c r="S68" s="16"/>
      <c r="T68" s="16"/>
      <c r="U68" s="16"/>
      <c r="V68" s="16"/>
      <c r="W68" s="16"/>
      <c r="X68" s="16"/>
      <c r="Y68" s="16"/>
      <c r="Z68" s="688"/>
      <c r="AA68" s="688"/>
      <c r="AB68" s="688"/>
      <c r="AC68" s="688"/>
      <c r="AD68" s="688"/>
    </row>
    <row r="69" spans="1:30" s="15" customFormat="1">
      <c r="A69" s="16"/>
      <c r="B69" s="14"/>
      <c r="C69" s="14"/>
      <c r="F69" s="16"/>
      <c r="G69" s="16"/>
      <c r="H69" s="16"/>
      <c r="I69" s="16"/>
      <c r="J69" s="16"/>
      <c r="K69" s="16"/>
      <c r="M69" s="16"/>
      <c r="N69" s="16"/>
      <c r="O69" s="16"/>
      <c r="P69" s="16"/>
      <c r="Q69" s="16"/>
      <c r="R69" s="16"/>
      <c r="S69" s="16"/>
      <c r="T69" s="16"/>
      <c r="U69" s="16"/>
      <c r="V69" s="16"/>
      <c r="W69" s="16"/>
      <c r="X69" s="16"/>
      <c r="Y69" s="16"/>
      <c r="Z69" s="688"/>
      <c r="AA69" s="688"/>
      <c r="AB69" s="688"/>
      <c r="AC69" s="688"/>
      <c r="AD69" s="688"/>
    </row>
    <row r="70" spans="1:30" s="15" customFormat="1">
      <c r="A70" s="16"/>
      <c r="B70" s="14"/>
      <c r="C70" s="14"/>
      <c r="F70" s="16"/>
      <c r="G70" s="16"/>
      <c r="H70" s="16"/>
      <c r="I70" s="16"/>
      <c r="J70" s="16"/>
      <c r="K70" s="16"/>
      <c r="M70" s="16"/>
      <c r="N70" s="16"/>
      <c r="O70" s="16"/>
      <c r="P70" s="16"/>
      <c r="Q70" s="16"/>
      <c r="R70" s="16"/>
      <c r="S70" s="16"/>
      <c r="T70" s="16"/>
      <c r="U70" s="16"/>
      <c r="V70" s="16"/>
      <c r="W70" s="16"/>
      <c r="X70" s="16"/>
      <c r="Y70" s="16"/>
      <c r="Z70" s="688"/>
      <c r="AA70" s="688"/>
      <c r="AB70" s="688"/>
      <c r="AC70" s="688"/>
      <c r="AD70" s="688"/>
    </row>
    <row r="71" spans="1:30" s="15" customFormat="1">
      <c r="A71" s="16"/>
      <c r="B71" s="14"/>
      <c r="C71" s="14"/>
      <c r="F71" s="16"/>
      <c r="G71" s="16"/>
      <c r="H71" s="16"/>
      <c r="I71" s="16"/>
      <c r="J71" s="16"/>
      <c r="K71" s="16"/>
      <c r="M71" s="16"/>
      <c r="N71" s="16"/>
      <c r="O71" s="16"/>
      <c r="P71" s="16"/>
      <c r="Q71" s="16"/>
      <c r="R71" s="16"/>
      <c r="S71" s="16"/>
      <c r="T71" s="16"/>
      <c r="U71" s="16"/>
      <c r="V71" s="16"/>
      <c r="W71" s="16"/>
      <c r="X71" s="16"/>
      <c r="Y71" s="16"/>
      <c r="Z71" s="688"/>
      <c r="AA71" s="688"/>
      <c r="AB71" s="688"/>
      <c r="AC71" s="688"/>
      <c r="AD71" s="688"/>
    </row>
    <row r="72" spans="1:30" s="15" customFormat="1">
      <c r="A72" s="16"/>
      <c r="B72" s="14"/>
      <c r="C72" s="14"/>
      <c r="F72" s="16"/>
      <c r="G72" s="16"/>
      <c r="H72" s="16"/>
      <c r="I72" s="16"/>
      <c r="J72" s="16"/>
      <c r="K72" s="16"/>
      <c r="M72" s="16"/>
      <c r="N72" s="16"/>
      <c r="O72" s="16"/>
      <c r="P72" s="16"/>
      <c r="Q72" s="16"/>
      <c r="R72" s="16"/>
      <c r="S72" s="16"/>
      <c r="T72" s="16"/>
      <c r="U72" s="16"/>
      <c r="V72" s="16"/>
      <c r="W72" s="16"/>
      <c r="X72" s="16"/>
      <c r="Y72" s="16"/>
      <c r="Z72" s="688"/>
      <c r="AA72" s="688"/>
      <c r="AB72" s="688"/>
      <c r="AC72" s="688"/>
      <c r="AD72" s="688"/>
    </row>
  </sheetData>
  <mergeCells count="54">
    <mergeCell ref="L8:L9"/>
    <mergeCell ref="L16:L17"/>
    <mergeCell ref="L24:L25"/>
    <mergeCell ref="AH2:AI2"/>
    <mergeCell ref="AH4:AI5"/>
    <mergeCell ref="M4:M5"/>
    <mergeCell ref="T4:T5"/>
    <mergeCell ref="N8:S8"/>
    <mergeCell ref="T8:T9"/>
    <mergeCell ref="U8:Y8"/>
    <mergeCell ref="AG8:AG9"/>
    <mergeCell ref="AH8:AH9"/>
    <mergeCell ref="AI8:AI9"/>
    <mergeCell ref="AH16:AH17"/>
    <mergeCell ref="AI16:AI17"/>
    <mergeCell ref="AH24:AH25"/>
    <mergeCell ref="G2:H2"/>
    <mergeCell ref="G4:H5"/>
    <mergeCell ref="I8:K8"/>
    <mergeCell ref="I16:K16"/>
    <mergeCell ref="I24:K24"/>
    <mergeCell ref="B8:B9"/>
    <mergeCell ref="C8:C9"/>
    <mergeCell ref="D8:E8"/>
    <mergeCell ref="F8:F9"/>
    <mergeCell ref="G8:H8"/>
    <mergeCell ref="T24:T25"/>
    <mergeCell ref="U24:Y24"/>
    <mergeCell ref="B16:B17"/>
    <mergeCell ref="C16:C17"/>
    <mergeCell ref="B24:B25"/>
    <mergeCell ref="C24:C25"/>
    <mergeCell ref="D24:E24"/>
    <mergeCell ref="F24:F25"/>
    <mergeCell ref="G24:H24"/>
    <mergeCell ref="D16:E16"/>
    <mergeCell ref="F16:F17"/>
    <mergeCell ref="G16:H16"/>
    <mergeCell ref="AI24:AI25"/>
    <mergeCell ref="M8:M9"/>
    <mergeCell ref="M16:M17"/>
    <mergeCell ref="M24:M25"/>
    <mergeCell ref="Z16:AD16"/>
    <mergeCell ref="AE16:AF16"/>
    <mergeCell ref="AG16:AG17"/>
    <mergeCell ref="AG24:AG25"/>
    <mergeCell ref="Z8:AD8"/>
    <mergeCell ref="AE8:AF8"/>
    <mergeCell ref="Z24:AD24"/>
    <mergeCell ref="AE24:AF24"/>
    <mergeCell ref="N16:S16"/>
    <mergeCell ref="T16:T17"/>
    <mergeCell ref="U16:Y16"/>
    <mergeCell ref="N24:S24"/>
  </mergeCells>
  <phoneticPr fontId="10" type="noConversion"/>
  <dataValidations count="12">
    <dataValidation type="list" allowBlank="1" showInputMessage="1" showErrorMessage="1" sqref="AE11:AF12 AE19:AF20 AE27:AF28">
      <formula1>DQ</formula1>
    </dataValidation>
    <dataValidation type="list" allowBlank="1" showInputMessage="1" showErrorMessage="1" sqref="F10:F12 F18:F20 E13:E15 E21:E23 F26:F28">
      <formula1>NK</formula1>
    </dataValidation>
    <dataValidation type="list" allowBlank="1" showInputMessage="1" showErrorMessage="1" sqref="D27:D28">
      <formula1>Aggregate</formula1>
    </dataValidation>
    <dataValidation type="list" allowBlank="1" showInputMessage="1" showErrorMessage="1" sqref="D13:D15">
      <formula1>AFOLU_Livestock</formula1>
    </dataValidation>
    <dataValidation type="list" allowBlank="1" showInputMessage="1" showErrorMessage="1" sqref="D21:D23">
      <formula1>Land_Use</formula1>
    </dataValidation>
    <dataValidation type="list" allowBlank="1" showInputMessage="1" showErrorMessage="1" sqref="L19:L20 L11:L12 L27:L28">
      <formula1>Gases</formula1>
    </dataValidation>
    <dataValidation type="list" allowBlank="1" showInputMessage="1" showErrorMessage="1" sqref="D11:D12">
      <formula1>Livestock</formula1>
    </dataValidation>
    <dataValidation type="list" allowBlank="1" showInputMessage="1" showErrorMessage="1" sqref="D19:D20">
      <formula1>Land</formula1>
    </dataValidation>
    <dataValidation type="list" allowBlank="1" showInputMessage="1" showErrorMessage="1" sqref="AH19:AH20 AH11:AH12 AH27:AH28">
      <formula1>DataSource</formula1>
    </dataValidation>
    <dataValidation type="list" allowBlank="1" showInputMessage="1" showErrorMessage="1" sqref="K19:K20 K11:K12 K27:K28">
      <formula1>Multiplier</formula1>
    </dataValidation>
    <dataValidation type="list" allowBlank="1" showInputMessage="1" showErrorMessage="1" sqref="M11:M12 M19:M20 M27:M28">
      <formula1>EmissionFactor</formula1>
    </dataValidation>
    <dataValidation type="list" allowBlank="1" showInputMessage="1" showErrorMessage="1" sqref="T11:T12 T19:T20 T27:T28">
      <formula1>Tick</formula1>
    </dataValidation>
  </dataValidations>
  <printOptions verticalCentered="1"/>
  <pageMargins left="0.15748031496062992" right="0.15748031496062992" top="0.15748031496062992" bottom="0.15748031496062992" header="0.30000000000000004" footer="0.15748031496062992"/>
  <pageSetup paperSize="9" scale="29" orientation="landscape" horizontalDpi="4294967292" verticalDpi="429496729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outlinePr summaryBelow="0" summaryRight="0"/>
    <pageSetUpPr autoPageBreaks="0" fitToPage="1"/>
  </sheetPr>
  <dimension ref="A1:CJ85"/>
  <sheetViews>
    <sheetView showGridLines="0" workbookViewId="0">
      <selection activeCell="BE13" sqref="BE13"/>
    </sheetView>
  </sheetViews>
  <sheetFormatPr defaultColWidth="11" defaultRowHeight="15.75" outlineLevelCol="2"/>
  <cols>
    <col min="1" max="1" width="8.5" customWidth="1"/>
    <col min="2" max="2" width="10.875" style="5" customWidth="1"/>
    <col min="3" max="3" width="10.875" style="5"/>
    <col min="4" max="5" width="54.5" customWidth="1"/>
    <col min="6" max="6" width="12.375" style="6" customWidth="1"/>
    <col min="7" max="7" width="12.375" customWidth="1"/>
    <col min="8" max="8" width="12.375" customWidth="1" collapsed="1"/>
    <col min="9" max="11" width="12.375" hidden="1" customWidth="1" outlineLevel="1"/>
    <col min="12" max="12" width="24.625" customWidth="1"/>
    <col min="13" max="13" width="24.625" customWidth="1" collapsed="1"/>
    <col min="14" max="14" width="12.625" hidden="1" customWidth="1" outlineLevel="1"/>
    <col min="15" max="17" width="12.125" hidden="1" customWidth="1" outlineLevel="1"/>
    <col min="18" max="20" width="12.375" hidden="1" customWidth="1" outlineLevel="2"/>
    <col min="21" max="23" width="12.125" hidden="1" customWidth="1" outlineLevel="2"/>
    <col min="24" max="33" width="12.375" hidden="1" customWidth="1" outlineLevel="2"/>
    <col min="34" max="35" width="12.375" hidden="1" customWidth="1" outlineLevel="1"/>
    <col min="36" max="36" width="24.875" customWidth="1" collapsed="1"/>
    <col min="37" max="45" width="12.375" hidden="1" customWidth="1" outlineLevel="1"/>
    <col min="46" max="54" width="12.375" style="684" customWidth="1"/>
    <col min="55" max="56" width="6.125" customWidth="1"/>
    <col min="57" max="57" width="71.875" customWidth="1"/>
    <col min="58" max="58" width="71.875" customWidth="1" collapsed="1"/>
    <col min="59" max="59" width="71.875" hidden="1" customWidth="1" outlineLevel="1"/>
    <col min="60" max="88" width="10.875" style="15"/>
  </cols>
  <sheetData>
    <row r="1" spans="1:88" s="15" customFormat="1">
      <c r="B1" s="14"/>
      <c r="C1" s="14"/>
      <c r="F1" s="16"/>
      <c r="AT1" s="688"/>
      <c r="AU1" s="688"/>
      <c r="AV1" s="688"/>
      <c r="AW1" s="688"/>
      <c r="AX1" s="688"/>
      <c r="AY1" s="688"/>
      <c r="AZ1" s="688"/>
      <c r="BA1" s="688"/>
      <c r="BB1" s="688"/>
    </row>
    <row r="2" spans="1:88" s="15" customFormat="1" ht="23.25">
      <c r="B2" s="36" t="s">
        <v>255</v>
      </c>
      <c r="C2" s="14"/>
      <c r="F2" s="16"/>
      <c r="G2" s="1125" t="s">
        <v>966</v>
      </c>
      <c r="H2" s="1125"/>
      <c r="I2" s="581"/>
      <c r="J2" s="581"/>
      <c r="K2" s="581"/>
      <c r="M2" s="581" t="s">
        <v>966</v>
      </c>
      <c r="N2" s="581"/>
      <c r="O2" s="29"/>
      <c r="P2" s="29"/>
      <c r="Q2" s="637" t="s">
        <v>966</v>
      </c>
      <c r="R2" s="29"/>
      <c r="S2" s="29"/>
      <c r="T2" s="39"/>
      <c r="U2" s="39"/>
      <c r="V2" s="39"/>
      <c r="W2" s="39"/>
      <c r="X2" s="39"/>
      <c r="Y2" s="39"/>
      <c r="Z2" s="39"/>
      <c r="AA2" s="39"/>
      <c r="AB2" s="39"/>
      <c r="AC2" s="39"/>
      <c r="AD2" s="39"/>
      <c r="AE2" s="39"/>
      <c r="AF2" s="39"/>
      <c r="AG2" s="39"/>
      <c r="AH2" s="39"/>
      <c r="AI2" s="39"/>
      <c r="AJ2" s="581" t="s">
        <v>966</v>
      </c>
      <c r="AK2" s="29"/>
      <c r="AL2" s="29"/>
      <c r="AM2" s="29"/>
      <c r="AN2" s="29"/>
      <c r="AO2" s="29"/>
      <c r="AP2" s="39"/>
      <c r="AQ2" s="39"/>
      <c r="AR2" s="39"/>
      <c r="AS2" s="39"/>
      <c r="AT2" s="690"/>
      <c r="AU2" s="690"/>
      <c r="AV2" s="690"/>
      <c r="AW2" s="690"/>
      <c r="AX2" s="690"/>
      <c r="AY2" s="690"/>
      <c r="AZ2" s="690"/>
      <c r="BA2" s="690"/>
      <c r="BB2" s="690"/>
      <c r="BE2" s="611"/>
      <c r="BF2" s="1125" t="s">
        <v>966</v>
      </c>
      <c r="BG2" s="1125"/>
    </row>
    <row r="3" spans="1:88" s="15" customFormat="1" ht="16.5" thickBot="1">
      <c r="B3" s="14"/>
      <c r="C3" s="14"/>
      <c r="F3" s="16"/>
      <c r="G3" s="581"/>
      <c r="H3" s="581"/>
      <c r="I3" s="581"/>
      <c r="J3" s="581"/>
      <c r="K3" s="581"/>
      <c r="M3" s="581"/>
      <c r="N3" s="581"/>
      <c r="O3" s="29"/>
      <c r="P3" s="29"/>
      <c r="Q3" s="29"/>
      <c r="R3" s="29"/>
      <c r="S3" s="29"/>
      <c r="AJ3" s="29"/>
      <c r="AK3" s="29"/>
      <c r="AL3" s="29"/>
      <c r="AM3" s="29"/>
      <c r="AN3" s="29"/>
      <c r="AO3" s="29"/>
      <c r="AT3" s="688"/>
      <c r="AU3" s="688"/>
      <c r="AV3" s="688"/>
      <c r="AW3" s="688"/>
      <c r="AX3" s="688"/>
      <c r="AY3" s="688"/>
      <c r="AZ3" s="688"/>
      <c r="BA3" s="688"/>
      <c r="BB3" s="688"/>
      <c r="BE3" s="611"/>
      <c r="BF3" s="611"/>
      <c r="BG3" s="616"/>
    </row>
    <row r="4" spans="1:88" s="15" customFormat="1">
      <c r="B4" s="15" t="s">
        <v>1052</v>
      </c>
      <c r="C4" s="14"/>
      <c r="F4" s="16"/>
      <c r="G4" s="1121" t="s">
        <v>968</v>
      </c>
      <c r="H4" s="1122"/>
      <c r="I4" s="579"/>
      <c r="J4" s="579"/>
      <c r="K4" s="572"/>
      <c r="L4" s="625"/>
      <c r="M4" s="1121" t="s">
        <v>974</v>
      </c>
      <c r="N4" s="579"/>
      <c r="O4" s="533"/>
      <c r="P4" s="533"/>
      <c r="Q4" s="1169" t="s">
        <v>1048</v>
      </c>
      <c r="R4" s="533"/>
      <c r="S4" s="533"/>
      <c r="T4" s="533"/>
      <c r="U4" s="533"/>
      <c r="V4" s="533"/>
      <c r="W4" s="533"/>
      <c r="X4" s="533"/>
      <c r="Y4" s="533"/>
      <c r="Z4" s="533"/>
      <c r="AA4" s="533"/>
      <c r="AB4" s="533"/>
      <c r="AC4" s="533"/>
      <c r="AD4" s="533"/>
      <c r="AE4" s="533"/>
      <c r="AF4" s="533"/>
      <c r="AG4" s="533"/>
      <c r="AH4" s="533"/>
      <c r="AI4" s="533"/>
      <c r="AJ4" s="1117" t="s">
        <v>976</v>
      </c>
      <c r="AK4" s="539"/>
      <c r="AL4" s="539"/>
      <c r="AM4" s="539"/>
      <c r="AN4" s="539"/>
      <c r="AO4" s="539"/>
      <c r="AP4" s="539"/>
      <c r="AQ4" s="539"/>
      <c r="AR4" s="539"/>
      <c r="AS4" s="540"/>
      <c r="AT4" s="675"/>
      <c r="AU4" s="688"/>
      <c r="AV4" s="688"/>
      <c r="AW4" s="688"/>
      <c r="AX4" s="688"/>
      <c r="AY4" s="688"/>
      <c r="AZ4" s="688"/>
      <c r="BA4" s="688"/>
      <c r="BB4" s="688"/>
      <c r="BE4" s="611"/>
      <c r="BF4" s="1121" t="s">
        <v>850</v>
      </c>
      <c r="BG4" s="1167"/>
      <c r="BH4" s="601"/>
    </row>
    <row r="5" spans="1:88" s="15" customFormat="1" ht="16.5" thickBot="1">
      <c r="B5" s="14"/>
      <c r="C5" s="14"/>
      <c r="F5" s="16"/>
      <c r="G5" s="1123"/>
      <c r="H5" s="1124"/>
      <c r="I5" s="580"/>
      <c r="J5" s="580"/>
      <c r="K5" s="573"/>
      <c r="L5" s="625"/>
      <c r="M5" s="1123"/>
      <c r="N5" s="580"/>
      <c r="O5" s="535"/>
      <c r="P5" s="535"/>
      <c r="Q5" s="1170"/>
      <c r="R5" s="535"/>
      <c r="S5" s="535"/>
      <c r="T5" s="535"/>
      <c r="U5" s="535"/>
      <c r="V5" s="535"/>
      <c r="W5" s="535"/>
      <c r="X5" s="535"/>
      <c r="Y5" s="535"/>
      <c r="Z5" s="535"/>
      <c r="AA5" s="535"/>
      <c r="AB5" s="535"/>
      <c r="AC5" s="535"/>
      <c r="AD5" s="535"/>
      <c r="AE5" s="535"/>
      <c r="AF5" s="535"/>
      <c r="AG5" s="535"/>
      <c r="AH5" s="535"/>
      <c r="AI5" s="535"/>
      <c r="AJ5" s="1118"/>
      <c r="AK5" s="541"/>
      <c r="AL5" s="541"/>
      <c r="AM5" s="541"/>
      <c r="AN5" s="541"/>
      <c r="AO5" s="541"/>
      <c r="AP5" s="541"/>
      <c r="AQ5" s="541"/>
      <c r="AR5" s="541"/>
      <c r="AS5" s="542"/>
      <c r="AT5" s="675"/>
      <c r="AU5" s="688"/>
      <c r="AV5" s="688"/>
      <c r="AW5" s="688"/>
      <c r="AX5" s="688"/>
      <c r="AY5" s="688"/>
      <c r="AZ5" s="688"/>
      <c r="BA5" s="688"/>
      <c r="BB5" s="688"/>
      <c r="BE5" s="611"/>
      <c r="BF5" s="1123"/>
      <c r="BG5" s="1168"/>
      <c r="BH5" s="601"/>
    </row>
    <row r="6" spans="1:88" s="15" customFormat="1" ht="18.75">
      <c r="B6" s="38" t="s">
        <v>256</v>
      </c>
      <c r="C6" s="14"/>
      <c r="F6" s="16"/>
      <c r="G6" s="19"/>
      <c r="H6" s="19"/>
      <c r="I6" s="19"/>
      <c r="J6" s="19"/>
      <c r="K6" s="19"/>
      <c r="O6" s="40"/>
      <c r="P6" s="40"/>
      <c r="Q6" s="40"/>
      <c r="R6" s="40"/>
      <c r="S6" s="40"/>
      <c r="T6" s="40"/>
      <c r="U6" s="40"/>
      <c r="V6" s="40"/>
      <c r="W6" s="40"/>
      <c r="X6" s="40"/>
      <c r="Y6" s="40"/>
      <c r="Z6" s="40"/>
      <c r="AA6" s="40"/>
      <c r="AB6" s="40"/>
      <c r="AC6" s="40"/>
      <c r="AD6" s="40"/>
      <c r="AE6" s="40"/>
      <c r="AF6" s="40"/>
      <c r="AG6" s="40"/>
      <c r="AH6" s="40"/>
      <c r="AI6" s="40"/>
      <c r="AJ6" s="19"/>
      <c r="AK6" s="19"/>
      <c r="AL6" s="19"/>
      <c r="AM6" s="19"/>
      <c r="AN6" s="19"/>
      <c r="AO6" s="19"/>
      <c r="AP6" s="40"/>
      <c r="AQ6" s="40"/>
      <c r="AR6" s="40"/>
      <c r="AS6" s="40"/>
      <c r="AT6" s="691"/>
      <c r="AU6" s="691"/>
      <c r="AV6" s="691"/>
      <c r="AW6" s="691"/>
      <c r="AX6" s="691"/>
      <c r="AY6" s="691"/>
      <c r="AZ6" s="691"/>
      <c r="BA6" s="691"/>
      <c r="BB6" s="691"/>
      <c r="BE6" s="611"/>
      <c r="BF6" s="611"/>
      <c r="BG6" s="21"/>
    </row>
    <row r="7" spans="1:88" s="15" customFormat="1" ht="16.5" thickBot="1">
      <c r="B7" s="14"/>
      <c r="C7" s="14"/>
      <c r="F7" s="16"/>
      <c r="G7" s="19"/>
      <c r="H7" s="19"/>
      <c r="I7" s="19"/>
      <c r="J7" s="19"/>
      <c r="K7" s="19"/>
      <c r="AJ7" s="19"/>
      <c r="AK7" s="19"/>
      <c r="AL7" s="19"/>
      <c r="AM7" s="19"/>
      <c r="AN7" s="19"/>
      <c r="AO7" s="19"/>
      <c r="AT7" s="688"/>
      <c r="AU7" s="688"/>
      <c r="AV7" s="688"/>
      <c r="AW7" s="688"/>
      <c r="AX7" s="688"/>
      <c r="AY7" s="688"/>
      <c r="AZ7" s="688"/>
      <c r="BA7" s="688"/>
      <c r="BB7" s="688"/>
      <c r="BE7" s="611"/>
      <c r="BF7" s="611"/>
      <c r="BG7" s="21"/>
    </row>
    <row r="8" spans="1:88" s="5" customFormat="1" ht="15.95" customHeight="1">
      <c r="A8" s="14"/>
      <c r="B8" s="1139" t="s">
        <v>39</v>
      </c>
      <c r="C8" s="1133" t="s">
        <v>40</v>
      </c>
      <c r="D8" s="1056" t="s">
        <v>245</v>
      </c>
      <c r="E8" s="1144"/>
      <c r="F8" s="1134" t="s">
        <v>300</v>
      </c>
      <c r="G8" s="1141" t="s">
        <v>171</v>
      </c>
      <c r="H8" s="1142"/>
      <c r="I8" s="1130" t="s">
        <v>871</v>
      </c>
      <c r="J8" s="1131"/>
      <c r="K8" s="1132"/>
      <c r="L8" s="1134" t="s">
        <v>305</v>
      </c>
      <c r="M8" s="1063" t="s">
        <v>798</v>
      </c>
      <c r="N8" s="1166" t="s">
        <v>798</v>
      </c>
      <c r="O8" s="1112"/>
      <c r="P8" s="1112"/>
      <c r="Q8" s="1112"/>
      <c r="R8" s="1112"/>
      <c r="S8" s="1112"/>
      <c r="T8" s="1112"/>
      <c r="U8" s="1112"/>
      <c r="V8" s="1112"/>
      <c r="W8" s="1112"/>
      <c r="X8" s="1112"/>
      <c r="Y8" s="1112"/>
      <c r="Z8" s="1112"/>
      <c r="AA8" s="1112"/>
      <c r="AB8" s="1112"/>
      <c r="AC8" s="1112"/>
      <c r="AD8" s="1112"/>
      <c r="AE8" s="1112"/>
      <c r="AF8" s="1112"/>
      <c r="AG8" s="1112"/>
      <c r="AH8" s="1112"/>
      <c r="AI8" s="1113"/>
      <c r="AJ8" s="1119" t="s">
        <v>967</v>
      </c>
      <c r="AK8" s="1160" t="s">
        <v>975</v>
      </c>
      <c r="AL8" s="1161"/>
      <c r="AM8" s="1161"/>
      <c r="AN8" s="1161"/>
      <c r="AO8" s="1161"/>
      <c r="AP8" s="1161"/>
      <c r="AQ8" s="1161"/>
      <c r="AR8" s="1161"/>
      <c r="AS8" s="1162"/>
      <c r="AT8" s="1143" t="s">
        <v>292</v>
      </c>
      <c r="AU8" s="1143"/>
      <c r="AV8" s="1143"/>
      <c r="AW8" s="1143"/>
      <c r="AX8" s="1143"/>
      <c r="AY8" s="1143"/>
      <c r="AZ8" s="1143"/>
      <c r="BA8" s="1143"/>
      <c r="BB8" s="1143"/>
      <c r="BC8" s="1133" t="s">
        <v>43</v>
      </c>
      <c r="BD8" s="1133"/>
      <c r="BE8" s="1128" t="s">
        <v>981</v>
      </c>
      <c r="BF8" s="1073" t="s">
        <v>734</v>
      </c>
      <c r="BG8" s="1145" t="s">
        <v>850</v>
      </c>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row>
    <row r="9" spans="1:88" s="5" customFormat="1" ht="19.5" thickBot="1">
      <c r="A9" s="14"/>
      <c r="B9" s="1140"/>
      <c r="C9" s="1135"/>
      <c r="D9" s="578" t="s">
        <v>246</v>
      </c>
      <c r="E9" s="200" t="s">
        <v>244</v>
      </c>
      <c r="F9" s="1135"/>
      <c r="G9" s="578" t="s">
        <v>172</v>
      </c>
      <c r="H9" s="578" t="s">
        <v>173</v>
      </c>
      <c r="I9" s="528" t="s">
        <v>831</v>
      </c>
      <c r="J9" s="528" t="s">
        <v>832</v>
      </c>
      <c r="K9" s="528" t="s">
        <v>965</v>
      </c>
      <c r="L9" s="1135"/>
      <c r="M9" s="1064"/>
      <c r="N9" s="528" t="s">
        <v>173</v>
      </c>
      <c r="O9" s="528" t="s">
        <v>969</v>
      </c>
      <c r="P9" s="528" t="s">
        <v>970</v>
      </c>
      <c r="Q9" s="528" t="s">
        <v>971</v>
      </c>
      <c r="R9" s="537" t="s">
        <v>873</v>
      </c>
      <c r="S9" s="537" t="s">
        <v>874</v>
      </c>
      <c r="T9" s="537" t="s">
        <v>901</v>
      </c>
      <c r="U9" s="537" t="s">
        <v>902</v>
      </c>
      <c r="V9" s="537" t="s">
        <v>903</v>
      </c>
      <c r="W9" s="537" t="s">
        <v>904</v>
      </c>
      <c r="X9" s="537" t="s">
        <v>905</v>
      </c>
      <c r="Y9" s="537" t="s">
        <v>906</v>
      </c>
      <c r="Z9" s="537" t="s">
        <v>907</v>
      </c>
      <c r="AA9" s="537" t="s">
        <v>908</v>
      </c>
      <c r="AB9" s="537" t="s">
        <v>909</v>
      </c>
      <c r="AC9" s="537" t="s">
        <v>910</v>
      </c>
      <c r="AD9" s="537" t="s">
        <v>911</v>
      </c>
      <c r="AE9" s="537" t="s">
        <v>912</v>
      </c>
      <c r="AF9" s="528" t="s">
        <v>1046</v>
      </c>
      <c r="AG9" s="528" t="s">
        <v>1047</v>
      </c>
      <c r="AH9" s="528" t="s">
        <v>972</v>
      </c>
      <c r="AI9" s="528" t="s">
        <v>973</v>
      </c>
      <c r="AJ9" s="1120"/>
      <c r="AK9" s="538" t="s">
        <v>969</v>
      </c>
      <c r="AL9" s="538" t="s">
        <v>970</v>
      </c>
      <c r="AM9" s="538" t="s">
        <v>971</v>
      </c>
      <c r="AN9" s="538" t="s">
        <v>45</v>
      </c>
      <c r="AO9" s="538" t="s">
        <v>44</v>
      </c>
      <c r="AP9" s="538" t="s">
        <v>1046</v>
      </c>
      <c r="AQ9" s="538" t="s">
        <v>1047</v>
      </c>
      <c r="AR9" s="538" t="s">
        <v>972</v>
      </c>
      <c r="AS9" s="538" t="s">
        <v>973</v>
      </c>
      <c r="AT9" s="100" t="s">
        <v>293</v>
      </c>
      <c r="AU9" s="100" t="s">
        <v>294</v>
      </c>
      <c r="AV9" s="100" t="s">
        <v>295</v>
      </c>
      <c r="AW9" s="100" t="s">
        <v>45</v>
      </c>
      <c r="AX9" s="100" t="s">
        <v>44</v>
      </c>
      <c r="AY9" s="100" t="s">
        <v>302</v>
      </c>
      <c r="AZ9" s="100" t="s">
        <v>303</v>
      </c>
      <c r="BA9" s="100" t="s">
        <v>296</v>
      </c>
      <c r="BB9" s="100" t="s">
        <v>297</v>
      </c>
      <c r="BC9" s="578" t="s">
        <v>46</v>
      </c>
      <c r="BD9" s="578" t="s">
        <v>47</v>
      </c>
      <c r="BE9" s="1129"/>
      <c r="BF9" s="1074"/>
      <c r="BG9" s="1146"/>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row>
    <row r="10" spans="1:88">
      <c r="B10" s="180" t="s">
        <v>163</v>
      </c>
      <c r="C10" s="181">
        <v>3</v>
      </c>
      <c r="D10" s="234" t="s">
        <v>164</v>
      </c>
      <c r="E10" s="235"/>
      <c r="F10" s="328" t="s">
        <v>177</v>
      </c>
      <c r="G10" s="182"/>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4"/>
      <c r="AL10" s="184"/>
      <c r="AM10" s="184"/>
      <c r="AN10" s="184"/>
      <c r="AO10" s="184"/>
      <c r="AP10" s="184"/>
      <c r="AQ10" s="184"/>
      <c r="AR10" s="184"/>
      <c r="AS10" s="184"/>
      <c r="AT10" s="695"/>
      <c r="AU10" s="695"/>
      <c r="AV10" s="695"/>
      <c r="AW10" s="695"/>
      <c r="AX10" s="695"/>
      <c r="AY10" s="695"/>
      <c r="AZ10" s="695"/>
      <c r="BA10" s="695"/>
      <c r="BB10" s="695"/>
      <c r="BC10" s="184"/>
      <c r="BD10" s="184"/>
      <c r="BE10" s="670" t="s">
        <v>1140</v>
      </c>
      <c r="BF10" s="671"/>
      <c r="BG10" s="655"/>
    </row>
    <row r="11" spans="1:88" s="15" customFormat="1">
      <c r="B11" s="75" t="s">
        <v>163</v>
      </c>
      <c r="C11" s="76">
        <v>3</v>
      </c>
      <c r="D11" s="656"/>
      <c r="E11" s="657"/>
      <c r="F11" s="76"/>
      <c r="G11" s="79"/>
      <c r="H11" s="79"/>
      <c r="I11" s="76"/>
      <c r="J11" s="76"/>
      <c r="K11" s="76"/>
      <c r="L11" s="79"/>
      <c r="M11" s="76"/>
      <c r="N11" s="508" t="str">
        <f>IFERROR(CONCATENATE("tCO2e/",VLOOKUP($M11,'Emission factors'!$C:$H,6,FALSE)),"")</f>
        <v/>
      </c>
      <c r="O11" s="508" t="str">
        <f>IFERROR(VLOOKUP($M11,'Emission factors'!$C:$BQ,9,FALSE),"")</f>
        <v/>
      </c>
      <c r="P11" s="508" t="str">
        <f>IFERROR(VLOOKUP($M11,'Emission factors'!$C:$BQ,12,FALSE),"")</f>
        <v/>
      </c>
      <c r="Q11" s="508" t="str">
        <f>IFERROR(VLOOKUP($M11,'Emission factors'!$C:$BQ,15,FALSE),"")</f>
        <v/>
      </c>
      <c r="R11" s="508" t="str">
        <f>IFERROR(VLOOKUP($M11,'Emission factors'!$C:$BQ,18,FALSE),"")</f>
        <v/>
      </c>
      <c r="S11" s="508" t="str">
        <f>IFERROR(VLOOKUP($M11,'Emission factors'!$C:$BQ,21,FALSE),"")</f>
        <v/>
      </c>
      <c r="T11" s="508" t="str">
        <f>IFERROR(VLOOKUP($M11,'Emission factors'!$C:$BQ,24,FALSE),"")</f>
        <v/>
      </c>
      <c r="U11" s="508" t="str">
        <f>IFERROR(VLOOKUP($M11,'Emission factors'!$C:$BQ,27,FALSE),"")</f>
        <v/>
      </c>
      <c r="V11" s="508" t="str">
        <f>IFERROR(VLOOKUP($M11,'Emission factors'!$C:$BQ,30,FALSE),"")</f>
        <v/>
      </c>
      <c r="W11" s="508" t="str">
        <f>IFERROR(VLOOKUP($M11,'Emission factors'!$C:$BQ,33,FALSE),"")</f>
        <v/>
      </c>
      <c r="X11" s="508" t="str">
        <f>IFERROR(VLOOKUP($M11,'Emission factors'!$C:$BQ,36,FALSE),"")</f>
        <v/>
      </c>
      <c r="Y11" s="508" t="str">
        <f>IFERROR(VLOOKUP($M11,'Emission factors'!$C:$BQ,39,FALSE),"")</f>
        <v/>
      </c>
      <c r="Z11" s="508" t="str">
        <f>IFERROR(VLOOKUP($M11,'Emission factors'!$C:$BQ,42,FALSE),"")</f>
        <v/>
      </c>
      <c r="AA11" s="508" t="str">
        <f>IFERROR(VLOOKUP($M11,'Emission factors'!$C:$BQ,45,FALSE),"")</f>
        <v/>
      </c>
      <c r="AB11" s="508" t="str">
        <f>IFERROR(VLOOKUP($M11,'Emission factors'!$C:$BQ,48,FALSE),"")</f>
        <v/>
      </c>
      <c r="AC11" s="508" t="str">
        <f>IFERROR(VLOOKUP($M11,'Emission factors'!$C:$BQ,51,FALSE),"")</f>
        <v/>
      </c>
      <c r="AD11" s="508" t="str">
        <f>IFERROR(VLOOKUP($M11,'Emission factors'!$C:$BQ,54,FALSE),"")</f>
        <v/>
      </c>
      <c r="AE11" s="508" t="str">
        <f>IFERROR(VLOOKUP($M11,'Emission factors'!$C:$BQ,57,FALSE),"")</f>
        <v/>
      </c>
      <c r="AF11" s="508" t="str">
        <f>IFERROR(VLOOKUP($M11,'Emission factors'!$C:$BQ,60,FALSE),"")</f>
        <v/>
      </c>
      <c r="AG11" s="508" t="str">
        <f>IFERROR(VLOOKUP($M11,'Emission factors'!$C:$BQ,63,FALSE),"")</f>
        <v/>
      </c>
      <c r="AH11" s="508" t="str">
        <f>IFERROR(VLOOKUP($M11,'Emission factors'!$C:$BQ,65,FALSE),"")</f>
        <v/>
      </c>
      <c r="AI11" s="508" t="str">
        <f>IFERROR(VLOOKUP($M11,'Emission factors'!$C:$BQ,67,FALSE),"")</f>
        <v/>
      </c>
      <c r="AJ11" s="79"/>
      <c r="AK11" s="79"/>
      <c r="AL11" s="79"/>
      <c r="AM11" s="79"/>
      <c r="AN11" s="79"/>
      <c r="AO11" s="79"/>
      <c r="AP11" s="79"/>
      <c r="AQ11" s="79"/>
      <c r="AR11" s="79"/>
      <c r="AS11" s="79"/>
      <c r="AT11" s="677" t="str">
        <f t="shared" ref="AT11:AV12" si="0">IFERROR(IF(AND($M11="",$AJ11=""),"",IF($M11="",IF(AK11=0,"-",AK11),IF(O11=0,"0",$G11*IF($K11="",1,$K11)*O11))),"-")</f>
        <v/>
      </c>
      <c r="AU11" s="677" t="str">
        <f t="shared" si="0"/>
        <v/>
      </c>
      <c r="AV11" s="677" t="str">
        <f t="shared" si="0"/>
        <v/>
      </c>
      <c r="AW11" s="677" t="str">
        <f>IFERROR(IF(AND($M11="",$AJ11=""),"",IF($M11="",IF(AN11=0,"-",AN11),IF(AND(R11=0,S11=0),"0",$G11*IF($K11="",1,$K11)*(R11+S11)))),"-")</f>
        <v/>
      </c>
      <c r="AX11" s="677" t="str">
        <f>IFERROR(IF(AND($M11="",$AJ11=""),"",IF($M11="",IF(AO11=0,"-",AO11),IF(AND(T11=0,U11=0,V11=0,W11=0,X11=0,Y11=0,Z11=0,AA11=0,AB11=0,AC11=0,AD11=0,AE11=0),"0",$G11*IF($K11="",1,$K11)*(T11+U11+V11+W11+X11+Y11+Z11+AA11+AB11+AC11+AD11+AE11)))),"-")</f>
        <v/>
      </c>
      <c r="AY11" s="677" t="str">
        <f>IFERROR(IF(AND($M11="",$AJ11=""),"",IF($M11="",IF(AP11=0,"-",AP11),IF(AF11=0,"0",$G11*IF($K11="",1,$K11)*AF11))),"-")</f>
        <v/>
      </c>
      <c r="AZ11" s="677" t="str">
        <f>IFERROR(IF(AND($M11="",$AJ11=""),"",IF($M11="",IF(AQ11=0,"-",AQ11),IF(AG11=0,"0",$G11*IF($K11="",1,$K11)*AG11))),"-")</f>
        <v/>
      </c>
      <c r="BA11" s="677" t="str">
        <f>IFERROR(IF(AND($M11="",$AJ11=""),"",IF($M11="",IF(AR11="",SUM(AT11:AZ11),IF(AR11=0,"0",AR11)),IF($AH11="",SUM($AT11:$AZ11),IF($AH11=0,"0",$G11*IF($K11="",1,$K11)*$AH11)))),"-")</f>
        <v/>
      </c>
      <c r="BB11" s="677" t="str">
        <f>IFERROR(IF(AND($M11="",$AJ11=""),"",IF($M11="",IF(AS11=0,"-",AS11),IF(AI11=0,"0",$G11*IF($K11="",1,$K11)*AI11))),"-")</f>
        <v/>
      </c>
      <c r="BC11" s="95"/>
      <c r="BD11" s="95"/>
      <c r="BE11" s="544"/>
      <c r="BF11" s="545"/>
      <c r="BG11" s="628"/>
    </row>
    <row r="12" spans="1:88" s="15" customFormat="1" ht="15" customHeight="1" thickBot="1">
      <c r="A12" s="16"/>
      <c r="B12" s="107" t="s">
        <v>163</v>
      </c>
      <c r="C12" s="99">
        <v>3</v>
      </c>
      <c r="D12" s="658"/>
      <c r="E12" s="659"/>
      <c r="F12" s="99"/>
      <c r="G12" s="99"/>
      <c r="H12" s="99"/>
      <c r="I12" s="99"/>
      <c r="J12" s="99"/>
      <c r="K12" s="99"/>
      <c r="L12" s="148"/>
      <c r="M12" s="99"/>
      <c r="N12" s="526" t="str">
        <f>IFERROR(CONCATENATE("tCO2e/",VLOOKUP($M12,'Emission factors'!$C:$H,6,FALSE)),"")</f>
        <v/>
      </c>
      <c r="O12" s="526" t="str">
        <f>IFERROR(VLOOKUP($M12,'Emission factors'!$C:$BQ,9,FALSE),"")</f>
        <v/>
      </c>
      <c r="P12" s="526" t="str">
        <f>IFERROR(VLOOKUP($M12,'Emission factors'!$C:$BQ,12,FALSE),"")</f>
        <v/>
      </c>
      <c r="Q12" s="526" t="str">
        <f>IFERROR(VLOOKUP($M12,'Emission factors'!$C:$BQ,15,FALSE),"")</f>
        <v/>
      </c>
      <c r="R12" s="526" t="str">
        <f>IFERROR(VLOOKUP($M12,'Emission factors'!$C:$BQ,18,FALSE),"")</f>
        <v/>
      </c>
      <c r="S12" s="526" t="str">
        <f>IFERROR(VLOOKUP($M12,'Emission factors'!$C:$BQ,21,FALSE),"")</f>
        <v/>
      </c>
      <c r="T12" s="526" t="str">
        <f>IFERROR(VLOOKUP($M12,'Emission factors'!$C:$BQ,24,FALSE),"")</f>
        <v/>
      </c>
      <c r="U12" s="526" t="str">
        <f>IFERROR(VLOOKUP($M12,'Emission factors'!$C:$BQ,27,FALSE),"")</f>
        <v/>
      </c>
      <c r="V12" s="526" t="str">
        <f>IFERROR(VLOOKUP($M12,'Emission factors'!$C:$BQ,30,FALSE),"")</f>
        <v/>
      </c>
      <c r="W12" s="526" t="str">
        <f>IFERROR(VLOOKUP($M12,'Emission factors'!$C:$BQ,33,FALSE),"")</f>
        <v/>
      </c>
      <c r="X12" s="526" t="str">
        <f>IFERROR(VLOOKUP($M12,'Emission factors'!$C:$BQ,36,FALSE),"")</f>
        <v/>
      </c>
      <c r="Y12" s="526" t="str">
        <f>IFERROR(VLOOKUP($M12,'Emission factors'!$C:$BQ,39,FALSE),"")</f>
        <v/>
      </c>
      <c r="Z12" s="526" t="str">
        <f>IFERROR(VLOOKUP($M12,'Emission factors'!$C:$BQ,42,FALSE),"")</f>
        <v/>
      </c>
      <c r="AA12" s="526" t="str">
        <f>IFERROR(VLOOKUP($M12,'Emission factors'!$C:$BQ,45,FALSE),"")</f>
        <v/>
      </c>
      <c r="AB12" s="526" t="str">
        <f>IFERROR(VLOOKUP($M12,'Emission factors'!$C:$BQ,48,FALSE),"")</f>
        <v/>
      </c>
      <c r="AC12" s="526" t="str">
        <f>IFERROR(VLOOKUP($M12,'Emission factors'!$C:$BQ,51,FALSE),"")</f>
        <v/>
      </c>
      <c r="AD12" s="526" t="str">
        <f>IFERROR(VLOOKUP($M12,'Emission factors'!$C:$BQ,54,FALSE),"")</f>
        <v/>
      </c>
      <c r="AE12" s="526" t="str">
        <f>IFERROR(VLOOKUP($M12,'Emission factors'!$C:$BQ,57,FALSE),"")</f>
        <v/>
      </c>
      <c r="AF12" s="526" t="str">
        <f>IFERROR(VLOOKUP($M12,'Emission factors'!$C:$BQ,60,FALSE),"")</f>
        <v/>
      </c>
      <c r="AG12" s="526" t="str">
        <f>IFERROR(VLOOKUP($M12,'Emission factors'!$C:$BQ,63,FALSE),"")</f>
        <v/>
      </c>
      <c r="AH12" s="526" t="str">
        <f>IFERROR(VLOOKUP($M12,'Emission factors'!$C:$BQ,65,FALSE),"")</f>
        <v/>
      </c>
      <c r="AI12" s="526" t="str">
        <f>IFERROR(VLOOKUP($M12,'Emission factors'!$C:$BQ,67,FALSE),"")</f>
        <v/>
      </c>
      <c r="AJ12" s="99"/>
      <c r="AK12" s="148"/>
      <c r="AL12" s="148"/>
      <c r="AM12" s="148"/>
      <c r="AN12" s="148"/>
      <c r="AO12" s="148"/>
      <c r="AP12" s="148"/>
      <c r="AQ12" s="148"/>
      <c r="AR12" s="148"/>
      <c r="AS12" s="148"/>
      <c r="AT12" s="680" t="str">
        <f t="shared" si="0"/>
        <v/>
      </c>
      <c r="AU12" s="680" t="str">
        <f t="shared" si="0"/>
        <v/>
      </c>
      <c r="AV12" s="680" t="str">
        <f t="shared" si="0"/>
        <v/>
      </c>
      <c r="AW12" s="680" t="str">
        <f>IFERROR(IF(AND($M12="",$AJ12=""),"",IF($M12="",IF(AN12=0,"-",AN12),IF(AND(R12=0,S12=0),"0",$G12*IF($K12="",1,$K12)*(R12+S12)))),"-")</f>
        <v/>
      </c>
      <c r="AX12" s="680" t="str">
        <f>IFERROR(IF(AND($M12="",$AJ12=""),"",IF($M12="",IF(AO12=0,"-",AO12),IF(AND(T12=0,U12=0,V12=0,W12=0,X12=0,Y12=0,Z12=0,AA12=0,AB12=0,AC12=0,AD12=0,AE12=0),"0",$G12*IF($K12="",1,$K12)*(T12+U12+V12+W12+X12+Y12+Z12+AA12+AB12+AC12+AD12+AE12)))),"-")</f>
        <v/>
      </c>
      <c r="AY12" s="680" t="str">
        <f>IFERROR(IF(AND($M12="",$AJ12=""),"",IF($M12="",IF(AP12=0,"-",AP12),IF(AF12=0,"0",$G12*IF($K12="",1,$K12)*AF12))),"-")</f>
        <v/>
      </c>
      <c r="AZ12" s="680" t="str">
        <f>IFERROR(IF(AND($M12="",$AJ12=""),"",IF($M12="",IF(AQ12=0,"-",AQ12),IF(AG12=0,"0",$G12*IF($K12="",1,$K12)*AG12))),"-")</f>
        <v/>
      </c>
      <c r="BA12" s="680" t="str">
        <f>IFERROR(IF(AND($M12="",$AJ12=""),"",IF($M12="",IF(AR12="",SUM(AT12:AZ12),IF(AR12=0,"0",AR12)),IF($AH12="",SUM($AT12:$AZ12),IF($AH12=0,"0",$G12*IF($K12="",1,$K12)*$AH12)))),"-")</f>
        <v/>
      </c>
      <c r="BB12" s="680" t="str">
        <f>IFERROR(IF(AND($M12="",$AJ12=""),"",IF($M12="",IF(AS12=0,"-",AS12),IF(AI12=0,"0",$G12*IF($K12="",1,$K12)*AI12))),"-")</f>
        <v/>
      </c>
      <c r="BC12" s="653"/>
      <c r="BD12" s="653"/>
      <c r="BE12" s="654"/>
      <c r="BF12" s="548"/>
      <c r="BG12" s="629"/>
    </row>
    <row r="13" spans="1:88" s="15" customFormat="1">
      <c r="B13" s="14"/>
      <c r="C13" s="14"/>
      <c r="F13" s="16"/>
      <c r="AT13" s="688"/>
      <c r="AU13" s="688"/>
      <c r="AV13" s="688"/>
      <c r="AW13" s="688"/>
      <c r="AX13" s="688"/>
      <c r="AY13" s="688"/>
      <c r="AZ13" s="688"/>
      <c r="BA13" s="688"/>
      <c r="BB13" s="688"/>
    </row>
    <row r="14" spans="1:88" s="15" customFormat="1">
      <c r="B14" s="231" t="s">
        <v>633</v>
      </c>
      <c r="C14" s="14"/>
      <c r="F14" s="16"/>
      <c r="O14"/>
      <c r="P14"/>
      <c r="Q14"/>
      <c r="R14"/>
      <c r="S14"/>
      <c r="T14"/>
      <c r="U14"/>
      <c r="V14"/>
      <c r="W14"/>
      <c r="X14"/>
      <c r="Y14"/>
      <c r="Z14"/>
      <c r="AA14"/>
      <c r="AB14"/>
      <c r="AC14"/>
      <c r="AD14"/>
      <c r="AE14"/>
      <c r="AF14"/>
      <c r="AG14"/>
      <c r="AH14"/>
      <c r="AI14"/>
      <c r="AJ14"/>
      <c r="AK14"/>
      <c r="AL14"/>
      <c r="AM14"/>
      <c r="AN14"/>
      <c r="AO14"/>
      <c r="AP14"/>
      <c r="AT14" s="688"/>
      <c r="AU14" s="688"/>
      <c r="AV14" s="688"/>
      <c r="AW14" s="688"/>
      <c r="AX14" s="688"/>
      <c r="AY14" s="688"/>
      <c r="AZ14" s="688"/>
      <c r="BA14" s="688"/>
      <c r="BB14" s="688"/>
    </row>
    <row r="15" spans="1:88" s="15" customFormat="1">
      <c r="B15" s="14"/>
      <c r="C15" s="14"/>
      <c r="F15" s="16"/>
      <c r="O15"/>
      <c r="P15"/>
      <c r="Q15"/>
      <c r="R15"/>
      <c r="S15"/>
      <c r="T15"/>
      <c r="U15"/>
      <c r="V15"/>
      <c r="W15"/>
      <c r="X15"/>
      <c r="Y15"/>
      <c r="Z15"/>
      <c r="AA15"/>
      <c r="AB15"/>
      <c r="AC15"/>
      <c r="AD15"/>
      <c r="AE15"/>
      <c r="AF15"/>
      <c r="AG15"/>
      <c r="AH15"/>
      <c r="AI15"/>
      <c r="AJ15"/>
      <c r="AK15"/>
      <c r="AL15"/>
      <c r="AM15"/>
      <c r="AN15"/>
      <c r="AO15"/>
      <c r="AP15"/>
      <c r="AT15" s="684"/>
      <c r="AU15" s="684"/>
      <c r="AV15" s="684"/>
      <c r="AW15" s="684"/>
      <c r="AX15" s="684"/>
      <c r="AY15" s="684"/>
      <c r="AZ15" s="684"/>
      <c r="BA15" s="684"/>
      <c r="BB15" s="684"/>
    </row>
    <row r="16" spans="1:88" s="15" customFormat="1">
      <c r="B16" s="14"/>
      <c r="C16" s="14"/>
      <c r="F16" s="16"/>
      <c r="O16"/>
      <c r="P16"/>
      <c r="Q16"/>
      <c r="R16"/>
      <c r="S16"/>
      <c r="T16"/>
      <c r="U16"/>
      <c r="V16"/>
      <c r="W16"/>
      <c r="X16"/>
      <c r="Y16"/>
      <c r="Z16"/>
      <c r="AA16"/>
      <c r="AB16"/>
      <c r="AC16"/>
      <c r="AD16"/>
      <c r="AE16"/>
      <c r="AF16"/>
      <c r="AG16"/>
      <c r="AH16"/>
      <c r="AI16"/>
      <c r="AJ16"/>
      <c r="AK16"/>
      <c r="AL16"/>
      <c r="AM16"/>
      <c r="AN16"/>
      <c r="AO16"/>
      <c r="AP16"/>
      <c r="AT16" s="684"/>
      <c r="AU16" s="684"/>
      <c r="AV16" s="684"/>
      <c r="AW16" s="684"/>
      <c r="AX16" s="684"/>
      <c r="AY16" s="684"/>
      <c r="AZ16" s="684"/>
      <c r="BA16" s="684"/>
      <c r="BB16" s="684"/>
    </row>
    <row r="17" spans="2:54" s="15" customFormat="1">
      <c r="B17" s="14"/>
      <c r="C17" s="14"/>
      <c r="F17" s="16"/>
      <c r="O17"/>
      <c r="P17"/>
      <c r="Q17"/>
      <c r="R17"/>
      <c r="S17"/>
      <c r="T17"/>
      <c r="U17"/>
      <c r="V17"/>
      <c r="W17"/>
      <c r="X17"/>
      <c r="Y17"/>
      <c r="Z17"/>
      <c r="AA17"/>
      <c r="AB17"/>
      <c r="AC17"/>
      <c r="AD17"/>
      <c r="AE17"/>
      <c r="AF17"/>
      <c r="AG17"/>
      <c r="AH17"/>
      <c r="AI17"/>
      <c r="AJ17"/>
      <c r="AK17"/>
      <c r="AL17"/>
      <c r="AM17"/>
      <c r="AN17"/>
      <c r="AO17"/>
      <c r="AP17"/>
      <c r="AT17" s="684"/>
      <c r="AU17" s="684"/>
      <c r="AV17" s="684"/>
      <c r="AW17" s="684"/>
      <c r="AX17" s="684"/>
      <c r="AY17" s="684"/>
      <c r="AZ17" s="684"/>
      <c r="BA17" s="684"/>
      <c r="BB17" s="684"/>
    </row>
    <row r="18" spans="2:54" s="15" customFormat="1">
      <c r="B18" s="14"/>
      <c r="C18" s="14"/>
      <c r="F18" s="16"/>
      <c r="O18"/>
      <c r="P18"/>
      <c r="Q18"/>
      <c r="R18"/>
      <c r="S18"/>
      <c r="T18"/>
      <c r="U18"/>
      <c r="V18"/>
      <c r="W18"/>
      <c r="X18"/>
      <c r="Y18"/>
      <c r="Z18"/>
      <c r="AA18"/>
      <c r="AB18"/>
      <c r="AC18"/>
      <c r="AD18"/>
      <c r="AE18"/>
      <c r="AF18"/>
      <c r="AG18"/>
      <c r="AH18"/>
      <c r="AI18"/>
      <c r="AJ18"/>
      <c r="AK18"/>
      <c r="AL18"/>
      <c r="AM18"/>
      <c r="AN18"/>
      <c r="AO18"/>
      <c r="AP18"/>
      <c r="AT18" s="684"/>
      <c r="AU18" s="684"/>
      <c r="AV18" s="684"/>
      <c r="AW18" s="684"/>
      <c r="AX18" s="684"/>
      <c r="AY18" s="684"/>
      <c r="AZ18" s="684"/>
      <c r="BA18" s="684"/>
      <c r="BB18" s="684"/>
    </row>
    <row r="19" spans="2:54" s="15" customFormat="1">
      <c r="B19" s="14"/>
      <c r="C19" s="14"/>
      <c r="F19" s="16"/>
      <c r="O19"/>
      <c r="P19"/>
      <c r="Q19"/>
      <c r="R19"/>
      <c r="S19"/>
      <c r="T19"/>
      <c r="U19"/>
      <c r="V19"/>
      <c r="W19"/>
      <c r="X19"/>
      <c r="Y19"/>
      <c r="Z19"/>
      <c r="AA19"/>
      <c r="AB19"/>
      <c r="AC19"/>
      <c r="AD19"/>
      <c r="AE19"/>
      <c r="AF19"/>
      <c r="AG19"/>
      <c r="AH19"/>
      <c r="AI19"/>
      <c r="AJ19"/>
      <c r="AK19"/>
      <c r="AL19"/>
      <c r="AM19"/>
      <c r="AN19"/>
      <c r="AO19"/>
      <c r="AP19"/>
      <c r="AT19" s="684"/>
      <c r="AU19" s="684"/>
      <c r="AV19" s="684"/>
      <c r="AW19" s="684"/>
      <c r="AX19" s="684"/>
      <c r="AY19" s="684"/>
      <c r="AZ19" s="684"/>
      <c r="BA19" s="684"/>
      <c r="BB19" s="684"/>
    </row>
    <row r="20" spans="2:54" s="15" customFormat="1">
      <c r="B20" s="14"/>
      <c r="C20" s="14"/>
      <c r="F20" s="16"/>
      <c r="O20"/>
      <c r="P20"/>
      <c r="Q20"/>
      <c r="R20"/>
      <c r="S20"/>
      <c r="T20"/>
      <c r="U20"/>
      <c r="V20"/>
      <c r="W20"/>
      <c r="X20"/>
      <c r="Y20"/>
      <c r="Z20"/>
      <c r="AA20"/>
      <c r="AB20"/>
      <c r="AC20"/>
      <c r="AD20"/>
      <c r="AE20"/>
      <c r="AF20"/>
      <c r="AG20"/>
      <c r="AH20"/>
      <c r="AI20"/>
      <c r="AJ20"/>
      <c r="AK20"/>
      <c r="AL20"/>
      <c r="AM20"/>
      <c r="AN20"/>
      <c r="AO20"/>
      <c r="AP20"/>
      <c r="AT20" s="684"/>
      <c r="AU20" s="684"/>
      <c r="AV20" s="684"/>
      <c r="AW20" s="684"/>
      <c r="AX20" s="684"/>
      <c r="AY20" s="684"/>
      <c r="AZ20" s="684"/>
      <c r="BA20" s="684"/>
      <c r="BB20" s="684"/>
    </row>
    <row r="21" spans="2:54" s="15" customFormat="1">
      <c r="B21" s="14"/>
      <c r="C21" s="14"/>
      <c r="F21" s="16"/>
      <c r="O21"/>
      <c r="P21"/>
      <c r="Q21"/>
      <c r="R21"/>
      <c r="S21"/>
      <c r="T21"/>
      <c r="U21"/>
      <c r="V21"/>
      <c r="W21"/>
      <c r="X21"/>
      <c r="Y21"/>
      <c r="Z21"/>
      <c r="AA21"/>
      <c r="AB21"/>
      <c r="AC21"/>
      <c r="AD21"/>
      <c r="AE21"/>
      <c r="AF21"/>
      <c r="AG21"/>
      <c r="AH21"/>
      <c r="AI21"/>
      <c r="AJ21"/>
      <c r="AK21"/>
      <c r="AL21"/>
      <c r="AM21"/>
      <c r="AN21"/>
      <c r="AO21"/>
      <c r="AP21"/>
      <c r="AT21" s="684"/>
      <c r="AU21" s="684"/>
      <c r="AV21" s="684"/>
      <c r="AW21" s="684"/>
      <c r="AX21" s="684"/>
      <c r="AY21" s="684"/>
      <c r="AZ21" s="684"/>
      <c r="BA21" s="684"/>
      <c r="BB21" s="684"/>
    </row>
    <row r="22" spans="2:54" s="15" customFormat="1">
      <c r="B22" s="14"/>
      <c r="C22" s="14"/>
      <c r="F22" s="16"/>
      <c r="O22"/>
      <c r="P22"/>
      <c r="Q22"/>
      <c r="R22"/>
      <c r="S22"/>
      <c r="T22"/>
      <c r="U22"/>
      <c r="V22"/>
      <c r="W22"/>
      <c r="X22"/>
      <c r="Y22"/>
      <c r="Z22"/>
      <c r="AA22"/>
      <c r="AB22"/>
      <c r="AC22"/>
      <c r="AD22"/>
      <c r="AE22"/>
      <c r="AF22"/>
      <c r="AG22"/>
      <c r="AH22"/>
      <c r="AI22"/>
      <c r="AJ22"/>
      <c r="AK22"/>
      <c r="AL22"/>
      <c r="AM22"/>
      <c r="AN22"/>
      <c r="AO22"/>
      <c r="AP22"/>
      <c r="AT22" s="688"/>
      <c r="AU22" s="688"/>
      <c r="AV22" s="688"/>
      <c r="AW22" s="688"/>
      <c r="AX22" s="688"/>
      <c r="AY22" s="688"/>
      <c r="AZ22" s="688"/>
      <c r="BA22" s="688"/>
      <c r="BB22" s="688"/>
    </row>
    <row r="23" spans="2:54" s="15" customFormat="1">
      <c r="B23" s="14"/>
      <c r="C23" s="14"/>
      <c r="F23" s="16"/>
      <c r="O23"/>
      <c r="P23"/>
      <c r="Q23"/>
      <c r="R23"/>
      <c r="S23"/>
      <c r="T23"/>
      <c r="U23"/>
      <c r="V23"/>
      <c r="W23"/>
      <c r="X23"/>
      <c r="Y23"/>
      <c r="Z23"/>
      <c r="AA23"/>
      <c r="AB23"/>
      <c r="AC23"/>
      <c r="AD23"/>
      <c r="AE23"/>
      <c r="AF23"/>
      <c r="AG23"/>
      <c r="AH23"/>
      <c r="AI23"/>
      <c r="AJ23"/>
      <c r="AK23"/>
      <c r="AL23"/>
      <c r="AM23"/>
      <c r="AN23"/>
      <c r="AO23"/>
      <c r="AP23"/>
      <c r="AT23" s="688"/>
      <c r="AU23" s="688"/>
      <c r="AV23" s="688"/>
      <c r="AW23" s="688"/>
      <c r="AX23" s="688"/>
      <c r="AY23" s="688"/>
      <c r="AZ23" s="688"/>
      <c r="BA23" s="688"/>
      <c r="BB23" s="688"/>
    </row>
    <row r="24" spans="2:54" s="15" customFormat="1">
      <c r="B24" s="14"/>
      <c r="C24" s="14"/>
      <c r="F24" s="16"/>
      <c r="AT24" s="688"/>
      <c r="AU24" s="688"/>
      <c r="AV24" s="688"/>
      <c r="AW24" s="688"/>
      <c r="AX24" s="688"/>
      <c r="AY24" s="688"/>
      <c r="AZ24" s="688"/>
      <c r="BA24" s="688"/>
      <c r="BB24" s="688"/>
    </row>
    <row r="25" spans="2:54" s="15" customFormat="1">
      <c r="B25" s="14"/>
      <c r="C25" s="14"/>
      <c r="F25" s="16"/>
      <c r="AT25" s="688"/>
      <c r="AU25" s="688"/>
      <c r="AV25" s="688"/>
      <c r="AW25" s="688"/>
      <c r="AX25" s="688"/>
      <c r="AY25" s="688"/>
      <c r="AZ25" s="688"/>
      <c r="BA25" s="688"/>
      <c r="BB25" s="688"/>
    </row>
    <row r="26" spans="2:54" s="15" customFormat="1">
      <c r="B26" s="14"/>
      <c r="C26" s="14"/>
      <c r="F26" s="16"/>
      <c r="AT26" s="688"/>
      <c r="AU26" s="688"/>
      <c r="AV26" s="688"/>
      <c r="AW26" s="688"/>
      <c r="AX26" s="688"/>
      <c r="AY26" s="688"/>
      <c r="AZ26" s="688"/>
      <c r="BA26" s="688"/>
      <c r="BB26" s="688"/>
    </row>
    <row r="27" spans="2:54" s="15" customFormat="1">
      <c r="B27" s="14"/>
      <c r="C27" s="14"/>
      <c r="F27" s="16"/>
      <c r="AT27" s="688"/>
      <c r="AU27" s="688"/>
      <c r="AV27" s="688"/>
      <c r="AW27" s="688"/>
      <c r="AX27" s="688"/>
      <c r="AY27" s="688"/>
      <c r="AZ27" s="688"/>
      <c r="BA27" s="688"/>
      <c r="BB27" s="688"/>
    </row>
    <row r="28" spans="2:54" s="15" customFormat="1">
      <c r="B28" s="14"/>
      <c r="C28" s="14"/>
      <c r="F28" s="16"/>
      <c r="AT28" s="688"/>
      <c r="AU28" s="688"/>
      <c r="AV28" s="688"/>
      <c r="AW28" s="688"/>
      <c r="AX28" s="688"/>
      <c r="AY28" s="688"/>
      <c r="AZ28" s="688"/>
      <c r="BA28" s="688"/>
      <c r="BB28" s="688"/>
    </row>
    <row r="29" spans="2:54" s="15" customFormat="1">
      <c r="B29" s="14"/>
      <c r="C29" s="14"/>
      <c r="F29" s="16"/>
      <c r="AT29" s="688"/>
      <c r="AU29" s="688"/>
      <c r="AV29" s="688"/>
      <c r="AW29" s="688"/>
      <c r="AX29" s="688"/>
      <c r="AY29" s="688"/>
      <c r="AZ29" s="688"/>
      <c r="BA29" s="688"/>
      <c r="BB29" s="688"/>
    </row>
    <row r="30" spans="2:54" s="15" customFormat="1">
      <c r="B30" s="14"/>
      <c r="C30" s="14"/>
      <c r="F30" s="16"/>
      <c r="AT30" s="688"/>
      <c r="AU30" s="688"/>
      <c r="AV30" s="688"/>
      <c r="AW30" s="688"/>
      <c r="AX30" s="688"/>
      <c r="AY30" s="688"/>
      <c r="AZ30" s="688"/>
      <c r="BA30" s="688"/>
      <c r="BB30" s="688"/>
    </row>
    <row r="31" spans="2:54" s="15" customFormat="1">
      <c r="B31" s="14"/>
      <c r="C31" s="14"/>
      <c r="F31" s="16"/>
      <c r="AT31" s="688"/>
      <c r="AU31" s="688"/>
      <c r="AV31" s="688"/>
      <c r="AW31" s="688"/>
      <c r="AX31" s="688"/>
      <c r="AY31" s="688"/>
      <c r="AZ31" s="688"/>
      <c r="BA31" s="688"/>
      <c r="BB31" s="688"/>
    </row>
    <row r="32" spans="2:54" s="15" customFormat="1">
      <c r="B32" s="14"/>
      <c r="C32" s="14"/>
      <c r="F32" s="16"/>
      <c r="AT32" s="688"/>
      <c r="AU32" s="688"/>
      <c r="AV32" s="688"/>
      <c r="AW32" s="688"/>
      <c r="AX32" s="688"/>
      <c r="AY32" s="688"/>
      <c r="AZ32" s="688"/>
      <c r="BA32" s="688"/>
      <c r="BB32" s="688"/>
    </row>
    <row r="33" spans="2:54" s="15" customFormat="1">
      <c r="B33" s="14"/>
      <c r="C33" s="14"/>
      <c r="F33" s="16"/>
      <c r="AT33" s="688"/>
      <c r="AU33" s="688"/>
      <c r="AV33" s="688"/>
      <c r="AW33" s="688"/>
      <c r="AX33" s="688"/>
      <c r="AY33" s="688"/>
      <c r="AZ33" s="688"/>
      <c r="BA33" s="688"/>
      <c r="BB33" s="688"/>
    </row>
    <row r="34" spans="2:54" s="15" customFormat="1">
      <c r="B34" s="14"/>
      <c r="C34" s="14"/>
      <c r="F34" s="16"/>
      <c r="AT34" s="688"/>
      <c r="AU34" s="688"/>
      <c r="AV34" s="688"/>
      <c r="AW34" s="688"/>
      <c r="AX34" s="688"/>
      <c r="AY34" s="688"/>
      <c r="AZ34" s="688"/>
      <c r="BA34" s="688"/>
      <c r="BB34" s="688"/>
    </row>
    <row r="35" spans="2:54" s="15" customFormat="1">
      <c r="B35" s="14"/>
      <c r="C35" s="14"/>
      <c r="F35" s="16"/>
      <c r="AT35" s="688"/>
      <c r="AU35" s="688"/>
      <c r="AV35" s="688"/>
      <c r="AW35" s="688"/>
      <c r="AX35" s="688"/>
      <c r="AY35" s="688"/>
      <c r="AZ35" s="688"/>
      <c r="BA35" s="688"/>
      <c r="BB35" s="688"/>
    </row>
    <row r="36" spans="2:54" s="15" customFormat="1">
      <c r="B36" s="14"/>
      <c r="C36" s="14"/>
      <c r="F36" s="16"/>
      <c r="AT36" s="688"/>
      <c r="AU36" s="688"/>
      <c r="AV36" s="688"/>
      <c r="AW36" s="688"/>
      <c r="AX36" s="688"/>
      <c r="AY36" s="688"/>
      <c r="AZ36" s="688"/>
      <c r="BA36" s="688"/>
      <c r="BB36" s="688"/>
    </row>
    <row r="37" spans="2:54" s="15" customFormat="1">
      <c r="B37" s="14"/>
      <c r="C37" s="14"/>
      <c r="F37" s="16"/>
      <c r="AT37" s="688"/>
      <c r="AU37" s="688"/>
      <c r="AV37" s="688"/>
      <c r="AW37" s="688"/>
      <c r="AX37" s="688"/>
      <c r="AY37" s="688"/>
      <c r="AZ37" s="688"/>
      <c r="BA37" s="688"/>
      <c r="BB37" s="688"/>
    </row>
    <row r="38" spans="2:54" s="15" customFormat="1">
      <c r="B38" s="14"/>
      <c r="C38" s="14"/>
      <c r="F38" s="16"/>
      <c r="AT38" s="688"/>
      <c r="AU38" s="688"/>
      <c r="AV38" s="688"/>
      <c r="AW38" s="688"/>
      <c r="AX38" s="688"/>
      <c r="AY38" s="688"/>
      <c r="AZ38" s="688"/>
      <c r="BA38" s="688"/>
      <c r="BB38" s="688"/>
    </row>
    <row r="39" spans="2:54" s="15" customFormat="1">
      <c r="B39" s="14"/>
      <c r="C39" s="14"/>
      <c r="F39" s="16"/>
      <c r="AT39" s="688"/>
      <c r="AU39" s="688"/>
      <c r="AV39" s="688"/>
      <c r="AW39" s="688"/>
      <c r="AX39" s="688"/>
      <c r="AY39" s="688"/>
      <c r="AZ39" s="688"/>
      <c r="BA39" s="688"/>
      <c r="BB39" s="688"/>
    </row>
    <row r="40" spans="2:54" s="15" customFormat="1">
      <c r="B40" s="14"/>
      <c r="C40" s="14"/>
      <c r="F40" s="16"/>
      <c r="AT40" s="688"/>
      <c r="AU40" s="688"/>
      <c r="AV40" s="688"/>
      <c r="AW40" s="688"/>
      <c r="AX40" s="688"/>
      <c r="AY40" s="688"/>
      <c r="AZ40" s="688"/>
      <c r="BA40" s="688"/>
      <c r="BB40" s="688"/>
    </row>
    <row r="41" spans="2:54" s="15" customFormat="1">
      <c r="B41" s="14"/>
      <c r="C41" s="14"/>
      <c r="F41" s="16"/>
      <c r="AT41" s="688"/>
      <c r="AU41" s="688"/>
      <c r="AV41" s="688"/>
      <c r="AW41" s="688"/>
      <c r="AX41" s="688"/>
      <c r="AY41" s="688"/>
      <c r="AZ41" s="688"/>
      <c r="BA41" s="688"/>
      <c r="BB41" s="688"/>
    </row>
    <row r="42" spans="2:54" s="15" customFormat="1">
      <c r="B42" s="14"/>
      <c r="C42" s="14"/>
      <c r="F42" s="16"/>
      <c r="AT42" s="688"/>
      <c r="AU42" s="688"/>
      <c r="AV42" s="688"/>
      <c r="AW42" s="688"/>
      <c r="AX42" s="688"/>
      <c r="AY42" s="688"/>
      <c r="AZ42" s="688"/>
      <c r="BA42" s="688"/>
      <c r="BB42" s="688"/>
    </row>
    <row r="43" spans="2:54" s="15" customFormat="1">
      <c r="B43" s="14"/>
      <c r="C43" s="14"/>
      <c r="F43" s="16"/>
      <c r="AT43" s="688"/>
      <c r="AU43" s="688"/>
      <c r="AV43" s="688"/>
      <c r="AW43" s="688"/>
      <c r="AX43" s="688"/>
      <c r="AY43" s="688"/>
      <c r="AZ43" s="688"/>
      <c r="BA43" s="688"/>
      <c r="BB43" s="688"/>
    </row>
    <row r="44" spans="2:54" s="15" customFormat="1">
      <c r="B44" s="14"/>
      <c r="C44" s="14"/>
      <c r="F44" s="16"/>
      <c r="AT44" s="688"/>
      <c r="AU44" s="688"/>
      <c r="AV44" s="688"/>
      <c r="AW44" s="688"/>
      <c r="AX44" s="688"/>
      <c r="AY44" s="688"/>
      <c r="AZ44" s="688"/>
      <c r="BA44" s="688"/>
      <c r="BB44" s="688"/>
    </row>
    <row r="45" spans="2:54" s="15" customFormat="1">
      <c r="B45" s="14"/>
      <c r="C45" s="14"/>
      <c r="F45" s="16"/>
      <c r="AT45" s="688"/>
      <c r="AU45" s="688"/>
      <c r="AV45" s="688"/>
      <c r="AW45" s="688"/>
      <c r="AX45" s="688"/>
      <c r="AY45" s="688"/>
      <c r="AZ45" s="688"/>
      <c r="BA45" s="688"/>
      <c r="BB45" s="688"/>
    </row>
    <row r="46" spans="2:54" s="15" customFormat="1">
      <c r="B46" s="14"/>
      <c r="C46" s="14"/>
      <c r="F46" s="16"/>
      <c r="AT46" s="688"/>
      <c r="AU46" s="688"/>
      <c r="AV46" s="688"/>
      <c r="AW46" s="688"/>
      <c r="AX46" s="688"/>
      <c r="AY46" s="688"/>
      <c r="AZ46" s="688"/>
      <c r="BA46" s="688"/>
      <c r="BB46" s="688"/>
    </row>
    <row r="47" spans="2:54" s="15" customFormat="1">
      <c r="B47" s="14"/>
      <c r="C47" s="14"/>
      <c r="F47" s="16"/>
      <c r="AT47" s="688"/>
      <c r="AU47" s="688"/>
      <c r="AV47" s="688"/>
      <c r="AW47" s="688"/>
      <c r="AX47" s="688"/>
      <c r="AY47" s="688"/>
      <c r="AZ47" s="688"/>
      <c r="BA47" s="688"/>
      <c r="BB47" s="688"/>
    </row>
    <row r="48" spans="2:54" s="15" customFormat="1">
      <c r="B48" s="14"/>
      <c r="C48" s="14"/>
      <c r="F48" s="16"/>
      <c r="AT48" s="688"/>
      <c r="AU48" s="688"/>
      <c r="AV48" s="688"/>
      <c r="AW48" s="688"/>
      <c r="AX48" s="688"/>
      <c r="AY48" s="688"/>
      <c r="AZ48" s="688"/>
      <c r="BA48" s="688"/>
      <c r="BB48" s="688"/>
    </row>
    <row r="49" spans="2:54" s="15" customFormat="1">
      <c r="B49" s="14"/>
      <c r="C49" s="14"/>
      <c r="F49" s="16"/>
      <c r="AT49" s="688"/>
      <c r="AU49" s="688"/>
      <c r="AV49" s="688"/>
      <c r="AW49" s="688"/>
      <c r="AX49" s="688"/>
      <c r="AY49" s="688"/>
      <c r="AZ49" s="688"/>
      <c r="BA49" s="688"/>
      <c r="BB49" s="688"/>
    </row>
    <row r="50" spans="2:54" s="15" customFormat="1">
      <c r="B50" s="14"/>
      <c r="C50" s="14"/>
      <c r="F50" s="16"/>
      <c r="AT50" s="688"/>
      <c r="AU50" s="688"/>
      <c r="AV50" s="688"/>
      <c r="AW50" s="688"/>
      <c r="AX50" s="688"/>
      <c r="AY50" s="688"/>
      <c r="AZ50" s="688"/>
      <c r="BA50" s="688"/>
      <c r="BB50" s="688"/>
    </row>
    <row r="51" spans="2:54" s="15" customFormat="1">
      <c r="B51" s="14"/>
      <c r="C51" s="14"/>
      <c r="F51" s="16"/>
      <c r="AT51" s="688"/>
      <c r="AU51" s="688"/>
      <c r="AV51" s="688"/>
      <c r="AW51" s="688"/>
      <c r="AX51" s="688"/>
      <c r="AY51" s="688"/>
      <c r="AZ51" s="688"/>
      <c r="BA51" s="688"/>
      <c r="BB51" s="688"/>
    </row>
    <row r="52" spans="2:54" s="15" customFormat="1">
      <c r="B52" s="14"/>
      <c r="C52" s="14"/>
      <c r="F52" s="16"/>
      <c r="AT52" s="688"/>
      <c r="AU52" s="688"/>
      <c r="AV52" s="688"/>
      <c r="AW52" s="688"/>
      <c r="AX52" s="688"/>
      <c r="AY52" s="688"/>
      <c r="AZ52" s="688"/>
      <c r="BA52" s="688"/>
      <c r="BB52" s="688"/>
    </row>
    <row r="53" spans="2:54" s="15" customFormat="1">
      <c r="B53" s="14"/>
      <c r="C53" s="14"/>
      <c r="F53" s="16"/>
      <c r="AT53" s="688"/>
      <c r="AU53" s="688"/>
      <c r="AV53" s="688"/>
      <c r="AW53" s="688"/>
      <c r="AX53" s="688"/>
      <c r="AY53" s="688"/>
      <c r="AZ53" s="688"/>
      <c r="BA53" s="688"/>
      <c r="BB53" s="688"/>
    </row>
    <row r="54" spans="2:54" s="15" customFormat="1">
      <c r="B54" s="14"/>
      <c r="C54" s="14"/>
      <c r="F54" s="16"/>
      <c r="AT54" s="688"/>
      <c r="AU54" s="688"/>
      <c r="AV54" s="688"/>
      <c r="AW54" s="688"/>
      <c r="AX54" s="688"/>
      <c r="AY54" s="688"/>
      <c r="AZ54" s="688"/>
      <c r="BA54" s="688"/>
      <c r="BB54" s="688"/>
    </row>
    <row r="55" spans="2:54" s="15" customFormat="1">
      <c r="B55" s="14"/>
      <c r="C55" s="14"/>
      <c r="F55" s="16"/>
      <c r="AT55" s="688"/>
      <c r="AU55" s="688"/>
      <c r="AV55" s="688"/>
      <c r="AW55" s="688"/>
      <c r="AX55" s="688"/>
      <c r="AY55" s="688"/>
      <c r="AZ55" s="688"/>
      <c r="BA55" s="688"/>
      <c r="BB55" s="688"/>
    </row>
    <row r="56" spans="2:54" s="15" customFormat="1">
      <c r="B56" s="14"/>
      <c r="C56" s="14"/>
      <c r="F56" s="16"/>
      <c r="AT56" s="688"/>
      <c r="AU56" s="688"/>
      <c r="AV56" s="688"/>
      <c r="AW56" s="688"/>
      <c r="AX56" s="688"/>
      <c r="AY56" s="688"/>
      <c r="AZ56" s="688"/>
      <c r="BA56" s="688"/>
      <c r="BB56" s="688"/>
    </row>
    <row r="57" spans="2:54" s="15" customFormat="1">
      <c r="B57" s="14"/>
      <c r="C57" s="14"/>
      <c r="F57" s="16"/>
      <c r="AT57" s="688"/>
      <c r="AU57" s="688"/>
      <c r="AV57" s="688"/>
      <c r="AW57" s="688"/>
      <c r="AX57" s="688"/>
      <c r="AY57" s="688"/>
      <c r="AZ57" s="688"/>
      <c r="BA57" s="688"/>
      <c r="BB57" s="688"/>
    </row>
    <row r="58" spans="2:54" s="15" customFormat="1">
      <c r="B58" s="14"/>
      <c r="C58" s="14"/>
      <c r="F58" s="16"/>
      <c r="AT58" s="688"/>
      <c r="AU58" s="688"/>
      <c r="AV58" s="688"/>
      <c r="AW58" s="688"/>
      <c r="AX58" s="688"/>
      <c r="AY58" s="688"/>
      <c r="AZ58" s="688"/>
      <c r="BA58" s="688"/>
      <c r="BB58" s="688"/>
    </row>
    <row r="59" spans="2:54" s="15" customFormat="1">
      <c r="B59" s="14"/>
      <c r="C59" s="14"/>
      <c r="F59" s="16"/>
      <c r="AT59" s="688"/>
      <c r="AU59" s="688"/>
      <c r="AV59" s="688"/>
      <c r="AW59" s="688"/>
      <c r="AX59" s="688"/>
      <c r="AY59" s="688"/>
      <c r="AZ59" s="688"/>
      <c r="BA59" s="688"/>
      <c r="BB59" s="688"/>
    </row>
    <row r="60" spans="2:54" s="15" customFormat="1">
      <c r="B60" s="14"/>
      <c r="C60" s="14"/>
      <c r="F60" s="16"/>
      <c r="AT60" s="688"/>
      <c r="AU60" s="688"/>
      <c r="AV60" s="688"/>
      <c r="AW60" s="688"/>
      <c r="AX60" s="688"/>
      <c r="AY60" s="688"/>
      <c r="AZ60" s="688"/>
      <c r="BA60" s="688"/>
      <c r="BB60" s="688"/>
    </row>
    <row r="61" spans="2:54" s="15" customFormat="1">
      <c r="B61" s="14"/>
      <c r="C61" s="14"/>
      <c r="F61" s="16"/>
      <c r="AT61" s="688"/>
      <c r="AU61" s="688"/>
      <c r="AV61" s="688"/>
      <c r="AW61" s="688"/>
      <c r="AX61" s="688"/>
      <c r="AY61" s="688"/>
      <c r="AZ61" s="688"/>
      <c r="BA61" s="688"/>
      <c r="BB61" s="688"/>
    </row>
    <row r="62" spans="2:54" s="15" customFormat="1">
      <c r="B62" s="14"/>
      <c r="C62" s="14"/>
      <c r="F62" s="16"/>
      <c r="AT62" s="688"/>
      <c r="AU62" s="688"/>
      <c r="AV62" s="688"/>
      <c r="AW62" s="688"/>
      <c r="AX62" s="688"/>
      <c r="AY62" s="688"/>
      <c r="AZ62" s="688"/>
      <c r="BA62" s="688"/>
      <c r="BB62" s="688"/>
    </row>
    <row r="63" spans="2:54" s="15" customFormat="1">
      <c r="B63" s="14"/>
      <c r="C63" s="14"/>
      <c r="F63" s="16"/>
      <c r="AT63" s="688"/>
      <c r="AU63" s="688"/>
      <c r="AV63" s="688"/>
      <c r="AW63" s="688"/>
      <c r="AX63" s="688"/>
      <c r="AY63" s="688"/>
      <c r="AZ63" s="688"/>
      <c r="BA63" s="688"/>
      <c r="BB63" s="688"/>
    </row>
    <row r="64" spans="2:54" s="15" customFormat="1">
      <c r="B64" s="14"/>
      <c r="C64" s="14"/>
      <c r="F64" s="16"/>
      <c r="AT64" s="688"/>
      <c r="AU64" s="688"/>
      <c r="AV64" s="688"/>
      <c r="AW64" s="688"/>
      <c r="AX64" s="688"/>
      <c r="AY64" s="688"/>
      <c r="AZ64" s="688"/>
      <c r="BA64" s="688"/>
      <c r="BB64" s="688"/>
    </row>
    <row r="65" spans="2:54" s="15" customFormat="1">
      <c r="B65" s="14"/>
      <c r="C65" s="14"/>
      <c r="F65" s="16"/>
      <c r="AT65" s="688"/>
      <c r="AU65" s="688"/>
      <c r="AV65" s="688"/>
      <c r="AW65" s="688"/>
      <c r="AX65" s="688"/>
      <c r="AY65" s="688"/>
      <c r="AZ65" s="688"/>
      <c r="BA65" s="688"/>
      <c r="BB65" s="688"/>
    </row>
    <row r="66" spans="2:54" s="15" customFormat="1">
      <c r="B66" s="14"/>
      <c r="C66" s="14"/>
      <c r="F66" s="16"/>
      <c r="AT66" s="688"/>
      <c r="AU66" s="688"/>
      <c r="AV66" s="688"/>
      <c r="AW66" s="688"/>
      <c r="AX66" s="688"/>
      <c r="AY66" s="688"/>
      <c r="AZ66" s="688"/>
      <c r="BA66" s="688"/>
      <c r="BB66" s="688"/>
    </row>
    <row r="67" spans="2:54" s="15" customFormat="1">
      <c r="B67" s="14"/>
      <c r="C67" s="14"/>
      <c r="F67" s="16"/>
      <c r="AT67" s="688"/>
      <c r="AU67" s="688"/>
      <c r="AV67" s="688"/>
      <c r="AW67" s="688"/>
      <c r="AX67" s="688"/>
      <c r="AY67" s="688"/>
      <c r="AZ67" s="688"/>
      <c r="BA67" s="688"/>
      <c r="BB67" s="688"/>
    </row>
    <row r="68" spans="2:54" s="15" customFormat="1">
      <c r="B68" s="14"/>
      <c r="C68" s="14"/>
      <c r="F68" s="16"/>
      <c r="AT68" s="688"/>
      <c r="AU68" s="688"/>
      <c r="AV68" s="688"/>
      <c r="AW68" s="688"/>
      <c r="AX68" s="688"/>
      <c r="AY68" s="688"/>
      <c r="AZ68" s="688"/>
      <c r="BA68" s="688"/>
      <c r="BB68" s="688"/>
    </row>
    <row r="69" spans="2:54" s="15" customFormat="1">
      <c r="B69" s="14"/>
      <c r="C69" s="14"/>
      <c r="F69" s="16"/>
      <c r="AT69" s="688"/>
      <c r="AU69" s="688"/>
      <c r="AV69" s="688"/>
      <c r="AW69" s="688"/>
      <c r="AX69" s="688"/>
      <c r="AY69" s="688"/>
      <c r="AZ69" s="688"/>
      <c r="BA69" s="688"/>
      <c r="BB69" s="688"/>
    </row>
    <row r="70" spans="2:54" s="15" customFormat="1">
      <c r="B70" s="14"/>
      <c r="C70" s="14"/>
      <c r="F70" s="16"/>
      <c r="AT70" s="688"/>
      <c r="AU70" s="688"/>
      <c r="AV70" s="688"/>
      <c r="AW70" s="688"/>
      <c r="AX70" s="688"/>
      <c r="AY70" s="688"/>
      <c r="AZ70" s="688"/>
      <c r="BA70" s="688"/>
      <c r="BB70" s="688"/>
    </row>
    <row r="71" spans="2:54" s="15" customFormat="1">
      <c r="B71" s="14"/>
      <c r="C71" s="14"/>
      <c r="F71" s="16"/>
      <c r="AT71" s="688"/>
      <c r="AU71" s="688"/>
      <c r="AV71" s="688"/>
      <c r="AW71" s="688"/>
      <c r="AX71" s="688"/>
      <c r="AY71" s="688"/>
      <c r="AZ71" s="688"/>
      <c r="BA71" s="688"/>
      <c r="BB71" s="688"/>
    </row>
    <row r="72" spans="2:54" s="15" customFormat="1">
      <c r="B72" s="14"/>
      <c r="C72" s="14"/>
      <c r="F72" s="16"/>
      <c r="AT72" s="688"/>
      <c r="AU72" s="688"/>
      <c r="AV72" s="688"/>
      <c r="AW72" s="688"/>
      <c r="AX72" s="688"/>
      <c r="AY72" s="688"/>
      <c r="AZ72" s="688"/>
      <c r="BA72" s="688"/>
      <c r="BB72" s="688"/>
    </row>
    <row r="73" spans="2:54" s="15" customFormat="1">
      <c r="B73" s="14"/>
      <c r="C73" s="14"/>
      <c r="F73" s="16"/>
      <c r="AT73" s="688"/>
      <c r="AU73" s="688"/>
      <c r="AV73" s="688"/>
      <c r="AW73" s="688"/>
      <c r="AX73" s="688"/>
      <c r="AY73" s="688"/>
      <c r="AZ73" s="688"/>
      <c r="BA73" s="688"/>
      <c r="BB73" s="688"/>
    </row>
    <row r="74" spans="2:54" s="15" customFormat="1">
      <c r="B74" s="14"/>
      <c r="C74" s="14"/>
      <c r="F74" s="16"/>
      <c r="AT74" s="688"/>
      <c r="AU74" s="688"/>
      <c r="AV74" s="688"/>
      <c r="AW74" s="688"/>
      <c r="AX74" s="688"/>
      <c r="AY74" s="688"/>
      <c r="AZ74" s="688"/>
      <c r="BA74" s="688"/>
      <c r="BB74" s="688"/>
    </row>
    <row r="75" spans="2:54" s="15" customFormat="1">
      <c r="B75" s="14"/>
      <c r="C75" s="14"/>
      <c r="F75" s="16"/>
      <c r="AT75" s="688"/>
      <c r="AU75" s="688"/>
      <c r="AV75" s="688"/>
      <c r="AW75" s="688"/>
      <c r="AX75" s="688"/>
      <c r="AY75" s="688"/>
      <c r="AZ75" s="688"/>
      <c r="BA75" s="688"/>
      <c r="BB75" s="688"/>
    </row>
    <row r="76" spans="2:54" s="15" customFormat="1">
      <c r="B76" s="14"/>
      <c r="C76" s="14"/>
      <c r="F76" s="16"/>
      <c r="AT76" s="688"/>
      <c r="AU76" s="688"/>
      <c r="AV76" s="688"/>
      <c r="AW76" s="688"/>
      <c r="AX76" s="688"/>
      <c r="AY76" s="688"/>
      <c r="AZ76" s="688"/>
      <c r="BA76" s="688"/>
      <c r="BB76" s="688"/>
    </row>
    <row r="77" spans="2:54" s="15" customFormat="1">
      <c r="B77" s="14"/>
      <c r="C77" s="14"/>
      <c r="F77" s="16"/>
      <c r="AT77" s="688"/>
      <c r="AU77" s="688"/>
      <c r="AV77" s="688"/>
      <c r="AW77" s="688"/>
      <c r="AX77" s="688"/>
      <c r="AY77" s="688"/>
      <c r="AZ77" s="688"/>
      <c r="BA77" s="688"/>
      <c r="BB77" s="688"/>
    </row>
    <row r="78" spans="2:54">
      <c r="O78" s="15"/>
      <c r="P78" s="15"/>
      <c r="Q78" s="15"/>
      <c r="R78" s="15"/>
      <c r="S78" s="15"/>
      <c r="T78" s="15"/>
      <c r="U78" s="15"/>
      <c r="V78" s="15"/>
      <c r="W78" s="15"/>
      <c r="X78" s="15"/>
      <c r="Y78" s="15"/>
      <c r="Z78" s="15"/>
      <c r="AA78" s="15"/>
      <c r="AB78" s="15"/>
      <c r="AC78" s="15"/>
      <c r="AD78" s="15"/>
      <c r="AE78" s="15"/>
      <c r="AF78" s="15"/>
      <c r="AG78" s="15"/>
      <c r="AH78" s="15"/>
      <c r="AI78" s="15"/>
      <c r="AT78" s="688"/>
      <c r="AU78" s="688"/>
      <c r="AV78" s="688"/>
      <c r="AW78" s="688"/>
      <c r="AX78" s="688"/>
      <c r="AY78" s="688"/>
      <c r="AZ78" s="688"/>
      <c r="BA78" s="688"/>
      <c r="BB78" s="688"/>
    </row>
    <row r="79" spans="2:54">
      <c r="O79" s="15"/>
      <c r="P79" s="15"/>
      <c r="Q79" s="15"/>
      <c r="R79" s="15"/>
      <c r="S79" s="15"/>
      <c r="T79" s="15"/>
      <c r="U79" s="15"/>
      <c r="V79" s="15"/>
      <c r="W79" s="15"/>
      <c r="X79" s="15"/>
      <c r="Y79" s="15"/>
      <c r="Z79" s="15"/>
      <c r="AA79" s="15"/>
      <c r="AB79" s="15"/>
      <c r="AC79" s="15"/>
      <c r="AD79" s="15"/>
      <c r="AE79" s="15"/>
      <c r="AF79" s="15"/>
      <c r="AG79" s="15"/>
      <c r="AH79" s="15"/>
      <c r="AI79" s="15"/>
      <c r="AT79" s="688"/>
      <c r="AU79" s="688"/>
      <c r="AV79" s="688"/>
      <c r="AW79" s="688"/>
      <c r="AX79" s="688"/>
      <c r="AY79" s="688"/>
      <c r="AZ79" s="688"/>
      <c r="BA79" s="688"/>
      <c r="BB79" s="688"/>
    </row>
    <row r="80" spans="2:54">
      <c r="O80" s="15"/>
      <c r="P80" s="15"/>
      <c r="Q80" s="15"/>
      <c r="R80" s="15"/>
      <c r="S80" s="15"/>
      <c r="T80" s="15"/>
      <c r="U80" s="15"/>
      <c r="V80" s="15"/>
      <c r="W80" s="15"/>
      <c r="X80" s="15"/>
      <c r="Y80" s="15"/>
      <c r="Z80" s="15"/>
      <c r="AA80" s="15"/>
      <c r="AB80" s="15"/>
      <c r="AC80" s="15"/>
      <c r="AD80" s="15"/>
      <c r="AE80" s="15"/>
      <c r="AF80" s="15"/>
      <c r="AG80" s="15"/>
      <c r="AH80" s="15"/>
      <c r="AI80" s="15"/>
      <c r="AT80" s="688"/>
      <c r="AU80" s="688"/>
      <c r="AV80" s="688"/>
      <c r="AW80" s="688"/>
      <c r="AX80" s="688"/>
      <c r="AY80" s="688"/>
      <c r="AZ80" s="688"/>
      <c r="BA80" s="688"/>
      <c r="BB80" s="688"/>
    </row>
    <row r="81" spans="15:54">
      <c r="O81" s="15"/>
      <c r="P81" s="15"/>
      <c r="Q81" s="15"/>
      <c r="R81" s="15"/>
      <c r="S81" s="15"/>
      <c r="T81" s="15"/>
      <c r="U81" s="15"/>
      <c r="V81" s="15"/>
      <c r="W81" s="15"/>
      <c r="X81" s="15"/>
      <c r="Y81" s="15"/>
      <c r="Z81" s="15"/>
      <c r="AA81" s="15"/>
      <c r="AB81" s="15"/>
      <c r="AC81" s="15"/>
      <c r="AD81" s="15"/>
      <c r="AE81" s="15"/>
      <c r="AF81" s="15"/>
      <c r="AG81" s="15"/>
      <c r="AH81" s="15"/>
      <c r="AI81" s="15"/>
      <c r="AT81" s="688"/>
      <c r="AU81" s="688"/>
      <c r="AV81" s="688"/>
      <c r="AW81" s="688"/>
      <c r="AX81" s="688"/>
      <c r="AY81" s="688"/>
      <c r="AZ81" s="688"/>
      <c r="BA81" s="688"/>
      <c r="BB81" s="688"/>
    </row>
    <row r="82" spans="15:54">
      <c r="O82" s="15"/>
      <c r="P82" s="15"/>
      <c r="Q82" s="15"/>
      <c r="R82" s="15"/>
      <c r="S82" s="15"/>
      <c r="T82" s="15"/>
      <c r="U82" s="15"/>
      <c r="V82" s="15"/>
      <c r="W82" s="15"/>
      <c r="X82" s="15"/>
      <c r="Y82" s="15"/>
      <c r="Z82" s="15"/>
      <c r="AA82" s="15"/>
      <c r="AB82" s="15"/>
      <c r="AC82" s="15"/>
      <c r="AD82" s="15"/>
      <c r="AE82" s="15"/>
      <c r="AF82" s="15"/>
      <c r="AG82" s="15"/>
      <c r="AH82" s="15"/>
      <c r="AI82" s="15"/>
      <c r="AT82" s="688"/>
      <c r="AU82" s="688"/>
      <c r="AV82" s="688"/>
      <c r="AW82" s="688"/>
      <c r="AX82" s="688"/>
      <c r="AY82" s="688"/>
      <c r="AZ82" s="688"/>
      <c r="BA82" s="688"/>
      <c r="BB82" s="688"/>
    </row>
    <row r="83" spans="15:54">
      <c r="O83" s="15"/>
      <c r="P83" s="15"/>
      <c r="Q83" s="15"/>
      <c r="R83" s="15"/>
      <c r="S83" s="15"/>
      <c r="T83" s="15"/>
      <c r="U83" s="15"/>
      <c r="V83" s="15"/>
      <c r="W83" s="15"/>
      <c r="X83" s="15"/>
      <c r="Y83" s="15"/>
      <c r="Z83" s="15"/>
      <c r="AA83" s="15"/>
      <c r="AB83" s="15"/>
      <c r="AC83" s="15"/>
      <c r="AD83" s="15"/>
      <c r="AE83" s="15"/>
      <c r="AF83" s="15"/>
      <c r="AG83" s="15"/>
      <c r="AH83" s="15"/>
      <c r="AI83" s="15"/>
      <c r="AT83" s="688"/>
      <c r="AU83" s="688"/>
      <c r="AV83" s="688"/>
      <c r="AW83" s="688"/>
      <c r="AX83" s="688"/>
      <c r="AY83" s="688"/>
      <c r="AZ83" s="688"/>
      <c r="BA83" s="688"/>
      <c r="BB83" s="688"/>
    </row>
    <row r="84" spans="15:54">
      <c r="O84" s="15"/>
      <c r="P84" s="15"/>
      <c r="Q84" s="15"/>
      <c r="R84" s="15"/>
      <c r="S84" s="15"/>
      <c r="T84" s="15"/>
      <c r="U84" s="15"/>
      <c r="V84" s="15"/>
      <c r="W84" s="15"/>
      <c r="X84" s="15"/>
      <c r="Y84" s="15"/>
      <c r="Z84" s="15"/>
      <c r="AA84" s="15"/>
      <c r="AB84" s="15"/>
      <c r="AC84" s="15"/>
      <c r="AD84" s="15"/>
      <c r="AE84" s="15"/>
      <c r="AF84" s="15"/>
      <c r="AG84" s="15"/>
      <c r="AH84" s="15"/>
      <c r="AI84" s="15"/>
      <c r="AT84" s="688"/>
      <c r="AU84" s="688"/>
      <c r="AV84" s="688"/>
      <c r="AW84" s="688"/>
      <c r="AX84" s="688"/>
      <c r="AY84" s="688"/>
      <c r="AZ84" s="688"/>
      <c r="BA84" s="688"/>
      <c r="BB84" s="688"/>
    </row>
    <row r="85" spans="15:54">
      <c r="O85" s="15"/>
      <c r="P85" s="15"/>
      <c r="Q85" s="15"/>
      <c r="R85" s="15"/>
      <c r="S85" s="15"/>
      <c r="T85" s="15"/>
      <c r="U85" s="15"/>
      <c r="V85" s="15"/>
      <c r="W85" s="15"/>
      <c r="X85" s="15"/>
      <c r="Y85" s="15"/>
      <c r="Z85" s="15"/>
      <c r="AA85" s="15"/>
      <c r="AB85" s="15"/>
      <c r="AC85" s="15"/>
      <c r="AD85" s="15"/>
      <c r="AE85" s="15"/>
      <c r="AF85" s="15"/>
      <c r="AG85" s="15"/>
      <c r="AH85" s="15"/>
      <c r="AI85" s="15"/>
      <c r="AT85" s="688"/>
      <c r="AU85" s="688"/>
      <c r="AV85" s="688"/>
      <c r="AW85" s="688"/>
      <c r="AX85" s="688"/>
      <c r="AY85" s="688"/>
      <c r="AZ85" s="688"/>
      <c r="BA85" s="688"/>
      <c r="BB85" s="688"/>
    </row>
  </sheetData>
  <mergeCells count="23">
    <mergeCell ref="M4:M5"/>
    <mergeCell ref="AJ4:AJ5"/>
    <mergeCell ref="AT8:BB8"/>
    <mergeCell ref="N8:AI8"/>
    <mergeCell ref="BF2:BG2"/>
    <mergeCell ref="BF4:BG5"/>
    <mergeCell ref="BF8:BF9"/>
    <mergeCell ref="BG8:BG9"/>
    <mergeCell ref="M8:M9"/>
    <mergeCell ref="AK8:AS8"/>
    <mergeCell ref="BC8:BD8"/>
    <mergeCell ref="BE8:BE9"/>
    <mergeCell ref="AJ8:AJ9"/>
    <mergeCell ref="Q4:Q5"/>
    <mergeCell ref="G2:H2"/>
    <mergeCell ref="G4:H5"/>
    <mergeCell ref="I8:K8"/>
    <mergeCell ref="L8:L9"/>
    <mergeCell ref="B8:B9"/>
    <mergeCell ref="C8:C9"/>
    <mergeCell ref="D8:E8"/>
    <mergeCell ref="F8:F9"/>
    <mergeCell ref="G8:H8"/>
  </mergeCells>
  <phoneticPr fontId="10" type="noConversion"/>
  <dataValidations count="8">
    <dataValidation type="list" allowBlank="1" showInputMessage="1" showErrorMessage="1" sqref="D11:D12">
      <formula1>SCOPE3</formula1>
    </dataValidation>
    <dataValidation type="list" allowBlank="1" showInputMessage="1" showErrorMessage="1" sqref="F10:F12">
      <formula1>NK</formula1>
    </dataValidation>
    <dataValidation type="list" allowBlank="1" showInputMessage="1" showErrorMessage="1" sqref="BC11:BD12">
      <formula1>DQ</formula1>
    </dataValidation>
    <dataValidation type="list" allowBlank="1" showInputMessage="1" showErrorMessage="1" sqref="L11:L12">
      <formula1>Gases</formula1>
    </dataValidation>
    <dataValidation type="list" allowBlank="1" showInputMessage="1" showErrorMessage="1" sqref="BF10:BF12">
      <formula1>DataSource</formula1>
    </dataValidation>
    <dataValidation type="list" allowBlank="1" showInputMessage="1" showErrorMessage="1" sqref="I11:I12">
      <formula1>Multiplier</formula1>
    </dataValidation>
    <dataValidation type="list" allowBlank="1" showInputMessage="1" showErrorMessage="1" sqref="M11:M12">
      <formula1>EmissionFactor</formula1>
    </dataValidation>
    <dataValidation type="list" allowBlank="1" showInputMessage="1" showErrorMessage="1" sqref="AJ11:AJ12">
      <formula1>Tick</formula1>
    </dataValidation>
  </dataValidations>
  <printOptions verticalCentered="1"/>
  <pageMargins left="0.15748031496062992" right="0.15748031496062992" top="0.15748031496062992" bottom="0.15748031496062992" header="0.15748031496062992" footer="0.15748031496062992"/>
  <pageSetup paperSize="9" scale="29" orientation="landscape" horizontalDpi="4294967292" verticalDpi="429496729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outlinePr summaryBelow="0"/>
    <pageSetUpPr autoPageBreaks="0"/>
  </sheetPr>
  <dimension ref="A1:X115"/>
  <sheetViews>
    <sheetView showGridLines="0" showZeros="0" topLeftCell="A62" zoomScale="80" zoomScaleNormal="80" zoomScalePageLayoutView="80" workbookViewId="0">
      <selection activeCell="O55" sqref="O55"/>
    </sheetView>
  </sheetViews>
  <sheetFormatPr defaultColWidth="10.875" defaultRowHeight="15.75"/>
  <cols>
    <col min="1" max="1" width="1.875" style="55" customWidth="1"/>
    <col min="2" max="2" width="10.5" style="61" customWidth="1"/>
    <col min="3" max="3" width="10.875" style="61"/>
    <col min="4" max="4" width="100.875" style="58" customWidth="1"/>
    <col min="5" max="5" width="12.375" style="271" customWidth="1"/>
    <col min="6" max="14" width="12.375" style="58" customWidth="1"/>
    <col min="15" max="15" width="71.875" style="58" customWidth="1"/>
    <col min="16" max="24" width="10.875" style="55"/>
    <col min="25" max="16384" width="10.875" style="58"/>
  </cols>
  <sheetData>
    <row r="1" spans="1:24" s="55" customFormat="1">
      <c r="B1" s="56"/>
      <c r="C1" s="56"/>
      <c r="E1" s="268"/>
    </row>
    <row r="2" spans="1:24" s="55" customFormat="1" ht="23.25">
      <c r="B2" s="57" t="s">
        <v>730</v>
      </c>
      <c r="C2" s="56"/>
      <c r="E2" s="268"/>
    </row>
    <row r="3" spans="1:24" s="123" customFormat="1">
      <c r="B3" s="56"/>
      <c r="C3" s="56"/>
      <c r="E3" s="269"/>
    </row>
    <row r="4" spans="1:24" s="55" customFormat="1" ht="18.75">
      <c r="B4" s="243" t="s">
        <v>766</v>
      </c>
      <c r="C4" s="209"/>
      <c r="D4" s="203" t="str">
        <f>IF('City information'!C10="",'City information'!C9,CONCATENATE('City information'!C9,", ",'City information'!C10))</f>
        <v>Autonomous City of Buenos Aires , Argentina</v>
      </c>
      <c r="E4" s="270"/>
      <c r="F4" s="209"/>
      <c r="G4" s="209"/>
      <c r="H4" s="209"/>
      <c r="I4" s="209"/>
      <c r="J4" s="209"/>
      <c r="K4" s="209"/>
      <c r="L4" s="209"/>
      <c r="M4" s="209"/>
      <c r="N4" s="209"/>
    </row>
    <row r="5" spans="1:24" s="55" customFormat="1" ht="18.75">
      <c r="B5" s="243" t="s">
        <v>765</v>
      </c>
      <c r="C5" s="209"/>
      <c r="D5" s="315" t="str">
        <f>'City information'!C12</f>
        <v xml:space="preserve">Administrative boundary of a local government </v>
      </c>
      <c r="E5" s="270"/>
      <c r="F5" s="209"/>
      <c r="G5" s="209"/>
      <c r="H5" s="209"/>
      <c r="I5" s="209"/>
      <c r="J5" s="209"/>
      <c r="K5" s="209"/>
      <c r="L5" s="209"/>
      <c r="M5" s="209"/>
      <c r="N5" s="209"/>
    </row>
    <row r="6" spans="1:24" s="55" customFormat="1" ht="18.75">
      <c r="B6" s="243" t="s">
        <v>764</v>
      </c>
      <c r="C6" s="209"/>
      <c r="D6" s="315">
        <f>'City information'!C11</f>
        <v>2013</v>
      </c>
      <c r="E6" s="270"/>
      <c r="F6" s="209"/>
      <c r="G6" s="209"/>
      <c r="H6" s="209"/>
      <c r="I6" s="209"/>
      <c r="J6" s="209"/>
      <c r="K6" s="209"/>
      <c r="L6" s="209"/>
      <c r="M6" s="209"/>
      <c r="N6" s="209"/>
    </row>
    <row r="7" spans="1:24" s="55" customFormat="1" ht="16.5" thickBot="1">
      <c r="B7" s="242"/>
      <c r="C7" s="242"/>
      <c r="D7" s="209"/>
      <c r="E7" s="270"/>
      <c r="F7" s="209"/>
      <c r="G7" s="209"/>
      <c r="H7" s="209"/>
      <c r="I7" s="209"/>
      <c r="J7" s="209"/>
      <c r="K7" s="209"/>
      <c r="L7" s="209"/>
      <c r="M7" s="209"/>
      <c r="N7" s="209"/>
    </row>
    <row r="8" spans="1:24" s="147" customFormat="1" ht="17.100000000000001" customHeight="1">
      <c r="A8" s="146"/>
      <c r="B8" s="1173" t="s">
        <v>39</v>
      </c>
      <c r="C8" s="1175" t="s">
        <v>40</v>
      </c>
      <c r="D8" s="1175" t="s">
        <v>41</v>
      </c>
      <c r="E8" s="1180" t="s">
        <v>300</v>
      </c>
      <c r="F8" s="1177" t="s">
        <v>292</v>
      </c>
      <c r="G8" s="1178"/>
      <c r="H8" s="1178"/>
      <c r="I8" s="1178"/>
      <c r="J8" s="1178"/>
      <c r="K8" s="1178"/>
      <c r="L8" s="1178"/>
      <c r="M8" s="1178"/>
      <c r="N8" s="1179"/>
      <c r="O8" s="1171" t="s">
        <v>981</v>
      </c>
      <c r="P8" s="146"/>
      <c r="Q8" s="146"/>
      <c r="R8" s="146"/>
      <c r="S8" s="146"/>
      <c r="T8" s="146"/>
      <c r="U8" s="146"/>
      <c r="V8" s="146"/>
      <c r="W8" s="146"/>
      <c r="X8" s="146"/>
    </row>
    <row r="9" spans="1:24" s="147" customFormat="1" ht="19.5" thickBot="1">
      <c r="A9" s="146"/>
      <c r="B9" s="1174"/>
      <c r="C9" s="1176"/>
      <c r="D9" s="1176"/>
      <c r="E9" s="1176"/>
      <c r="F9" s="244" t="s">
        <v>293</v>
      </c>
      <c r="G9" s="244" t="s">
        <v>294</v>
      </c>
      <c r="H9" s="244" t="s">
        <v>295</v>
      </c>
      <c r="I9" s="244" t="s">
        <v>45</v>
      </c>
      <c r="J9" s="244" t="s">
        <v>44</v>
      </c>
      <c r="K9" s="244" t="s">
        <v>302</v>
      </c>
      <c r="L9" s="244" t="s">
        <v>303</v>
      </c>
      <c r="M9" s="244" t="s">
        <v>296</v>
      </c>
      <c r="N9" s="245" t="s">
        <v>297</v>
      </c>
      <c r="O9" s="1172"/>
      <c r="P9" s="146"/>
      <c r="Q9" s="146"/>
      <c r="R9" s="146"/>
      <c r="S9" s="146"/>
      <c r="T9" s="146"/>
      <c r="U9" s="146"/>
      <c r="V9" s="146"/>
      <c r="W9" s="146"/>
      <c r="X9" s="146"/>
    </row>
    <row r="10" spans="1:24" s="146" customFormat="1" hidden="1">
      <c r="B10" s="442"/>
      <c r="C10" s="443"/>
      <c r="D10" s="443"/>
      <c r="E10" s="444"/>
      <c r="F10" s="444"/>
      <c r="G10" s="444"/>
      <c r="H10" s="444"/>
      <c r="I10" s="444"/>
      <c r="J10" s="444"/>
      <c r="K10" s="444"/>
      <c r="L10" s="444"/>
      <c r="M10" s="444"/>
      <c r="N10" s="445"/>
      <c r="O10" s="446"/>
    </row>
    <row r="11" spans="1:24" s="60" customFormat="1">
      <c r="A11" s="59"/>
      <c r="B11" s="631" t="s">
        <v>48</v>
      </c>
      <c r="C11" s="632"/>
      <c r="D11" s="633" t="s">
        <v>49</v>
      </c>
      <c r="E11" s="634"/>
      <c r="F11" s="634"/>
      <c r="G11" s="634"/>
      <c r="H11" s="634"/>
      <c r="I11" s="634"/>
      <c r="J11" s="634"/>
      <c r="K11" s="634"/>
      <c r="L11" s="634"/>
      <c r="M11" s="634"/>
      <c r="N11" s="635"/>
      <c r="O11" s="204"/>
      <c r="P11" s="59"/>
      <c r="Q11" s="59"/>
      <c r="R11" s="59"/>
      <c r="S11" s="59"/>
      <c r="T11" s="59"/>
      <c r="U11" s="59"/>
      <c r="V11" s="59"/>
      <c r="W11" s="59"/>
      <c r="X11" s="59"/>
    </row>
    <row r="12" spans="1:24" s="60" customFormat="1">
      <c r="A12" s="59"/>
      <c r="B12" s="63" t="s">
        <v>50</v>
      </c>
      <c r="C12" s="64"/>
      <c r="D12" s="65" t="s">
        <v>5</v>
      </c>
      <c r="E12" s="66"/>
      <c r="F12" s="66"/>
      <c r="G12" s="66"/>
      <c r="H12" s="66"/>
      <c r="I12" s="66"/>
      <c r="J12" s="66"/>
      <c r="K12" s="66"/>
      <c r="L12" s="66"/>
      <c r="M12" s="66"/>
      <c r="N12" s="202"/>
      <c r="O12" s="205"/>
      <c r="P12" s="59"/>
      <c r="Q12" s="59"/>
      <c r="R12" s="59"/>
      <c r="S12" s="59"/>
      <c r="T12" s="59"/>
      <c r="U12" s="59"/>
      <c r="V12" s="59"/>
      <c r="W12" s="59"/>
      <c r="X12" s="59"/>
    </row>
    <row r="13" spans="1:24" s="60" customFormat="1" collapsed="1">
      <c r="A13" s="59"/>
      <c r="B13" s="124" t="s">
        <v>51</v>
      </c>
      <c r="C13" s="125">
        <v>1</v>
      </c>
      <c r="D13" s="126" t="s">
        <v>52</v>
      </c>
      <c r="E13" s="127" t="str">
        <f>IF(VLOOKUP($B13,'I - Stationary'!$B:$F,5,FALSE)="","",VLOOKUP($B13,'I - Stationary'!$B:$F,5,FALSE))</f>
        <v/>
      </c>
      <c r="F13" s="272">
        <f>SUMIF('I - Stationary'!$B:$B,$B13,'I - Stationary'!Z:Z)</f>
        <v>2392472.2351770522</v>
      </c>
      <c r="G13" s="272">
        <f>SUMIF('I - Stationary'!$B:$B,$B13,'I - Stationary'!AA:AA)</f>
        <v>1065.459710999839</v>
      </c>
      <c r="H13" s="272">
        <f>SUMIF('I - Stationary'!$B:$B,$B13,'I - Stationary'!AB:AB)</f>
        <v>1269.6192210568809</v>
      </c>
      <c r="I13" s="273"/>
      <c r="J13" s="273"/>
      <c r="K13" s="273"/>
      <c r="L13" s="273"/>
      <c r="M13" s="272">
        <f>SUMIF('I - Stationary'!$B:$B,$B13,'I - Stationary'!AC:AC)</f>
        <v>2394807.3141091089</v>
      </c>
      <c r="N13" s="274">
        <f>SUMIF('I - Stationary'!$B:$B,$B13,'I - Stationary'!AD:AD)</f>
        <v>10.738821471623966</v>
      </c>
      <c r="O13" s="265" t="str">
        <f>IF(VLOOKUP($B13,'I - Stationary'!$B:$AG,32,FALSE)="","",VLOOKUP($B13,'I - Stationary'!$B:$AG,32,FALSE))</f>
        <v/>
      </c>
      <c r="P13" s="59"/>
      <c r="Q13" s="59"/>
      <c r="R13" s="59"/>
      <c r="S13" s="59"/>
      <c r="T13" s="59"/>
      <c r="U13" s="59"/>
      <c r="V13" s="59"/>
      <c r="W13" s="59"/>
      <c r="X13" s="59"/>
    </row>
    <row r="14" spans="1:24" s="60" customFormat="1" collapsed="1">
      <c r="A14" s="59"/>
      <c r="B14" s="124" t="s">
        <v>53</v>
      </c>
      <c r="C14" s="125">
        <v>2</v>
      </c>
      <c r="D14" s="126" t="s">
        <v>54</v>
      </c>
      <c r="E14" s="127" t="str">
        <f>IF(VLOOKUP(B14,'I - Stationary'!$B:$F,5,FALSE)="","",VLOOKUP(B14,'I - Stationary'!$B:$F,5,FALSE))</f>
        <v/>
      </c>
      <c r="F14" s="272">
        <f>SUMIF('I - Stationary'!$B:$B,$B14,'I - Stationary'!Z:Z)</f>
        <v>1451380.1596199153</v>
      </c>
      <c r="G14" s="272">
        <f>SUMIF('I - Stationary'!$B:$B,$B14,'I - Stationary'!AA:AA)</f>
        <v>890.59679467036244</v>
      </c>
      <c r="H14" s="272">
        <f>SUMIF('I - Stationary'!$B:$B,$B14,'I - Stationary'!AB:AB)</f>
        <v>1926.2913751081046</v>
      </c>
      <c r="I14" s="273"/>
      <c r="J14" s="273"/>
      <c r="K14" s="273"/>
      <c r="L14" s="273"/>
      <c r="M14" s="272">
        <f>SUMIF('I - Stationary'!$B:$B,$B14,'I - Stationary'!AC:AC)</f>
        <v>1454197.0477896938</v>
      </c>
      <c r="N14" s="274">
        <f>SUMIF('I - Stationary'!$B:$B,$B14,'I - Stationary'!AD:AD)</f>
        <v>0</v>
      </c>
      <c r="O14" s="265" t="str">
        <f>IF(VLOOKUP($B14,'I - Stationary'!$B:$AG,32,FALSE)="","",VLOOKUP($B14,'I - Stationary'!$B:$AG,32,FALSE))</f>
        <v/>
      </c>
      <c r="P14" s="59"/>
      <c r="Q14" s="59"/>
      <c r="R14" s="59"/>
      <c r="S14" s="59"/>
      <c r="T14" s="59"/>
      <c r="U14" s="59"/>
      <c r="V14" s="59"/>
      <c r="W14" s="59"/>
      <c r="X14" s="59"/>
    </row>
    <row r="15" spans="1:24" s="60" customFormat="1" collapsed="1">
      <c r="A15" s="59"/>
      <c r="B15" s="128" t="s">
        <v>55</v>
      </c>
      <c r="C15" s="129">
        <v>3</v>
      </c>
      <c r="D15" s="130" t="s">
        <v>56</v>
      </c>
      <c r="E15" s="131" t="str">
        <f>IF(VLOOKUP(B15,'I - Stationary'!$B:$F,5,FALSE)="","",VLOOKUP(B15,'I - Stationary'!$B:$F,5,FALSE))</f>
        <v/>
      </c>
      <c r="F15" s="275">
        <f>SUMIF('I - Stationary'!$B:$B,$B15,'I - Stationary'!Z:Z)</f>
        <v>214412.7027858888</v>
      </c>
      <c r="G15" s="275">
        <f>SUMIF('I - Stationary'!$B:$B,$B15,'I - Stationary'!AA:AA)</f>
        <v>131.56805580677684</v>
      </c>
      <c r="H15" s="275">
        <f>SUMIF('I - Stationary'!$B:$B,$B15,'I - Stationary'!AB:AB)</f>
        <v>284.57143867684977</v>
      </c>
      <c r="I15" s="273"/>
      <c r="J15" s="273"/>
      <c r="K15" s="273"/>
      <c r="L15" s="273"/>
      <c r="M15" s="275">
        <f>SUMIF('I - Stationary'!$B:$B,$B15,'I - Stationary'!AC:AC)</f>
        <v>214828.84228037242</v>
      </c>
      <c r="N15" s="276">
        <f>SUMIF('I - Stationary'!$B:$B,$B15,'I - Stationary'!AD:AD)</f>
        <v>0</v>
      </c>
      <c r="O15" s="266" t="str">
        <f>IF(VLOOKUP($B15,'I - Stationary'!$B:$AG,32,FALSE)="","",VLOOKUP($B15,'I - Stationary'!$B:$AG,32,FALSE))</f>
        <v/>
      </c>
      <c r="P15" s="59"/>
      <c r="Q15" s="59"/>
      <c r="R15" s="59"/>
      <c r="S15" s="59"/>
      <c r="T15" s="59"/>
      <c r="U15" s="59"/>
      <c r="V15" s="59"/>
      <c r="W15" s="59"/>
      <c r="X15" s="59"/>
    </row>
    <row r="16" spans="1:24" s="60" customFormat="1">
      <c r="A16" s="59"/>
      <c r="B16" s="63" t="s">
        <v>57</v>
      </c>
      <c r="C16" s="64"/>
      <c r="D16" s="65" t="s">
        <v>58</v>
      </c>
      <c r="E16" s="66"/>
      <c r="F16" s="277"/>
      <c r="G16" s="277"/>
      <c r="H16" s="277"/>
      <c r="I16" s="277"/>
      <c r="J16" s="277"/>
      <c r="K16" s="277"/>
      <c r="L16" s="277"/>
      <c r="M16" s="277"/>
      <c r="N16" s="278"/>
      <c r="O16" s="264"/>
      <c r="P16" s="59"/>
      <c r="Q16" s="59"/>
      <c r="R16" s="59"/>
      <c r="S16" s="59"/>
      <c r="T16" s="59"/>
      <c r="U16" s="59"/>
      <c r="V16" s="59"/>
      <c r="W16" s="59"/>
      <c r="X16" s="59"/>
    </row>
    <row r="17" spans="1:24" s="60" customFormat="1" collapsed="1">
      <c r="A17" s="59"/>
      <c r="B17" s="124" t="s">
        <v>59</v>
      </c>
      <c r="C17" s="125">
        <v>1</v>
      </c>
      <c r="D17" s="126" t="s">
        <v>52</v>
      </c>
      <c r="E17" s="127" t="str">
        <f>IF(VLOOKUP(B17,'I - Stationary'!$B:$F,5,FALSE)="","",VLOOKUP(B17,'I - Stationary'!$B:$F,5,FALSE))</f>
        <v/>
      </c>
      <c r="F17" s="272">
        <f>SUMIF('I - Stationary'!$B:$B,$B17,'I - Stationary'!Z:Z)</f>
        <v>837639.00936159212</v>
      </c>
      <c r="G17" s="272">
        <f>SUMIF('I - Stationary'!$B:$B,$B17,'I - Stationary'!AA:AA)</f>
        <v>6226.8192977287563</v>
      </c>
      <c r="H17" s="272">
        <f>SUMIF('I - Stationary'!$B:$B,$B17,'I - Stationary'!AB:AB)</f>
        <v>2859.3176706779736</v>
      </c>
      <c r="I17" s="273"/>
      <c r="J17" s="273"/>
      <c r="K17" s="273"/>
      <c r="L17" s="273"/>
      <c r="M17" s="272">
        <f>SUMIF('I - Stationary'!$B:$B,$B17,'I - Stationary'!AC:AC)</f>
        <v>846725.14632999885</v>
      </c>
      <c r="N17" s="274">
        <f>SUMIF('I - Stationary'!$B:$B,$B17,'I - Stationary'!AD:AD)</f>
        <v>200773.38805860883</v>
      </c>
      <c r="O17" s="265" t="str">
        <f>IF(VLOOKUP($B17,'I - Stationary'!$B:$AG,32,FALSE)="","",VLOOKUP($B17,'I - Stationary'!$B:$AG,32,FALSE))</f>
        <v/>
      </c>
      <c r="P17" s="59"/>
      <c r="Q17" s="59"/>
      <c r="R17" s="59"/>
      <c r="S17" s="59"/>
      <c r="T17" s="59"/>
      <c r="U17" s="59"/>
      <c r="V17" s="59"/>
      <c r="W17" s="59"/>
      <c r="X17" s="59"/>
    </row>
    <row r="18" spans="1:24" s="60" customFormat="1" collapsed="1">
      <c r="A18" s="59"/>
      <c r="B18" s="124" t="s">
        <v>60</v>
      </c>
      <c r="C18" s="125">
        <v>2</v>
      </c>
      <c r="D18" s="126" t="s">
        <v>54</v>
      </c>
      <c r="E18" s="127" t="str">
        <f>IF(VLOOKUP(B18,'I - Stationary'!$B:$F,5,FALSE)="","",VLOOKUP(B18,'I - Stationary'!$B:$F,5,FALSE))</f>
        <v/>
      </c>
      <c r="F18" s="272">
        <f>SUMIF('I - Stationary'!$B:$B,$B18,'I - Stationary'!Z:Z)</f>
        <v>2071310.004033051</v>
      </c>
      <c r="G18" s="272">
        <f>SUMIF('I - Stationary'!$B:$B,$B18,'I - Stationary'!AA:AA)</f>
        <v>1270.9985306975518</v>
      </c>
      <c r="H18" s="272">
        <f>SUMIF('I - Stationary'!$B:$B,$B18,'I - Stationary'!AB:AB)</f>
        <v>2749.0706480298581</v>
      </c>
      <c r="I18" s="273"/>
      <c r="J18" s="273"/>
      <c r="K18" s="273"/>
      <c r="L18" s="273"/>
      <c r="M18" s="272">
        <f>SUMIF('I - Stationary'!$B:$B,$B18,'I - Stationary'!AC:AC)</f>
        <v>2075330.0732117784</v>
      </c>
      <c r="N18" s="274">
        <f>SUMIF('I - Stationary'!$B:$B,$B18,'I - Stationary'!AD:AD)</f>
        <v>0</v>
      </c>
      <c r="O18" s="265" t="str">
        <f>IF(VLOOKUP($B18,'I - Stationary'!$B:$AG,32,FALSE)="","",VLOOKUP($B18,'I - Stationary'!$B:$AG,32,FALSE))</f>
        <v/>
      </c>
      <c r="P18" s="59"/>
      <c r="Q18" s="59"/>
      <c r="R18" s="59"/>
      <c r="S18" s="59"/>
      <c r="T18" s="59"/>
      <c r="U18" s="59"/>
      <c r="V18" s="59"/>
      <c r="W18" s="59"/>
      <c r="X18" s="59"/>
    </row>
    <row r="19" spans="1:24" s="60" customFormat="1" collapsed="1">
      <c r="A19" s="59"/>
      <c r="B19" s="132" t="s">
        <v>61</v>
      </c>
      <c r="C19" s="133">
        <v>3</v>
      </c>
      <c r="D19" s="134" t="s">
        <v>56</v>
      </c>
      <c r="E19" s="131" t="str">
        <f>IF(VLOOKUP(B19,'I - Stationary'!$B:$F,5,FALSE)="","",VLOOKUP(B19,'I - Stationary'!$B:$F,5,FALSE))</f>
        <v/>
      </c>
      <c r="F19" s="275">
        <f>SUMIF('I - Stationary'!$B:$B,$B19,'I - Stationary'!Z:Z)</f>
        <v>253941.64258348683</v>
      </c>
      <c r="G19" s="275">
        <f>SUMIF('I - Stationary'!$B:$B,$B19,'I - Stationary'!AA:AA)</f>
        <v>155.82382838787493</v>
      </c>
      <c r="H19" s="275">
        <f>SUMIF('I - Stationary'!$B:$B,$B19,'I - Stationary'!AB:AB)</f>
        <v>337.03478213279243</v>
      </c>
      <c r="I19" s="273"/>
      <c r="J19" s="273"/>
      <c r="K19" s="273"/>
      <c r="L19" s="273"/>
      <c r="M19" s="275">
        <f>SUMIF('I - Stationary'!$B:$B,$B19,'I - Stationary'!AC:AC)</f>
        <v>254434.50119400752</v>
      </c>
      <c r="N19" s="276">
        <f>SUMIF('I - Stationary'!$B:$B,$B19,'I - Stationary'!AD:AD)</f>
        <v>0</v>
      </c>
      <c r="O19" s="266" t="str">
        <f>IF(VLOOKUP($B19,'I - Stationary'!$B:$AG,32,FALSE)="","",VLOOKUP($B19,'I - Stationary'!$B:$AG,32,FALSE))</f>
        <v/>
      </c>
      <c r="P19" s="59"/>
      <c r="Q19" s="59"/>
      <c r="R19" s="59"/>
      <c r="S19" s="59"/>
      <c r="T19" s="59"/>
      <c r="U19" s="59"/>
      <c r="V19" s="59"/>
      <c r="W19" s="59"/>
      <c r="X19" s="59"/>
    </row>
    <row r="20" spans="1:24" s="60" customFormat="1">
      <c r="A20" s="59"/>
      <c r="B20" s="63" t="s">
        <v>62</v>
      </c>
      <c r="C20" s="64"/>
      <c r="D20" s="65" t="s">
        <v>8</v>
      </c>
      <c r="E20" s="66"/>
      <c r="F20" s="277"/>
      <c r="G20" s="277"/>
      <c r="H20" s="277"/>
      <c r="I20" s="277"/>
      <c r="J20" s="277"/>
      <c r="K20" s="277"/>
      <c r="L20" s="277"/>
      <c r="M20" s="277"/>
      <c r="N20" s="278"/>
      <c r="O20" s="264"/>
      <c r="P20" s="59"/>
      <c r="Q20" s="59"/>
      <c r="R20" s="59"/>
      <c r="S20" s="59"/>
      <c r="T20" s="59"/>
      <c r="U20" s="59"/>
      <c r="V20" s="59"/>
      <c r="W20" s="59"/>
      <c r="X20" s="59"/>
    </row>
    <row r="21" spans="1:24" s="60" customFormat="1" collapsed="1">
      <c r="A21" s="59"/>
      <c r="B21" s="124" t="s">
        <v>63</v>
      </c>
      <c r="C21" s="125">
        <v>1</v>
      </c>
      <c r="D21" s="126" t="s">
        <v>52</v>
      </c>
      <c r="E21" s="127" t="str">
        <f>IF(VLOOKUP(B21,'I - Stationary'!$B:$F,5,FALSE)="","",VLOOKUP(B21,'I - Stationary'!$B:$F,5,FALSE))</f>
        <v/>
      </c>
      <c r="F21" s="272">
        <f>SUMIF('I - Stationary'!$B:$B,$B21,'I - Stationary'!Z:Z)</f>
        <v>368667.62548499525</v>
      </c>
      <c r="G21" s="272">
        <f>SUMIF('I - Stationary'!$B:$B,$B21,'I - Stationary'!AA:AA)</f>
        <v>714.43109140825777</v>
      </c>
      <c r="H21" s="272">
        <f>SUMIF('I - Stationary'!$B:$B,$B21,'I - Stationary'!AB:AB)</f>
        <v>1178.1868649174223</v>
      </c>
      <c r="I21" s="273"/>
      <c r="J21" s="273"/>
      <c r="K21" s="273"/>
      <c r="L21" s="273"/>
      <c r="M21" s="272">
        <f>SUMIF('I - Stationary'!$B:$B,$B21,'I - Stationary'!AC:AC)</f>
        <v>370560.2434413209</v>
      </c>
      <c r="N21" s="274">
        <f>SUMIF('I - Stationary'!$B:$B,$B21,'I - Stationary'!AD:AD)</f>
        <v>73714.586023465585</v>
      </c>
      <c r="O21" s="265" t="str">
        <f>IF(VLOOKUP($B21,'I - Stationary'!$B:$AG,32,FALSE)="","",VLOOKUP($B21,'I - Stationary'!$B:$AG,32,FALSE))</f>
        <v/>
      </c>
      <c r="P21" s="59"/>
      <c r="Q21" s="59"/>
      <c r="R21" s="59"/>
      <c r="S21" s="59"/>
      <c r="T21" s="59"/>
      <c r="U21" s="59"/>
      <c r="V21" s="59"/>
      <c r="W21" s="59"/>
      <c r="X21" s="59"/>
    </row>
    <row r="22" spans="1:24" s="60" customFormat="1" collapsed="1">
      <c r="A22" s="59"/>
      <c r="B22" s="124" t="s">
        <v>64</v>
      </c>
      <c r="C22" s="125">
        <v>2</v>
      </c>
      <c r="D22" s="126" t="s">
        <v>54</v>
      </c>
      <c r="E22" s="127" t="str">
        <f>IF(VLOOKUP(B22,'I - Stationary'!$B:$F,5,FALSE)="","",VLOOKUP(B22,'I - Stationary'!$B:$F,5,FALSE))</f>
        <v/>
      </c>
      <c r="F22" s="272">
        <f>SUMIF('I - Stationary'!$B:$B,$B22,'I - Stationary'!Z:Z)</f>
        <v>368819.50917498441</v>
      </c>
      <c r="G22" s="272">
        <f>SUMIF('I - Stationary'!$B:$B,$B22,'I - Stationary'!AA:AA)</f>
        <v>226.31525621044486</v>
      </c>
      <c r="H22" s="272">
        <f>SUMIF('I - Stationary'!$B:$B,$B22,'I - Stationary'!AB:AB)</f>
        <v>489.50224018594088</v>
      </c>
      <c r="I22" s="273"/>
      <c r="J22" s="273"/>
      <c r="K22" s="273"/>
      <c r="L22" s="273"/>
      <c r="M22" s="272">
        <f>SUMIF('I - Stationary'!$B:$B,$B22,'I - Stationary'!AC:AC)</f>
        <v>369535.32667138078</v>
      </c>
      <c r="N22" s="274">
        <f>SUMIF('I - Stationary'!$B:$B,$B22,'I - Stationary'!AD:AD)</f>
        <v>0</v>
      </c>
      <c r="O22" s="265" t="str">
        <f>IF(VLOOKUP($B22,'I - Stationary'!$B:$AG,32,FALSE)="","",VLOOKUP($B22,'I - Stationary'!$B:$AG,32,FALSE))</f>
        <v/>
      </c>
      <c r="P22" s="59"/>
      <c r="Q22" s="59"/>
      <c r="R22" s="59"/>
      <c r="S22" s="59"/>
      <c r="T22" s="59"/>
      <c r="U22" s="59"/>
      <c r="V22" s="59"/>
      <c r="W22" s="59"/>
      <c r="X22" s="59"/>
    </row>
    <row r="23" spans="1:24" s="60" customFormat="1" collapsed="1">
      <c r="A23" s="59"/>
      <c r="B23" s="132" t="s">
        <v>65</v>
      </c>
      <c r="C23" s="133">
        <v>3</v>
      </c>
      <c r="D23" s="134" t="s">
        <v>56</v>
      </c>
      <c r="E23" s="131" t="str">
        <f>IF(VLOOKUP(B23,'I - Stationary'!$B:$F,5,FALSE)="","",VLOOKUP(B23,'I - Stationary'!$B:$F,5,FALSE))</f>
        <v/>
      </c>
      <c r="F23" s="275">
        <f>SUMIF('I - Stationary'!$B:$B,$B23,'I - Stationary'!Z:Z)</f>
        <v>49175.930556086205</v>
      </c>
      <c r="G23" s="275">
        <f>SUMIF('I - Stationary'!$B:$B,$B23,'I - Stationary'!AA:AA)</f>
        <v>30.175365039888586</v>
      </c>
      <c r="H23" s="275">
        <f>SUMIF('I - Stationary'!$B:$B,$B23,'I - Stationary'!AB:AB)</f>
        <v>65.266960048503719</v>
      </c>
      <c r="I23" s="273"/>
      <c r="J23" s="273"/>
      <c r="K23" s="273"/>
      <c r="L23" s="273"/>
      <c r="M23" s="275">
        <f>SUMIF('I - Stationary'!$B:$B,$B23,'I - Stationary'!AC:AC)</f>
        <v>49271.372881174597</v>
      </c>
      <c r="N23" s="276">
        <f>SUMIF('I - Stationary'!$B:$B,$B23,'I - Stationary'!AD:AD)</f>
        <v>0</v>
      </c>
      <c r="O23" s="266" t="str">
        <f>IF(VLOOKUP($B23,'I - Stationary'!$B:$AG,32,FALSE)="","",VLOOKUP($B23,'I - Stationary'!$B:$AG,32,FALSE))</f>
        <v/>
      </c>
      <c r="P23" s="59"/>
      <c r="Q23" s="59"/>
      <c r="R23" s="59"/>
      <c r="S23" s="59"/>
      <c r="T23" s="59"/>
      <c r="U23" s="59"/>
      <c r="V23" s="59"/>
      <c r="W23" s="59"/>
      <c r="X23" s="59"/>
    </row>
    <row r="24" spans="1:24" s="60" customFormat="1">
      <c r="A24" s="59"/>
      <c r="B24" s="63" t="s">
        <v>66</v>
      </c>
      <c r="C24" s="64"/>
      <c r="D24" s="65" t="s">
        <v>9</v>
      </c>
      <c r="E24" s="66"/>
      <c r="F24" s="277"/>
      <c r="G24" s="277"/>
      <c r="H24" s="277"/>
      <c r="I24" s="277"/>
      <c r="J24" s="277"/>
      <c r="K24" s="277"/>
      <c r="L24" s="277"/>
      <c r="M24" s="277"/>
      <c r="N24" s="278"/>
      <c r="O24" s="264"/>
      <c r="P24" s="59"/>
      <c r="Q24" s="59"/>
      <c r="R24" s="59"/>
      <c r="S24" s="59"/>
      <c r="T24" s="59"/>
      <c r="U24" s="59"/>
      <c r="V24" s="59"/>
      <c r="W24" s="59"/>
      <c r="X24" s="59"/>
    </row>
    <row r="25" spans="1:24" s="60" customFormat="1" collapsed="1">
      <c r="A25" s="59"/>
      <c r="B25" s="124" t="s">
        <v>67</v>
      </c>
      <c r="C25" s="125">
        <v>1</v>
      </c>
      <c r="D25" s="126" t="s">
        <v>68</v>
      </c>
      <c r="E25" s="127" t="str">
        <f>IF(VLOOKUP(B25,'I - Stationary'!$B:$F,5,FALSE)="","",VLOOKUP(B25,'I - Stationary'!$B:$F,5,FALSE))</f>
        <v>IE</v>
      </c>
      <c r="F25" s="272">
        <f>SUMIF('I - Stationary'!$B:$B,$B25,'I - Stationary'!Z:Z)</f>
        <v>0</v>
      </c>
      <c r="G25" s="272">
        <f>SUMIF('I - Stationary'!$B:$B,$B25,'I - Stationary'!AA:AA)</f>
        <v>0</v>
      </c>
      <c r="H25" s="272">
        <f>SUMIF('I - Stationary'!$B:$B,$B25,'I - Stationary'!AB:AB)</f>
        <v>0</v>
      </c>
      <c r="I25" s="273"/>
      <c r="J25" s="273"/>
      <c r="K25" s="273"/>
      <c r="L25" s="273"/>
      <c r="M25" s="272">
        <f>SUMIF('I - Stationary'!$B:$B,$B25,'I - Stationary'!AC:AC)</f>
        <v>0</v>
      </c>
      <c r="N25" s="274">
        <f>SUMIF('I - Stationary'!$B:$B,$B25,'I - Stationary'!AD:AD)</f>
        <v>0</v>
      </c>
      <c r="O25" s="265" t="str">
        <f>IF(VLOOKUP($B25,'I - Stationary'!$B:$AG,32,FALSE)="","",VLOOKUP($B25,'I - Stationary'!$B:$AG,32,FALSE))</f>
        <v>I.4.1 is reported in I.3.1 Manufacturing industries and construction. It is not possible to dissagregate the fuel comsuption for power plant auxiliary operations.</v>
      </c>
      <c r="P25" s="59"/>
      <c r="Q25" s="59"/>
      <c r="R25" s="59"/>
      <c r="S25" s="59"/>
      <c r="T25" s="59"/>
      <c r="U25" s="59"/>
      <c r="V25" s="59"/>
      <c r="W25" s="59"/>
      <c r="X25" s="59"/>
    </row>
    <row r="26" spans="1:24" s="60" customFormat="1" collapsed="1">
      <c r="A26" s="59"/>
      <c r="B26" s="124" t="s">
        <v>69</v>
      </c>
      <c r="C26" s="125">
        <v>2</v>
      </c>
      <c r="D26" s="126" t="s">
        <v>70</v>
      </c>
      <c r="E26" s="127" t="str">
        <f>IF(VLOOKUP(B26,'I - Stationary'!$B:$F,5,FALSE)="","",VLOOKUP(B26,'I - Stationary'!$B:$F,5,FALSE))</f>
        <v>IE</v>
      </c>
      <c r="F26" s="272">
        <f>SUMIF('I - Stationary'!$B:$B,$B26,'I - Stationary'!Z:Z)</f>
        <v>0</v>
      </c>
      <c r="G26" s="272">
        <f>SUMIF('I - Stationary'!$B:$B,$B26,'I - Stationary'!AA:AA)</f>
        <v>0</v>
      </c>
      <c r="H26" s="272">
        <f>SUMIF('I - Stationary'!$B:$B,$B26,'I - Stationary'!AB:AB)</f>
        <v>0</v>
      </c>
      <c r="I26" s="273"/>
      <c r="J26" s="273"/>
      <c r="K26" s="273"/>
      <c r="L26" s="273"/>
      <c r="M26" s="272">
        <f>SUMIF('I - Stationary'!$B:$B,$B26,'I - Stationary'!AC:AC)</f>
        <v>0</v>
      </c>
      <c r="N26" s="274">
        <f>SUMIF('I - Stationary'!$B:$B,$B26,'I - Stationary'!AD:AD)</f>
        <v>0</v>
      </c>
      <c r="O26" s="265" t="str">
        <f>IF(VLOOKUP($B26,'I - Stationary'!$B:$AG,32,FALSE)="","",VLOOKUP($B26,'I - Stationary'!$B:$AG,32,FALSE))</f>
        <v>I.4.2 is reported in I.3.2 Manufacturing industries and construction.It is not possible to dissagregate the fuel comsuption for power plant auxiliary operations.</v>
      </c>
      <c r="P26" s="59"/>
      <c r="Q26" s="59"/>
      <c r="R26" s="59"/>
      <c r="S26" s="59"/>
      <c r="T26" s="59"/>
      <c r="U26" s="59"/>
      <c r="V26" s="59"/>
      <c r="W26" s="59"/>
      <c r="X26" s="59"/>
    </row>
    <row r="27" spans="1:24" s="60" customFormat="1" collapsed="1">
      <c r="A27" s="59"/>
      <c r="B27" s="132" t="s">
        <v>71</v>
      </c>
      <c r="C27" s="133">
        <v>3</v>
      </c>
      <c r="D27" s="134" t="s">
        <v>72</v>
      </c>
      <c r="E27" s="131" t="str">
        <f>IF(VLOOKUP(B27,'I - Stationary'!$B:$F,5,FALSE)="","",VLOOKUP(B27,'I - Stationary'!$B:$F,5,FALSE))</f>
        <v>IE</v>
      </c>
      <c r="F27" s="275">
        <f>SUMIF('I - Stationary'!$B:$B,$B27,'I - Stationary'!Z:Z)</f>
        <v>0</v>
      </c>
      <c r="G27" s="275">
        <f>SUMIF('I - Stationary'!$B:$B,$B27,'I - Stationary'!AA:AA)</f>
        <v>0</v>
      </c>
      <c r="H27" s="275">
        <f>SUMIF('I - Stationary'!$B:$B,$B27,'I - Stationary'!AB:AB)</f>
        <v>0</v>
      </c>
      <c r="I27" s="273"/>
      <c r="J27" s="273"/>
      <c r="K27" s="273"/>
      <c r="L27" s="273"/>
      <c r="M27" s="275">
        <f>SUMIF('I - Stationary'!$B:$B,$B27,'I - Stationary'!AC:AC)</f>
        <v>0</v>
      </c>
      <c r="N27" s="276">
        <f>SUMIF('I - Stationary'!$B:$B,$B27,'I - Stationary'!AD:AD)</f>
        <v>0</v>
      </c>
      <c r="O27" s="266" t="str">
        <f>IF(VLOOKUP($B27,'I - Stationary'!$B:$AG,32,FALSE)="","",VLOOKUP($B27,'I - Stationary'!$B:$AG,32,FALSE))</f>
        <v>I.4.3 is reported in I.3.3 Manufacturing industries and construction. It is not possible to dissagregate the fuel comsuption for power plant auxiliary operations.</v>
      </c>
      <c r="P27" s="59"/>
      <c r="Q27" s="59"/>
      <c r="R27" s="59"/>
      <c r="S27" s="59"/>
      <c r="T27" s="59"/>
      <c r="U27" s="59"/>
      <c r="V27" s="59"/>
      <c r="W27" s="59"/>
      <c r="X27" s="59"/>
    </row>
    <row r="28" spans="1:24" s="60" customFormat="1" collapsed="1">
      <c r="A28" s="59"/>
      <c r="B28" s="135" t="s">
        <v>73</v>
      </c>
      <c r="C28" s="136">
        <v>1</v>
      </c>
      <c r="D28" s="137" t="s">
        <v>74</v>
      </c>
      <c r="E28" s="138" t="str">
        <f>IF(VLOOKUP(B28,'I - Stationary'!$B:$F,5,FALSE)="","",VLOOKUP(B28,'I - Stationary'!$B:$F,5,FALSE))</f>
        <v/>
      </c>
      <c r="F28" s="279">
        <f>SUMIF('I - Stationary'!$B:$B,$B28,'I - Stationary'!Z:Z)</f>
        <v>9527765.9475407992</v>
      </c>
      <c r="G28" s="279">
        <f>SUMIF('I - Stationary'!$B:$B,$B28,'I - Stationary'!AA:AA)</f>
        <v>7835.5560432000002</v>
      </c>
      <c r="H28" s="279">
        <f>SUMIF('I - Stationary'!$B:$B,$B28,'I - Stationary'!AB:AB)</f>
        <v>38476.802792054405</v>
      </c>
      <c r="I28" s="273"/>
      <c r="J28" s="273"/>
      <c r="K28" s="273"/>
      <c r="L28" s="273"/>
      <c r="M28" s="279">
        <f>SUMIF('I - Stationary'!$B:$B,$B28,'I - Stationary'!AC:AC)</f>
        <v>9574078.306376053</v>
      </c>
      <c r="N28" s="280">
        <f>SUMIF('I - Stationary'!$B:$B,$B28,'I - Stationary'!AD:AD)</f>
        <v>0</v>
      </c>
      <c r="O28" s="283" t="str">
        <f>IF(VLOOKUP($B28,'I - Stationary'!$B:$AG,32,FALSE)="","",VLOOKUP($B28,'I - Stationary'!$B:$AG,32,FALSE))</f>
        <v/>
      </c>
      <c r="P28" s="59"/>
      <c r="Q28" s="59"/>
      <c r="R28" s="59"/>
      <c r="S28" s="59"/>
      <c r="T28" s="59"/>
      <c r="U28" s="59"/>
      <c r="V28" s="59"/>
      <c r="W28" s="59"/>
      <c r="X28" s="59"/>
    </row>
    <row r="29" spans="1:24" s="60" customFormat="1">
      <c r="A29" s="59"/>
      <c r="B29" s="63" t="s">
        <v>75</v>
      </c>
      <c r="C29" s="64"/>
      <c r="D29" s="65" t="s">
        <v>76</v>
      </c>
      <c r="E29" s="66"/>
      <c r="F29" s="277"/>
      <c r="G29" s="277"/>
      <c r="H29" s="277"/>
      <c r="I29" s="277"/>
      <c r="J29" s="277"/>
      <c r="K29" s="277"/>
      <c r="L29" s="277"/>
      <c r="M29" s="277"/>
      <c r="N29" s="278"/>
      <c r="O29" s="264"/>
      <c r="P29" s="59"/>
      <c r="Q29" s="59"/>
      <c r="R29" s="59"/>
      <c r="S29" s="59"/>
      <c r="T29" s="59"/>
      <c r="U29" s="59"/>
      <c r="V29" s="59"/>
      <c r="W29" s="59"/>
      <c r="X29" s="59"/>
    </row>
    <row r="30" spans="1:24" s="60" customFormat="1" collapsed="1">
      <c r="A30" s="59"/>
      <c r="B30" s="124" t="s">
        <v>77</v>
      </c>
      <c r="C30" s="125">
        <v>1</v>
      </c>
      <c r="D30" s="126" t="s">
        <v>52</v>
      </c>
      <c r="E30" s="127" t="str">
        <f>IF(VLOOKUP(B30,'I - Stationary'!$B:$F,5,FALSE)="","",VLOOKUP(B30,'I - Stationary'!$B:$F,5,FALSE))</f>
        <v>NO</v>
      </c>
      <c r="F30" s="272">
        <f>SUMIF('I - Stationary'!$B:$B,$B30,'I - Stationary'!Z:Z)</f>
        <v>0</v>
      </c>
      <c r="G30" s="272">
        <f>SUMIF('I - Stationary'!$B:$B,$B30,'I - Stationary'!AA:AA)</f>
        <v>0</v>
      </c>
      <c r="H30" s="272">
        <f>SUMIF('I - Stationary'!$B:$B,$B30,'I - Stationary'!AB:AB)</f>
        <v>0</v>
      </c>
      <c r="I30" s="273"/>
      <c r="J30" s="273"/>
      <c r="K30" s="273"/>
      <c r="L30" s="273"/>
      <c r="M30" s="272">
        <f>SUMIF('I - Stationary'!$B:$B,$B30,'I - Stationary'!AC:AC)</f>
        <v>0</v>
      </c>
      <c r="N30" s="274">
        <f>SUMIF('I - Stationary'!$B:$B,$B30,'I - Stationary'!AD:AD)</f>
        <v>0</v>
      </c>
      <c r="O30" s="265" t="str">
        <f>IF(VLOOKUP($B30,'I - Stationary'!$B:$AG,32,FALSE)="","",VLOOKUP($B30,'I - Stationary'!$B:$AG,32,FALSE))</f>
        <v>I.5.1 does not occur. No agricultural activities within the city boundary</v>
      </c>
      <c r="P30" s="59"/>
      <c r="Q30" s="59"/>
      <c r="R30" s="59"/>
      <c r="S30" s="59"/>
      <c r="T30" s="59"/>
      <c r="U30" s="59"/>
      <c r="V30" s="59"/>
      <c r="W30" s="59"/>
      <c r="X30" s="59"/>
    </row>
    <row r="31" spans="1:24" s="60" customFormat="1" collapsed="1">
      <c r="A31" s="59"/>
      <c r="B31" s="124" t="s">
        <v>78</v>
      </c>
      <c r="C31" s="125">
        <v>2</v>
      </c>
      <c r="D31" s="126" t="s">
        <v>54</v>
      </c>
      <c r="E31" s="127" t="str">
        <f>IF(VLOOKUP(B31,'I - Stationary'!$B:$F,5,FALSE)="","",VLOOKUP(B31,'I - Stationary'!$B:$F,5,FALSE))</f>
        <v>NO</v>
      </c>
      <c r="F31" s="272">
        <f>SUMIF('I - Stationary'!$B:$B,$B31,'I - Stationary'!Z:Z)</f>
        <v>0</v>
      </c>
      <c r="G31" s="272">
        <f>SUMIF('I - Stationary'!$B:$B,$B31,'I - Stationary'!AA:AA)</f>
        <v>0</v>
      </c>
      <c r="H31" s="272">
        <f>SUMIF('I - Stationary'!$B:$B,$B31,'I - Stationary'!AB:AB)</f>
        <v>0</v>
      </c>
      <c r="I31" s="273"/>
      <c r="J31" s="273"/>
      <c r="K31" s="273"/>
      <c r="L31" s="273"/>
      <c r="M31" s="272">
        <f>SUMIF('I - Stationary'!$B:$B,$B31,'I - Stationary'!AC:AC)</f>
        <v>0</v>
      </c>
      <c r="N31" s="274">
        <f>SUMIF('I - Stationary'!$B:$B,$B31,'I - Stationary'!AD:AD)</f>
        <v>0</v>
      </c>
      <c r="O31" s="265" t="str">
        <f>IF(VLOOKUP($B31,'I - Stationary'!$B:$AG,32,FALSE)="","",VLOOKUP($B31,'I - Stationary'!$B:$AG,32,FALSE))</f>
        <v>I.5.2 does not occur. No agricultural activities within the city boundary</v>
      </c>
      <c r="P31" s="59"/>
      <c r="Q31" s="59"/>
      <c r="R31" s="59"/>
      <c r="S31" s="59"/>
      <c r="T31" s="59"/>
      <c r="U31" s="59"/>
      <c r="V31" s="59"/>
      <c r="W31" s="59"/>
      <c r="X31" s="59"/>
    </row>
    <row r="32" spans="1:24" s="60" customFormat="1" collapsed="1">
      <c r="A32" s="59"/>
      <c r="B32" s="132" t="s">
        <v>79</v>
      </c>
      <c r="C32" s="133">
        <v>3</v>
      </c>
      <c r="D32" s="130" t="s">
        <v>298</v>
      </c>
      <c r="E32" s="131" t="str">
        <f>IF(VLOOKUP(B32,'I - Stationary'!$B:$F,5,FALSE)="","",VLOOKUP(B32,'I - Stationary'!$B:$F,5,FALSE))</f>
        <v>NO</v>
      </c>
      <c r="F32" s="275">
        <f>SUMIF('I - Stationary'!$B:$B,$B32,'I - Stationary'!Z:Z)</f>
        <v>0</v>
      </c>
      <c r="G32" s="275">
        <f>SUMIF('I - Stationary'!$B:$B,$B32,'I - Stationary'!AA:AA)</f>
        <v>0</v>
      </c>
      <c r="H32" s="275">
        <f>SUMIF('I - Stationary'!$B:$B,$B32,'I - Stationary'!AB:AB)</f>
        <v>0</v>
      </c>
      <c r="I32" s="273"/>
      <c r="J32" s="273"/>
      <c r="K32" s="273"/>
      <c r="L32" s="273"/>
      <c r="M32" s="275">
        <f>SUMIF('I - Stationary'!$B:$B,$B32,'I - Stationary'!AC:AC)</f>
        <v>0</v>
      </c>
      <c r="N32" s="276">
        <f>SUMIF('I - Stationary'!$B:$B,$B32,'I - Stationary'!AD:AD)</f>
        <v>0</v>
      </c>
      <c r="O32" s="266" t="str">
        <f>IF(VLOOKUP($B32,'I - Stationary'!$B:$AG,32,FALSE)="","",VLOOKUP($B32,'I - Stationary'!$B:$AG,32,FALSE))</f>
        <v>I.5.3 does not occur. No agricultural activities within the city boundary</v>
      </c>
      <c r="P32" s="59"/>
      <c r="Q32" s="59"/>
      <c r="R32" s="59"/>
      <c r="S32" s="59"/>
      <c r="T32" s="59"/>
      <c r="U32" s="59"/>
      <c r="V32" s="59"/>
      <c r="W32" s="59"/>
      <c r="X32" s="59"/>
    </row>
    <row r="33" spans="1:24" s="60" customFormat="1">
      <c r="A33" s="59"/>
      <c r="B33" s="63" t="s">
        <v>80</v>
      </c>
      <c r="C33" s="64"/>
      <c r="D33" s="65" t="s">
        <v>12</v>
      </c>
      <c r="E33" s="66"/>
      <c r="F33" s="277"/>
      <c r="G33" s="277"/>
      <c r="H33" s="277"/>
      <c r="I33" s="277"/>
      <c r="J33" s="277"/>
      <c r="K33" s="277"/>
      <c r="L33" s="277"/>
      <c r="M33" s="277"/>
      <c r="N33" s="278"/>
      <c r="O33" s="264"/>
      <c r="P33" s="59"/>
      <c r="Q33" s="59"/>
      <c r="R33" s="59"/>
      <c r="S33" s="59"/>
      <c r="T33" s="59"/>
      <c r="U33" s="59"/>
      <c r="V33" s="59"/>
      <c r="W33" s="59"/>
      <c r="X33" s="59"/>
    </row>
    <row r="34" spans="1:24" s="60" customFormat="1" collapsed="1">
      <c r="A34" s="59"/>
      <c r="B34" s="124" t="s">
        <v>81</v>
      </c>
      <c r="C34" s="125">
        <v>1</v>
      </c>
      <c r="D34" s="126" t="s">
        <v>52</v>
      </c>
      <c r="E34" s="127" t="str">
        <f>IF(VLOOKUP(B34,'I - Stationary'!$B:$F,5,FALSE)="","",VLOOKUP(B34,'I - Stationary'!$B:$F,5,FALSE))</f>
        <v>NO</v>
      </c>
      <c r="F34" s="272">
        <f>SUMIF('I - Stationary'!$B:$B,$B34,'I - Stationary'!Z:Z)</f>
        <v>0</v>
      </c>
      <c r="G34" s="272">
        <f>SUMIF('I - Stationary'!$B:$B,$B34,'I - Stationary'!AA:AA)</f>
        <v>0</v>
      </c>
      <c r="H34" s="272">
        <f>SUMIF('I - Stationary'!$B:$B,$B34,'I - Stationary'!AB:AB)</f>
        <v>0</v>
      </c>
      <c r="I34" s="273"/>
      <c r="J34" s="273"/>
      <c r="K34" s="273"/>
      <c r="L34" s="273"/>
      <c r="M34" s="272">
        <f>SUMIF('I - Stationary'!$B:$B,$B34,'I - Stationary'!AC:AC)</f>
        <v>0</v>
      </c>
      <c r="N34" s="274">
        <f>SUMIF('I - Stationary'!$B:$B,$B34,'I - Stationary'!AD:AD)</f>
        <v>0</v>
      </c>
      <c r="O34" s="265" t="str">
        <f>IF(VLOOKUP($B34,'I - Stationary'!$B:$AG,32,FALSE)="","",VLOOKUP($B34,'I - Stationary'!$B:$AG,32,FALSE))</f>
        <v>I.6.1 does not occur. No non-specified sources within the city boundary</v>
      </c>
      <c r="P34" s="59"/>
      <c r="Q34" s="59"/>
      <c r="R34" s="59"/>
      <c r="S34" s="59"/>
      <c r="T34" s="59"/>
      <c r="U34" s="59"/>
      <c r="V34" s="59"/>
      <c r="W34" s="59"/>
      <c r="X34" s="59"/>
    </row>
    <row r="35" spans="1:24" s="60" customFormat="1" collapsed="1">
      <c r="A35" s="59"/>
      <c r="B35" s="124" t="s">
        <v>82</v>
      </c>
      <c r="C35" s="125">
        <v>2</v>
      </c>
      <c r="D35" s="126" t="s">
        <v>54</v>
      </c>
      <c r="E35" s="127" t="str">
        <f>IF(VLOOKUP(B35,'I - Stationary'!$B:$F,5,FALSE)="","",VLOOKUP(B35,'I - Stationary'!$B:$F,5,FALSE))</f>
        <v>NO</v>
      </c>
      <c r="F35" s="272">
        <f>SUMIF('I - Stationary'!$B:$B,$B35,'I - Stationary'!Z:Z)</f>
        <v>0</v>
      </c>
      <c r="G35" s="272">
        <f>SUMIF('I - Stationary'!$B:$B,$B35,'I - Stationary'!AA:AA)</f>
        <v>0</v>
      </c>
      <c r="H35" s="272">
        <f>SUMIF('I - Stationary'!$B:$B,$B35,'I - Stationary'!AB:AB)</f>
        <v>0</v>
      </c>
      <c r="I35" s="273"/>
      <c r="J35" s="273"/>
      <c r="K35" s="273"/>
      <c r="L35" s="273"/>
      <c r="M35" s="272">
        <f>SUMIF('I - Stationary'!$B:$B,$B35,'I - Stationary'!AC:AC)</f>
        <v>0</v>
      </c>
      <c r="N35" s="274">
        <f>SUMIF('I - Stationary'!$B:$B,$B35,'I - Stationary'!AD:AD)</f>
        <v>0</v>
      </c>
      <c r="O35" s="265" t="str">
        <f>IF(VLOOKUP($B35,'I - Stationary'!$B:$AG,32,FALSE)="","",VLOOKUP($B35,'I - Stationary'!$B:$AG,32,FALSE))</f>
        <v>I.6.2 does not occur. No non-specified sources within the city boundary</v>
      </c>
      <c r="P35" s="59"/>
      <c r="Q35" s="59"/>
      <c r="R35" s="59"/>
      <c r="S35" s="59"/>
      <c r="T35" s="59"/>
      <c r="U35" s="59"/>
      <c r="V35" s="59"/>
      <c r="W35" s="59"/>
      <c r="X35" s="59"/>
    </row>
    <row r="36" spans="1:24" s="60" customFormat="1" collapsed="1">
      <c r="A36" s="59"/>
      <c r="B36" s="132" t="s">
        <v>83</v>
      </c>
      <c r="C36" s="133">
        <v>3</v>
      </c>
      <c r="D36" s="130" t="s">
        <v>299</v>
      </c>
      <c r="E36" s="131" t="str">
        <f>IF(VLOOKUP(B36,'I - Stationary'!$B:$F,5,FALSE)="","",VLOOKUP(B36,'I - Stationary'!$B:$F,5,FALSE))</f>
        <v>NO</v>
      </c>
      <c r="F36" s="275">
        <f>SUMIF('I - Stationary'!$B:$B,$B36,'I - Stationary'!Z:Z)</f>
        <v>0</v>
      </c>
      <c r="G36" s="275">
        <f>SUMIF('I - Stationary'!$B:$B,$B36,'I - Stationary'!AA:AA)</f>
        <v>0</v>
      </c>
      <c r="H36" s="275">
        <f>SUMIF('I - Stationary'!$B:$B,$B36,'I - Stationary'!AB:AB)</f>
        <v>0</v>
      </c>
      <c r="I36" s="273"/>
      <c r="J36" s="273"/>
      <c r="K36" s="273"/>
      <c r="L36" s="273"/>
      <c r="M36" s="275">
        <f>SUMIF('I - Stationary'!$B:$B,$B36,'I - Stationary'!AC:AC)</f>
        <v>0</v>
      </c>
      <c r="N36" s="276">
        <f>SUMIF('I - Stationary'!$B:$B,$B36,'I - Stationary'!AD:AD)</f>
        <v>0</v>
      </c>
      <c r="O36" s="266" t="str">
        <f>IF(VLOOKUP($B36,'I - Stationary'!$B:$AG,32,FALSE)="","",VLOOKUP($B36,'I - Stationary'!$B:$AG,32,FALSE))</f>
        <v>I.6.3 does not occur. No non-specified sources within the city boundary</v>
      </c>
      <c r="P36" s="59"/>
      <c r="Q36" s="59"/>
      <c r="R36" s="59"/>
      <c r="S36" s="59"/>
      <c r="T36" s="59"/>
      <c r="U36" s="59"/>
      <c r="V36" s="59"/>
      <c r="W36" s="59"/>
      <c r="X36" s="59"/>
    </row>
    <row r="37" spans="1:24" s="60" customFormat="1">
      <c r="A37" s="59"/>
      <c r="B37" s="63" t="s">
        <v>84</v>
      </c>
      <c r="C37" s="447">
        <v>1</v>
      </c>
      <c r="D37" s="65" t="s">
        <v>13</v>
      </c>
      <c r="E37" s="66"/>
      <c r="F37" s="277"/>
      <c r="G37" s="277"/>
      <c r="H37" s="277"/>
      <c r="I37" s="277"/>
      <c r="J37" s="277"/>
      <c r="K37" s="277"/>
      <c r="L37" s="277"/>
      <c r="M37" s="277"/>
      <c r="N37" s="278"/>
      <c r="O37" s="264"/>
      <c r="P37" s="59"/>
      <c r="Q37" s="59"/>
      <c r="R37" s="59"/>
      <c r="S37" s="59"/>
      <c r="T37" s="59"/>
      <c r="U37" s="59"/>
      <c r="V37" s="59"/>
      <c r="W37" s="59"/>
      <c r="X37" s="59"/>
    </row>
    <row r="38" spans="1:24" s="60" customFormat="1" collapsed="1">
      <c r="A38" s="59"/>
      <c r="B38" s="124" t="s">
        <v>85</v>
      </c>
      <c r="C38" s="125">
        <v>1</v>
      </c>
      <c r="D38" s="126" t="s">
        <v>853</v>
      </c>
      <c r="E38" s="127" t="str">
        <f>IF(VLOOKUP(B38,'I - Stationary'!$B:$F,5,FALSE)="","",VLOOKUP(B38,'I - Stationary'!$B:$F,5,FALSE))</f>
        <v>NO</v>
      </c>
      <c r="F38" s="272">
        <f>SUMIF('I - Stationary'!$B:$B,$B38,'I - Stationary'!Z:Z)</f>
        <v>0</v>
      </c>
      <c r="G38" s="272">
        <f>SUMIF('I - Stationary'!$B:$B,$B38,'I - Stationary'!AA:AA)</f>
        <v>0</v>
      </c>
      <c r="H38" s="272">
        <f>SUMIF('I - Stationary'!$B:$B,$B38,'I - Stationary'!AB:AB)</f>
        <v>0</v>
      </c>
      <c r="I38" s="273"/>
      <c r="J38" s="273"/>
      <c r="K38" s="273"/>
      <c r="L38" s="273"/>
      <c r="M38" s="272">
        <f>SUMIF('I - Stationary'!$B:$B,$B38,'I - Stationary'!AC:AC)</f>
        <v>0</v>
      </c>
      <c r="N38" s="274">
        <f>SUMIF('I - Stationary'!$B:$B,$B38,'I - Stationary'!AD:AD)</f>
        <v>0</v>
      </c>
      <c r="O38" s="265" t="str">
        <f>IF(VLOOKUP($B38,'I - Stationary'!$B:$AG,32,FALSE)="","",VLOOKUP($B38,'I - Stationary'!$B:$AG,32,FALSE))</f>
        <v>I.7.1 does not occur. No coal-related activities within the city boundary.</v>
      </c>
      <c r="P38" s="59"/>
      <c r="Q38" s="59"/>
      <c r="R38" s="59"/>
      <c r="S38" s="59"/>
      <c r="T38" s="59"/>
      <c r="U38" s="59"/>
      <c r="V38" s="59"/>
      <c r="W38" s="59"/>
      <c r="X38" s="59"/>
    </row>
    <row r="39" spans="1:24" s="60" customFormat="1">
      <c r="A39" s="59"/>
      <c r="B39" s="63" t="s">
        <v>87</v>
      </c>
      <c r="C39" s="447">
        <v>1</v>
      </c>
      <c r="D39" s="65" t="s">
        <v>14</v>
      </c>
      <c r="E39" s="66"/>
      <c r="F39" s="277"/>
      <c r="G39" s="277"/>
      <c r="H39" s="277"/>
      <c r="I39" s="277"/>
      <c r="J39" s="277"/>
      <c r="K39" s="277"/>
      <c r="L39" s="277"/>
      <c r="M39" s="277"/>
      <c r="N39" s="278"/>
      <c r="O39" s="264"/>
      <c r="P39" s="59"/>
      <c r="Q39" s="59"/>
      <c r="R39" s="59"/>
      <c r="S39" s="59"/>
      <c r="T39" s="59"/>
      <c r="U39" s="59"/>
      <c r="V39" s="59"/>
      <c r="W39" s="59"/>
      <c r="X39" s="59"/>
    </row>
    <row r="40" spans="1:24" s="60" customFormat="1" collapsed="1">
      <c r="A40" s="59"/>
      <c r="B40" s="124" t="s">
        <v>88</v>
      </c>
      <c r="C40" s="125">
        <v>1</v>
      </c>
      <c r="D40" s="126" t="s">
        <v>851</v>
      </c>
      <c r="E40" s="127" t="str">
        <f>IF(VLOOKUP(B40,'I - Stationary'!$B:$F,5,FALSE)="","",VLOOKUP(B40,'I - Stationary'!$B:$F,5,FALSE))</f>
        <v/>
      </c>
      <c r="F40" s="272">
        <f>SUMIF('I - Stationary'!$B:$B,$B40,'I - Stationary'!Z:Z)</f>
        <v>299.40521385796461</v>
      </c>
      <c r="G40" s="272">
        <f>SUMIF('I - Stationary'!$B:$B,$B40,'I - Stationary'!AA:AA)</f>
        <v>146898.24544421633</v>
      </c>
      <c r="H40" s="272">
        <f>SUMIF('I - Stationary'!$B:$B,$B40,'I - Stationary'!AB:AB)</f>
        <v>0</v>
      </c>
      <c r="I40" s="273"/>
      <c r="J40" s="273"/>
      <c r="K40" s="273"/>
      <c r="L40" s="273"/>
      <c r="M40" s="272">
        <f>SUMIF('I - Stationary'!$B:$B,$B40,'I - Stationary'!AC:AC)</f>
        <v>147197.6506580743</v>
      </c>
      <c r="N40" s="274">
        <f>SUMIF('I - Stationary'!$B:$B,$B40,'I - Stationary'!AD:AD)</f>
        <v>0</v>
      </c>
      <c r="O40" s="265" t="str">
        <f>IF(VLOOKUP($B40,'I - Stationary'!$B:$AG,32,FALSE)="","",VLOOKUP($B40,'I - Stationary'!$B:$AG,32,FALSE))</f>
        <v/>
      </c>
      <c r="P40" s="59"/>
      <c r="Q40" s="59"/>
      <c r="R40" s="59"/>
      <c r="S40" s="59"/>
      <c r="T40" s="59"/>
      <c r="U40" s="59"/>
      <c r="V40" s="59"/>
      <c r="W40" s="59"/>
      <c r="X40" s="59"/>
    </row>
    <row r="41" spans="1:24" s="60" customFormat="1">
      <c r="A41" s="59"/>
      <c r="B41" s="63" t="s">
        <v>89</v>
      </c>
      <c r="C41" s="64"/>
      <c r="D41" s="65" t="s">
        <v>15</v>
      </c>
      <c r="E41" s="66"/>
      <c r="F41" s="277"/>
      <c r="G41" s="277"/>
      <c r="H41" s="277"/>
      <c r="I41" s="277"/>
      <c r="J41" s="277"/>
      <c r="K41" s="277"/>
      <c r="L41" s="277"/>
      <c r="M41" s="277"/>
      <c r="N41" s="278"/>
      <c r="O41" s="264"/>
      <c r="P41" s="59"/>
      <c r="Q41" s="59"/>
      <c r="R41" s="59"/>
      <c r="S41" s="59"/>
      <c r="T41" s="59"/>
      <c r="U41" s="59"/>
      <c r="V41" s="59"/>
      <c r="W41" s="59"/>
      <c r="X41" s="59"/>
    </row>
    <row r="42" spans="1:24" s="60" customFormat="1">
      <c r="A42" s="59"/>
      <c r="B42" s="63" t="s">
        <v>90</v>
      </c>
      <c r="C42" s="64"/>
      <c r="D42" s="65" t="s">
        <v>91</v>
      </c>
      <c r="E42" s="66"/>
      <c r="F42" s="277"/>
      <c r="G42" s="277"/>
      <c r="H42" s="277"/>
      <c r="I42" s="277"/>
      <c r="J42" s="277"/>
      <c r="K42" s="277"/>
      <c r="L42" s="277"/>
      <c r="M42" s="277"/>
      <c r="N42" s="278"/>
      <c r="O42" s="264"/>
      <c r="P42" s="59"/>
      <c r="Q42" s="59"/>
      <c r="R42" s="59"/>
      <c r="S42" s="59"/>
      <c r="T42" s="59"/>
      <c r="U42" s="59"/>
      <c r="V42" s="59"/>
      <c r="W42" s="59"/>
      <c r="X42" s="59"/>
    </row>
    <row r="43" spans="1:24" s="60" customFormat="1">
      <c r="A43" s="59"/>
      <c r="B43" s="124" t="s">
        <v>92</v>
      </c>
      <c r="C43" s="125">
        <v>1</v>
      </c>
      <c r="D43" s="126" t="s">
        <v>93</v>
      </c>
      <c r="E43" s="127" t="str">
        <f>IF(VLOOKUP(B43,'II - Transport'!$B:$G,6,FALSE)="","",VLOOKUP(B43,'II - Transport'!$B:$G,6,FALSE))</f>
        <v/>
      </c>
      <c r="F43" s="272">
        <f>SUMIF('II - Transport'!$B:$B,$B43,'II - Transport'!AA:AA)</f>
        <v>3928627.0224769539</v>
      </c>
      <c r="G43" s="272">
        <f>SUMIF('II - Transport'!$B:$B,$B43,'II - Transport'!AB:AB)</f>
        <v>22717.598497293751</v>
      </c>
      <c r="H43" s="272">
        <f>SUMIF('II - Transport'!$B:$B,$B43,'II - Transport'!AC:AC)</f>
        <v>43548.237828966601</v>
      </c>
      <c r="I43" s="273"/>
      <c r="J43" s="273"/>
      <c r="K43" s="273"/>
      <c r="L43" s="273"/>
      <c r="M43" s="272">
        <f>SUMIF('II - Transport'!$B:$B,$B43,'II - Transport'!AD:AD)</f>
        <v>3994892.8588032145</v>
      </c>
      <c r="N43" s="274">
        <f>SUMIF('II - Transport'!$B:$B,$B43,'II - Transport'!AE:AE)</f>
        <v>142252.99210919547</v>
      </c>
      <c r="O43" s="265" t="str">
        <f>IF(VLOOKUP($B43,'II - Transport'!$B:$AH,33,FALSE)="","",VLOOKUP($B43,'II - Transport'!$B:$AH,33,FALSE))</f>
        <v/>
      </c>
      <c r="P43" s="59"/>
      <c r="Q43" s="59"/>
      <c r="R43" s="59"/>
      <c r="S43" s="59"/>
      <c r="T43" s="59"/>
      <c r="U43" s="59"/>
      <c r="V43" s="59"/>
      <c r="W43" s="59"/>
      <c r="X43" s="59"/>
    </row>
    <row r="44" spans="1:24" s="60" customFormat="1">
      <c r="A44" s="59"/>
      <c r="B44" s="124" t="s">
        <v>94</v>
      </c>
      <c r="C44" s="125">
        <v>2</v>
      </c>
      <c r="D44" s="126" t="s">
        <v>95</v>
      </c>
      <c r="E44" s="127" t="str">
        <f>IF(VLOOKUP(B44,'II - Transport'!$B:$G,6,FALSE)="","",VLOOKUP(B44,'II - Transport'!$B:$G,6,FALSE))</f>
        <v>NO</v>
      </c>
      <c r="F44" s="272">
        <f>SUMIF('II - Transport'!$B:$B,$B44,'II - Transport'!AA:AA)</f>
        <v>0</v>
      </c>
      <c r="G44" s="272">
        <f>SUMIF('II - Transport'!$B:$B,$B44,'II - Transport'!AB:AB)</f>
        <v>0</v>
      </c>
      <c r="H44" s="272">
        <f>SUMIF('II - Transport'!$B:$B,$B44,'II - Transport'!AC:AC)</f>
        <v>0</v>
      </c>
      <c r="I44" s="273"/>
      <c r="J44" s="273"/>
      <c r="K44" s="273"/>
      <c r="L44" s="273"/>
      <c r="M44" s="272">
        <f>SUMIF('II - Transport'!$B:$B,$B44,'II - Transport'!AD:AD)</f>
        <v>0</v>
      </c>
      <c r="N44" s="274">
        <f>SUMIF('II - Transport'!$B:$B,$B44,'II - Transport'!AE:AE)</f>
        <v>0</v>
      </c>
      <c r="O44" s="265" t="str">
        <f>IF(VLOOKUP($B44,'II - Transport'!$B:$AH,33,FALSE)="","",VLOOKUP($B44,'II - Transport'!$B:$AH,33,FALSE))</f>
        <v>There are no records of electric road transport and are assumed to be insignificant</v>
      </c>
      <c r="P44" s="59"/>
      <c r="Q44" s="59"/>
      <c r="R44" s="59"/>
      <c r="S44" s="59"/>
      <c r="T44" s="59"/>
      <c r="U44" s="59"/>
      <c r="V44" s="59"/>
      <c r="W44" s="59"/>
      <c r="X44" s="59"/>
    </row>
    <row r="45" spans="1:24" s="60" customFormat="1">
      <c r="A45" s="59"/>
      <c r="B45" s="132" t="s">
        <v>96</v>
      </c>
      <c r="C45" s="133">
        <v>3</v>
      </c>
      <c r="D45" s="134" t="s">
        <v>852</v>
      </c>
      <c r="E45" s="139" t="str">
        <f>IF(VLOOKUP(B45,'II - Transport'!$B:$G,6,FALSE)="","",VLOOKUP(B45,'II - Transport'!$B:$G,6,FALSE))</f>
        <v>NE</v>
      </c>
      <c r="F45" s="275">
        <f>SUMIF('II - Transport'!$B:$B,$B45,'II - Transport'!AA:AA)</f>
        <v>0</v>
      </c>
      <c r="G45" s="275">
        <f>SUMIF('II - Transport'!$B:$B,$B45,'II - Transport'!AB:AB)</f>
        <v>0</v>
      </c>
      <c r="H45" s="275">
        <f>SUMIF('II - Transport'!$B:$B,$B45,'II - Transport'!AC:AC)</f>
        <v>0</v>
      </c>
      <c r="I45" s="273"/>
      <c r="J45" s="273"/>
      <c r="K45" s="273"/>
      <c r="L45" s="273"/>
      <c r="M45" s="275">
        <f>SUMIF('II - Transport'!$B:$B,$B45,'II - Transport'!AD:AD)</f>
        <v>0</v>
      </c>
      <c r="N45" s="276">
        <f>SUMIF('II - Transport'!$B:$B,$B45,'II - Transport'!AE:AE)</f>
        <v>0</v>
      </c>
      <c r="O45" s="266" t="str">
        <f>IF(VLOOKUP($B45,'II - Transport'!$B:$AH,33,FALSE)="","",VLOOKUP($B45,'II - Transport'!$B:$AH,33,FALSE))</f>
        <v xml:space="preserve">The city is still not ready to report this emissions sources due to lack of studies </v>
      </c>
      <c r="P45" s="59"/>
      <c r="Q45" s="59"/>
      <c r="R45" s="59"/>
      <c r="S45" s="59"/>
      <c r="T45" s="59"/>
      <c r="U45" s="59"/>
      <c r="V45" s="59"/>
      <c r="W45" s="59"/>
      <c r="X45" s="59"/>
    </row>
    <row r="46" spans="1:24" s="60" customFormat="1">
      <c r="A46" s="59"/>
      <c r="B46" s="63" t="s">
        <v>97</v>
      </c>
      <c r="C46" s="64"/>
      <c r="D46" s="65" t="s">
        <v>17</v>
      </c>
      <c r="E46" s="66"/>
      <c r="F46" s="277"/>
      <c r="G46" s="277"/>
      <c r="H46" s="277"/>
      <c r="I46" s="277"/>
      <c r="J46" s="277"/>
      <c r="K46" s="277"/>
      <c r="L46" s="277"/>
      <c r="M46" s="277"/>
      <c r="N46" s="278"/>
      <c r="O46" s="264"/>
      <c r="P46" s="59"/>
      <c r="Q46" s="59"/>
      <c r="R46" s="59"/>
      <c r="S46" s="59"/>
      <c r="T46" s="59"/>
      <c r="U46" s="59"/>
      <c r="V46" s="59"/>
      <c r="W46" s="59"/>
      <c r="X46" s="59"/>
    </row>
    <row r="47" spans="1:24" s="60" customFormat="1" collapsed="1">
      <c r="A47" s="59"/>
      <c r="B47" s="124" t="s">
        <v>98</v>
      </c>
      <c r="C47" s="125">
        <v>1</v>
      </c>
      <c r="D47" s="126" t="s">
        <v>99</v>
      </c>
      <c r="E47" s="127" t="str">
        <f>IF(VLOOKUP(B47,'II - Transport'!$B:$G,6,FALSE)="","",VLOOKUP(B47,'II - Transport'!$B:$G,6,FALSE))</f>
        <v/>
      </c>
      <c r="F47" s="272">
        <f>SUMIF('II - Transport'!$B:$B,$B47,'II - Transport'!AA:AA)</f>
        <v>17318.330288180994</v>
      </c>
      <c r="G47" s="272">
        <f>SUMIF('II - Transport'!$B:$B,$B47,'II - Transport'!AB:AB)</f>
        <v>24.247999560037492</v>
      </c>
      <c r="H47" s="272">
        <f>SUMIF('II - Transport'!$B:$B,$B47,'II - Transport'!AC:AC)</f>
        <v>199.19118134967479</v>
      </c>
      <c r="I47" s="273"/>
      <c r="J47" s="273"/>
      <c r="K47" s="273"/>
      <c r="L47" s="273"/>
      <c r="M47" s="272">
        <f>SUMIF('II - Transport'!$B:$B,$B47,'II - Transport'!AD:AD)</f>
        <v>17541.769469090708</v>
      </c>
      <c r="N47" s="274">
        <f>SUMIF('II - Transport'!$B:$B,$B47,'II - Transport'!AE:AE)</f>
        <v>0</v>
      </c>
      <c r="O47" s="265" t="str">
        <f>IF(VLOOKUP($B47,'II - Transport'!$B:$AH,33,FALSE)="","",VLOOKUP($B47,'II - Transport'!$B:$AH,33,FALSE))</f>
        <v/>
      </c>
      <c r="P47" s="59"/>
      <c r="Q47" s="59"/>
      <c r="R47" s="59"/>
      <c r="S47" s="59"/>
      <c r="T47" s="59"/>
      <c r="U47" s="59"/>
      <c r="V47" s="59"/>
      <c r="W47" s="59"/>
      <c r="X47" s="59"/>
    </row>
    <row r="48" spans="1:24" s="60" customFormat="1" collapsed="1">
      <c r="A48" s="59"/>
      <c r="B48" s="124" t="s">
        <v>100</v>
      </c>
      <c r="C48" s="125">
        <v>2</v>
      </c>
      <c r="D48" s="126" t="s">
        <v>101</v>
      </c>
      <c r="E48" s="127" t="str">
        <f>IF(VLOOKUP(B48,'II - Transport'!$B:$G,6,FALSE)="","",VLOOKUP(B48,'II - Transport'!$B:$G,6,FALSE))</f>
        <v/>
      </c>
      <c r="F48" s="272">
        <f>SUMIF('II - Transport'!$B:$B,$B48,'II - Transport'!AA:AA)</f>
        <v>78740.063271844105</v>
      </c>
      <c r="G48" s="272">
        <f>SUMIF('II - Transport'!$B:$B,$B48,'II - Transport'!AB:AB)</f>
        <v>48.316526512537045</v>
      </c>
      <c r="H48" s="272">
        <f>SUMIF('II - Transport'!$B:$B,$B48,'II - Transport'!AC:AC)</f>
        <v>104.50487678964859</v>
      </c>
      <c r="I48" s="273"/>
      <c r="J48" s="273"/>
      <c r="K48" s="273"/>
      <c r="L48" s="273"/>
      <c r="M48" s="272">
        <f>SUMIF('II - Transport'!$B:$B,$B48,'II - Transport'!AD:AD)</f>
        <v>78892.884675146299</v>
      </c>
      <c r="N48" s="274">
        <f>SUMIF('II - Transport'!$B:$B,$B48,'II - Transport'!AE:AE)</f>
        <v>0</v>
      </c>
      <c r="O48" s="265" t="str">
        <f>IF(VLOOKUP($B48,'II - Transport'!$B:$AH,33,FALSE)="","",VLOOKUP($B48,'II - Transport'!$B:$AH,33,FALSE))</f>
        <v/>
      </c>
      <c r="P48" s="59"/>
      <c r="Q48" s="59"/>
      <c r="R48" s="59"/>
      <c r="S48" s="59"/>
      <c r="T48" s="59"/>
      <c r="U48" s="59"/>
      <c r="V48" s="59"/>
      <c r="W48" s="59"/>
      <c r="X48" s="59"/>
    </row>
    <row r="49" spans="1:24" s="60" customFormat="1" collapsed="1">
      <c r="A49" s="59"/>
      <c r="B49" s="132" t="s">
        <v>102</v>
      </c>
      <c r="C49" s="133">
        <v>3</v>
      </c>
      <c r="D49" s="134" t="s">
        <v>852</v>
      </c>
      <c r="E49" s="139" t="str">
        <f>IF(VLOOKUP(B49,'II - Transport'!$B:$G,6,FALSE)="","",VLOOKUP(B49,'II - Transport'!$B:$G,6,FALSE))</f>
        <v/>
      </c>
      <c r="F49" s="275">
        <f>SUMIF('II - Transport'!$B:$B,$B49,'II - Transport'!AA:AA)</f>
        <v>16937.42513279384</v>
      </c>
      <c r="G49" s="275">
        <f>SUMIF('II - Transport'!$B:$B,$B49,'II - Transport'!AB:AB)</f>
        <v>14.923610242578008</v>
      </c>
      <c r="H49" s="275">
        <f>SUMIF('II - Transport'!$B:$B,$B49,'II - Transport'!AC:AC)</f>
        <v>81.086673230466886</v>
      </c>
      <c r="I49" s="273"/>
      <c r="J49" s="273"/>
      <c r="K49" s="273"/>
      <c r="L49" s="273"/>
      <c r="M49" s="275">
        <f>SUMIF('II - Transport'!$B:$B,$B49,'II - Transport'!AD:AD)</f>
        <v>17033.43541626689</v>
      </c>
      <c r="N49" s="276">
        <f>SUMIF('II - Transport'!$B:$B,$B49,'II - Transport'!AE:AE)</f>
        <v>0</v>
      </c>
      <c r="O49" s="266" t="str">
        <f>IF(VLOOKUP($B49,'II - Transport'!$B:$AH,33,FALSE)="","",VLOOKUP($B49,'II - Transport'!$B:$AH,33,FALSE))</f>
        <v/>
      </c>
      <c r="P49" s="59"/>
      <c r="Q49" s="59"/>
      <c r="R49" s="59"/>
      <c r="S49" s="59"/>
      <c r="T49" s="59"/>
      <c r="U49" s="59"/>
      <c r="V49" s="59"/>
      <c r="W49" s="59"/>
      <c r="X49" s="59"/>
    </row>
    <row r="50" spans="1:24" s="60" customFormat="1">
      <c r="A50" s="59"/>
      <c r="B50" s="63" t="s">
        <v>103</v>
      </c>
      <c r="C50" s="64"/>
      <c r="D50" s="65" t="s">
        <v>18</v>
      </c>
      <c r="E50" s="66"/>
      <c r="F50" s="277"/>
      <c r="G50" s="277"/>
      <c r="H50" s="277"/>
      <c r="I50" s="277"/>
      <c r="J50" s="277"/>
      <c r="K50" s="277"/>
      <c r="L50" s="277"/>
      <c r="M50" s="277"/>
      <c r="N50" s="278"/>
      <c r="O50" s="264"/>
      <c r="P50" s="59"/>
      <c r="Q50" s="59"/>
      <c r="R50" s="59"/>
      <c r="S50" s="59"/>
      <c r="T50" s="59"/>
      <c r="U50" s="59"/>
      <c r="V50" s="59"/>
      <c r="W50" s="59"/>
      <c r="X50" s="59"/>
    </row>
    <row r="51" spans="1:24" s="60" customFormat="1">
      <c r="A51" s="59"/>
      <c r="B51" s="124" t="s">
        <v>104</v>
      </c>
      <c r="C51" s="125">
        <v>1</v>
      </c>
      <c r="D51" s="126" t="s">
        <v>105</v>
      </c>
      <c r="E51" s="127" t="str">
        <f>IF(VLOOKUP(B51,'II - Transport'!$B:$G,6,FALSE)="","",VLOOKUP(B51,'II - Transport'!$B:$G,6,FALSE))</f>
        <v>NO</v>
      </c>
      <c r="F51" s="272">
        <f>SUMIF('II - Transport'!$B:$B,$B51,'II - Transport'!AA:AA)</f>
        <v>0</v>
      </c>
      <c r="G51" s="272">
        <f>SUMIF('II - Transport'!$B:$B,$B51,'II - Transport'!AB:AB)</f>
        <v>0</v>
      </c>
      <c r="H51" s="272">
        <f>SUMIF('II - Transport'!$B:$B,$B51,'II - Transport'!AC:AC)</f>
        <v>0</v>
      </c>
      <c r="I51" s="273"/>
      <c r="J51" s="273"/>
      <c r="K51" s="273"/>
      <c r="L51" s="273"/>
      <c r="M51" s="272">
        <f>SUMIF('II - Transport'!$B:$B,$B51,'II - Transport'!AD:AD)</f>
        <v>0</v>
      </c>
      <c r="N51" s="274">
        <f>SUMIF('II - Transport'!$B:$B,$B51,'II - Transport'!AE:AE)</f>
        <v>0</v>
      </c>
      <c r="O51" s="265" t="str">
        <f>IF(VLOOKUP($B51,'II - Transport'!$B:$AH,33,FALSE)="","",VLOOKUP($B51,'II - Transport'!$B:$AH,33,FALSE))</f>
        <v>II.3.1 is considered to be insignificant as trips are mainly transboundary</v>
      </c>
      <c r="P51" s="59"/>
      <c r="Q51" s="59"/>
      <c r="R51" s="59"/>
      <c r="S51" s="59"/>
      <c r="T51" s="59"/>
      <c r="U51" s="59"/>
      <c r="V51" s="59"/>
      <c r="W51" s="59"/>
      <c r="X51" s="59"/>
    </row>
    <row r="52" spans="1:24" s="60" customFormat="1">
      <c r="A52" s="59"/>
      <c r="B52" s="124" t="s">
        <v>106</v>
      </c>
      <c r="C52" s="125">
        <v>2</v>
      </c>
      <c r="D52" s="126" t="s">
        <v>107</v>
      </c>
      <c r="E52" s="127" t="str">
        <f>IF(VLOOKUP(B52,'II - Transport'!$B:$G,6,FALSE)="","",VLOOKUP(B52,'II - Transport'!$B:$G,6,FALSE))</f>
        <v>NO</v>
      </c>
      <c r="F52" s="272">
        <f>SUMIF('II - Transport'!$B:$B,$B52,'II - Transport'!AA:AA)</f>
        <v>0</v>
      </c>
      <c r="G52" s="272">
        <f>SUMIF('II - Transport'!$B:$B,$B52,'II - Transport'!AB:AB)</f>
        <v>0</v>
      </c>
      <c r="H52" s="272">
        <f>SUMIF('II - Transport'!$B:$B,$B52,'II - Transport'!AC:AC)</f>
        <v>0</v>
      </c>
      <c r="I52" s="273"/>
      <c r="J52" s="273"/>
      <c r="K52" s="273"/>
      <c r="L52" s="273"/>
      <c r="M52" s="272">
        <f>SUMIF('II - Transport'!$B:$B,$B52,'II - Transport'!AD:AD)</f>
        <v>0</v>
      </c>
      <c r="N52" s="274">
        <f>SUMIF('II - Transport'!$B:$B,$B52,'II - Transport'!AE:AE)</f>
        <v>0</v>
      </c>
      <c r="O52" s="265" t="str">
        <f>IF(VLOOKUP($B52,'II - Transport'!$B:$AH,33,FALSE)="","",VLOOKUP($B52,'II - Transport'!$B:$AH,33,FALSE))</f>
        <v>II.3.2 does not occur</v>
      </c>
      <c r="P52" s="59"/>
      <c r="Q52" s="59"/>
      <c r="R52" s="59"/>
      <c r="S52" s="59"/>
      <c r="T52" s="59"/>
      <c r="U52" s="59"/>
      <c r="V52" s="59"/>
      <c r="W52" s="59"/>
      <c r="X52" s="59"/>
    </row>
    <row r="53" spans="1:24" s="60" customFormat="1">
      <c r="A53" s="59"/>
      <c r="B53" s="132" t="s">
        <v>108</v>
      </c>
      <c r="C53" s="133">
        <v>3</v>
      </c>
      <c r="D53" s="134" t="s">
        <v>852</v>
      </c>
      <c r="E53" s="139" t="str">
        <f>IF(VLOOKUP(B53,'II - Transport'!$B:$G,6,FALSE)="","",VLOOKUP(B53,'II - Transport'!$B:$G,6,FALSE))</f>
        <v>NE</v>
      </c>
      <c r="F53" s="275">
        <f>SUMIF('II - Transport'!$B:$B,$B53,'II - Transport'!AA:AA)</f>
        <v>0</v>
      </c>
      <c r="G53" s="275">
        <f>SUMIF('II - Transport'!$B:$B,$B53,'II - Transport'!AB:AB)</f>
        <v>0</v>
      </c>
      <c r="H53" s="275">
        <f>SUMIF('II - Transport'!$B:$B,$B53,'II - Transport'!AC:AC)</f>
        <v>0</v>
      </c>
      <c r="I53" s="273"/>
      <c r="J53" s="273"/>
      <c r="K53" s="273"/>
      <c r="L53" s="273"/>
      <c r="M53" s="275">
        <f>SUMIF('II - Transport'!$B:$B,$B53,'II - Transport'!AD:AD)</f>
        <v>0</v>
      </c>
      <c r="N53" s="276">
        <f>SUMIF('II - Transport'!$B:$B,$B53,'II - Transport'!AE:AE)</f>
        <v>0</v>
      </c>
      <c r="O53" s="266" t="str">
        <f>IF(VLOOKUP($B53,'II - Transport'!$B:$AH,33,FALSE)="","",VLOOKUP($B53,'II - Transport'!$B:$AH,33,FALSE))</f>
        <v>II.3.3 has not been estimated due to lack of studies</v>
      </c>
      <c r="P53" s="59"/>
      <c r="Q53" s="59"/>
      <c r="R53" s="59"/>
      <c r="S53" s="59"/>
      <c r="T53" s="59"/>
      <c r="U53" s="59"/>
      <c r="V53" s="59"/>
      <c r="W53" s="59"/>
      <c r="X53" s="59"/>
    </row>
    <row r="54" spans="1:24" s="60" customFormat="1">
      <c r="A54" s="59"/>
      <c r="B54" s="63" t="s">
        <v>109</v>
      </c>
      <c r="C54" s="64"/>
      <c r="D54" s="65" t="s">
        <v>19</v>
      </c>
      <c r="E54" s="66"/>
      <c r="F54" s="277"/>
      <c r="G54" s="277"/>
      <c r="H54" s="277"/>
      <c r="I54" s="277"/>
      <c r="J54" s="277"/>
      <c r="K54" s="277"/>
      <c r="L54" s="277"/>
      <c r="M54" s="277"/>
      <c r="N54" s="278"/>
      <c r="O54" s="264"/>
      <c r="P54" s="59"/>
      <c r="Q54" s="59"/>
      <c r="R54" s="59"/>
      <c r="S54" s="59"/>
      <c r="T54" s="59"/>
      <c r="U54" s="59"/>
      <c r="V54" s="59"/>
      <c r="W54" s="59"/>
      <c r="X54" s="59"/>
    </row>
    <row r="55" spans="1:24" s="60" customFormat="1">
      <c r="A55" s="59"/>
      <c r="B55" s="124" t="s">
        <v>110</v>
      </c>
      <c r="C55" s="125">
        <v>1</v>
      </c>
      <c r="D55" s="126" t="s">
        <v>111</v>
      </c>
      <c r="E55" s="127" t="str">
        <f>IF(VLOOKUP(B55,'II - Transport'!$B:$G,6,FALSE)="","",VLOOKUP(B55,'II - Transport'!$B:$G,6,FALSE))</f>
        <v>NO</v>
      </c>
      <c r="F55" s="272">
        <f>SUMIF('II - Transport'!$B:$B,$B55,'II - Transport'!AA:AA)</f>
        <v>0</v>
      </c>
      <c r="G55" s="272">
        <f>SUMIF('II - Transport'!$B:$B,$B55,'II - Transport'!AB:AB)</f>
        <v>0</v>
      </c>
      <c r="H55" s="272">
        <f>SUMIF('II - Transport'!$B:$B,$B55,'II - Transport'!AC:AC)</f>
        <v>0</v>
      </c>
      <c r="I55" s="273"/>
      <c r="J55" s="273"/>
      <c r="K55" s="273"/>
      <c r="L55" s="273"/>
      <c r="M55" s="272">
        <f>SUMIF('II - Transport'!$B:$B,$B55,'II - Transport'!AD:AD)</f>
        <v>0</v>
      </c>
      <c r="N55" s="274">
        <f>SUMIF('II - Transport'!$B:$B,$B55,'II - Transport'!AE:AE)</f>
        <v>0</v>
      </c>
      <c r="O55" s="265" t="str">
        <f>IF(VLOOKUP($B55,'II - Transport'!$B:$AH,33,FALSE)="","",VLOOKUP($B55,'II - Transport'!$B:$AH,33,FALSE))</f>
        <v>II.4.1 is considered to be insignificant as trips are mainly transboundary</v>
      </c>
      <c r="P55" s="59"/>
      <c r="Q55" s="59"/>
      <c r="R55" s="59"/>
      <c r="S55" s="59"/>
      <c r="T55" s="59"/>
      <c r="U55" s="59"/>
      <c r="V55" s="59"/>
      <c r="W55" s="59"/>
      <c r="X55" s="59"/>
    </row>
    <row r="56" spans="1:24" s="60" customFormat="1">
      <c r="A56" s="59"/>
      <c r="B56" s="124" t="s">
        <v>112</v>
      </c>
      <c r="C56" s="125">
        <v>2</v>
      </c>
      <c r="D56" s="126" t="s">
        <v>113</v>
      </c>
      <c r="E56" s="127" t="str">
        <f>IF(VLOOKUP(B56,'II - Transport'!$B:$G,6,FALSE)="","",VLOOKUP(B56,'II - Transport'!$B:$G,6,FALSE))</f>
        <v>NO</v>
      </c>
      <c r="F56" s="272">
        <f>SUMIF('II - Transport'!$B:$B,$B56,'II - Transport'!AA:AA)</f>
        <v>0</v>
      </c>
      <c r="G56" s="272">
        <f>SUMIF('II - Transport'!$B:$B,$B56,'II - Transport'!AB:AB)</f>
        <v>0</v>
      </c>
      <c r="H56" s="272">
        <f>SUMIF('II - Transport'!$B:$B,$B56,'II - Transport'!AC:AC)</f>
        <v>0</v>
      </c>
      <c r="I56" s="273"/>
      <c r="J56" s="273"/>
      <c r="K56" s="273"/>
      <c r="L56" s="273"/>
      <c r="M56" s="272">
        <f>SUMIF('II - Transport'!$B:$B,$B56,'II - Transport'!AD:AD)</f>
        <v>0</v>
      </c>
      <c r="N56" s="274">
        <f>SUMIF('II - Transport'!$B:$B,$B56,'II - Transport'!AE:AE)</f>
        <v>0</v>
      </c>
      <c r="O56" s="265" t="str">
        <f>IF(VLOOKUP($B56,'II - Transport'!$B:$AH,33,FALSE)="","",VLOOKUP($B56,'II - Transport'!$B:$AH,33,FALSE))</f>
        <v>II.4.2 does not occur</v>
      </c>
      <c r="P56" s="59"/>
      <c r="Q56" s="59"/>
      <c r="R56" s="59"/>
      <c r="S56" s="59"/>
      <c r="T56" s="59"/>
      <c r="U56" s="59"/>
      <c r="V56" s="59"/>
      <c r="W56" s="59"/>
      <c r="X56" s="59"/>
    </row>
    <row r="57" spans="1:24" s="60" customFormat="1">
      <c r="A57" s="59"/>
      <c r="B57" s="132" t="s">
        <v>114</v>
      </c>
      <c r="C57" s="133">
        <v>3</v>
      </c>
      <c r="D57" s="134" t="s">
        <v>852</v>
      </c>
      <c r="E57" s="139" t="str">
        <f>IF(VLOOKUP(B57,'II - Transport'!$B:$G,6,FALSE)="","",VLOOKUP(B57,'II - Transport'!$B:$G,6,FALSE))</f>
        <v>NE</v>
      </c>
      <c r="F57" s="275">
        <f>SUMIF('II - Transport'!$B:$B,$B57,'II - Transport'!AA:AA)</f>
        <v>0</v>
      </c>
      <c r="G57" s="275">
        <f>SUMIF('II - Transport'!$B:$B,$B57,'II - Transport'!AB:AB)</f>
        <v>0</v>
      </c>
      <c r="H57" s="275">
        <f>SUMIF('II - Transport'!$B:$B,$B57,'II - Transport'!AC:AC)</f>
        <v>0</v>
      </c>
      <c r="I57" s="273"/>
      <c r="J57" s="273"/>
      <c r="K57" s="273"/>
      <c r="L57" s="273"/>
      <c r="M57" s="275">
        <f>SUMIF('II - Transport'!$B:$B,$B57,'II - Transport'!AD:AD)</f>
        <v>0</v>
      </c>
      <c r="N57" s="276">
        <f>SUMIF('II - Transport'!$B:$B,$B57,'II - Transport'!AE:AE)</f>
        <v>0</v>
      </c>
      <c r="O57" s="266" t="str">
        <f>IF(VLOOKUP($B57,'II - Transport'!$B:$AH,33,FALSE)="","",VLOOKUP($B57,'II - Transport'!$B:$AH,33,FALSE))</f>
        <v>II.4.3 has not been estimated due to lack of studies</v>
      </c>
      <c r="P57" s="59"/>
      <c r="Q57" s="59"/>
      <c r="R57" s="59"/>
      <c r="S57" s="59"/>
      <c r="T57" s="59"/>
      <c r="U57" s="59"/>
      <c r="V57" s="59"/>
      <c r="W57" s="59"/>
      <c r="X57" s="59"/>
    </row>
    <row r="58" spans="1:24" s="60" customFormat="1">
      <c r="A58" s="59"/>
      <c r="B58" s="63" t="s">
        <v>115</v>
      </c>
      <c r="C58" s="64"/>
      <c r="D58" s="65" t="s">
        <v>116</v>
      </c>
      <c r="E58" s="66"/>
      <c r="F58" s="277"/>
      <c r="G58" s="277"/>
      <c r="H58" s="277"/>
      <c r="I58" s="277"/>
      <c r="J58" s="277"/>
      <c r="K58" s="277"/>
      <c r="L58" s="277"/>
      <c r="M58" s="277"/>
      <c r="N58" s="278"/>
      <c r="O58" s="264"/>
      <c r="P58" s="59"/>
      <c r="Q58" s="59"/>
      <c r="R58" s="59"/>
      <c r="S58" s="59"/>
      <c r="T58" s="59"/>
      <c r="U58" s="59"/>
      <c r="V58" s="59"/>
      <c r="W58" s="59"/>
      <c r="X58" s="59"/>
    </row>
    <row r="59" spans="1:24" s="60" customFormat="1">
      <c r="A59" s="59"/>
      <c r="B59" s="124" t="s">
        <v>117</v>
      </c>
      <c r="C59" s="125">
        <v>1</v>
      </c>
      <c r="D59" s="126" t="s">
        <v>118</v>
      </c>
      <c r="E59" s="127" t="str">
        <f>IF(VLOOKUP(B59,'II - Transport'!$B:$G,6,FALSE)="","",VLOOKUP(B59,'II - Transport'!$B:$G,6,FALSE))</f>
        <v>IE</v>
      </c>
      <c r="F59" s="272">
        <f>SUMIF('II - Transport'!$B:$B,$B59,'II - Transport'!AA:AA)</f>
        <v>0</v>
      </c>
      <c r="G59" s="272">
        <f>SUMIF('II - Transport'!$B:$B,$B59,'II - Transport'!AB:AB)</f>
        <v>0</v>
      </c>
      <c r="H59" s="272">
        <f>SUMIF('II - Transport'!$B:$B,$B59,'II - Transport'!AC:AC)</f>
        <v>0</v>
      </c>
      <c r="I59" s="273"/>
      <c r="J59" s="273"/>
      <c r="K59" s="273"/>
      <c r="L59" s="273"/>
      <c r="M59" s="272">
        <f>SUMIF('II - Transport'!$B:$B,$B59,'II - Transport'!AD:AD)</f>
        <v>0</v>
      </c>
      <c r="N59" s="274">
        <f>SUMIF('II - Transport'!$B:$B,$B59,'II - Transport'!AE:AE)</f>
        <v>0</v>
      </c>
      <c r="O59" s="265" t="str">
        <f>IF(VLOOKUP($B59,'II - Transport'!$B:$AH,33,FALSE)="","",VLOOKUP($B59,'II - Transport'!$B:$AH,33,FALSE))</f>
        <v>II.5.1 is reported in II.1.1. Fuel sales approach source does not allow for disaggregation</v>
      </c>
      <c r="P59" s="59"/>
      <c r="Q59" s="59"/>
      <c r="R59" s="59"/>
      <c r="S59" s="59"/>
      <c r="T59" s="59"/>
      <c r="U59" s="59"/>
      <c r="V59" s="59"/>
      <c r="W59" s="59"/>
      <c r="X59" s="59"/>
    </row>
    <row r="60" spans="1:24" s="60" customFormat="1">
      <c r="A60" s="59"/>
      <c r="B60" s="124" t="s">
        <v>119</v>
      </c>
      <c r="C60" s="125">
        <v>2</v>
      </c>
      <c r="D60" s="126" t="s">
        <v>120</v>
      </c>
      <c r="E60" s="127" t="str">
        <f>IF(VLOOKUP(B60,'II - Transport'!$B:$G,6,FALSE)="","",VLOOKUP(B60,'II - Transport'!$B:$G,6,FALSE))</f>
        <v>NO</v>
      </c>
      <c r="F60" s="272">
        <f>SUMIF('II - Transport'!$B:$B,$B60,'II - Transport'!AA:AA)</f>
        <v>0</v>
      </c>
      <c r="G60" s="272">
        <f>SUMIF('II - Transport'!$B:$B,$B60,'II - Transport'!AB:AB)</f>
        <v>0</v>
      </c>
      <c r="H60" s="272">
        <f>SUMIF('II - Transport'!$B:$B,$B60,'II - Transport'!AC:AC)</f>
        <v>0</v>
      </c>
      <c r="I60" s="273"/>
      <c r="J60" s="273"/>
      <c r="K60" s="273"/>
      <c r="L60" s="273"/>
      <c r="M60" s="272">
        <f>SUMIF('II - Transport'!$B:$B,$B60,'II - Transport'!AD:AD)</f>
        <v>0</v>
      </c>
      <c r="N60" s="274">
        <f>SUMIF('II - Transport'!$B:$B,$B60,'II - Transport'!AE:AE)</f>
        <v>0</v>
      </c>
      <c r="O60" s="265" t="str">
        <f>IF(VLOOKUP($B60,'II - Transport'!$B:$AH,33,FALSE)="","",VLOOKUP($B60,'II - Transport'!$B:$AH,33,FALSE))</f>
        <v>II.5.2 does not occur</v>
      </c>
      <c r="P60" s="59"/>
      <c r="Q60" s="59"/>
      <c r="R60" s="59"/>
      <c r="S60" s="59"/>
      <c r="T60" s="59"/>
      <c r="U60" s="59"/>
      <c r="V60" s="59"/>
      <c r="W60" s="59"/>
      <c r="X60" s="59"/>
    </row>
    <row r="61" spans="1:24" s="60" customFormat="1">
      <c r="A61" s="59"/>
      <c r="B61" s="132" t="s">
        <v>628</v>
      </c>
      <c r="C61" s="133">
        <v>3</v>
      </c>
      <c r="D61" s="134" t="s">
        <v>852</v>
      </c>
      <c r="E61" s="139" t="str">
        <f>IF(VLOOKUP(B61,'II - Transport'!$B:$G,6,FALSE)="","",VLOOKUP(B61,'II - Transport'!$B:$G,6,FALSE))</f>
        <v>NE</v>
      </c>
      <c r="F61" s="275">
        <f>SUMIF('II - Transport'!$B:$B,$B61,'II - Transport'!AA:AA)</f>
        <v>0</v>
      </c>
      <c r="G61" s="275">
        <f>SUMIF('II - Transport'!$B:$B,$B61,'II - Transport'!AB:AB)</f>
        <v>0</v>
      </c>
      <c r="H61" s="275">
        <f>SUMIF('II - Transport'!$B:$B,$B61,'II - Transport'!AC:AC)</f>
        <v>0</v>
      </c>
      <c r="I61" s="273"/>
      <c r="J61" s="273"/>
      <c r="K61" s="273"/>
      <c r="L61" s="273"/>
      <c r="M61" s="275">
        <f>SUMIF('II - Transport'!$B:$B,$B61,'II - Transport'!AD:AD)</f>
        <v>0</v>
      </c>
      <c r="N61" s="276">
        <f>SUMIF('II - Transport'!$B:$B,$B61,'II - Transport'!AE:AE)</f>
        <v>0</v>
      </c>
      <c r="O61" s="266" t="str">
        <f>IF(VLOOKUP($B61,'II - Transport'!$B:$AH,33,FALSE)="","",VLOOKUP($B61,'II - Transport'!$B:$AH,33,FALSE))</f>
        <v>II.5.3 has not been estimated due to lack of studies</v>
      </c>
      <c r="P61" s="59"/>
      <c r="Q61" s="59"/>
      <c r="R61" s="59"/>
      <c r="S61" s="59"/>
      <c r="T61" s="59"/>
      <c r="U61" s="59"/>
      <c r="V61" s="59"/>
      <c r="W61" s="59"/>
      <c r="X61" s="59"/>
    </row>
    <row r="62" spans="1:24" s="60" customFormat="1">
      <c r="A62" s="59"/>
      <c r="B62" s="63" t="s">
        <v>121</v>
      </c>
      <c r="C62" s="64"/>
      <c r="D62" s="65" t="s">
        <v>122</v>
      </c>
      <c r="E62" s="66"/>
      <c r="F62" s="277"/>
      <c r="G62" s="277"/>
      <c r="H62" s="277"/>
      <c r="I62" s="277"/>
      <c r="J62" s="277"/>
      <c r="K62" s="277"/>
      <c r="L62" s="277"/>
      <c r="M62" s="277"/>
      <c r="N62" s="278"/>
      <c r="O62" s="264"/>
      <c r="P62" s="59"/>
      <c r="Q62" s="59"/>
      <c r="R62" s="59"/>
      <c r="S62" s="59"/>
      <c r="T62" s="59"/>
      <c r="U62" s="59"/>
      <c r="V62" s="59"/>
      <c r="W62" s="59"/>
      <c r="X62" s="59"/>
    </row>
    <row r="63" spans="1:24" s="60" customFormat="1">
      <c r="A63" s="59"/>
      <c r="B63" s="63" t="s">
        <v>165</v>
      </c>
      <c r="C63" s="64"/>
      <c r="D63" s="65" t="s">
        <v>123</v>
      </c>
      <c r="E63" s="66"/>
      <c r="F63" s="277"/>
      <c r="G63" s="277"/>
      <c r="H63" s="277"/>
      <c r="I63" s="277"/>
      <c r="J63" s="277"/>
      <c r="K63" s="277"/>
      <c r="L63" s="277"/>
      <c r="M63" s="277"/>
      <c r="N63" s="278"/>
      <c r="O63" s="264"/>
      <c r="P63" s="59"/>
      <c r="Q63" s="59"/>
      <c r="R63" s="59"/>
      <c r="S63" s="59"/>
      <c r="T63" s="59"/>
      <c r="U63" s="59"/>
      <c r="V63" s="59"/>
      <c r="W63" s="59"/>
      <c r="X63" s="59"/>
    </row>
    <row r="64" spans="1:24" s="60" customFormat="1">
      <c r="A64" s="59"/>
      <c r="B64" s="124" t="s">
        <v>124</v>
      </c>
      <c r="C64" s="125">
        <v>1</v>
      </c>
      <c r="D64" s="126" t="s">
        <v>125</v>
      </c>
      <c r="E64" s="127" t="str">
        <f>IF(VLOOKUP(B64,'III - Waste'!$B:$G,6,FALSE)="","",VLOOKUP(B64,'III - Waste'!$B:$G,6,FALSE))</f>
        <v>NO</v>
      </c>
      <c r="F64" s="272">
        <f>SUMIF('III - Waste'!$B:$B,$B64,'III - Waste'!AA:AA)</f>
        <v>0</v>
      </c>
      <c r="G64" s="272">
        <f>SUMIF('III - Waste'!$B:$B,$B64,'III - Waste'!AB:AB)</f>
        <v>0</v>
      </c>
      <c r="H64" s="272">
        <f>SUMIF('III - Waste'!$B:$B,$B64,'III - Waste'!AC:AC)</f>
        <v>0</v>
      </c>
      <c r="I64" s="273"/>
      <c r="J64" s="273"/>
      <c r="K64" s="273"/>
      <c r="L64" s="273"/>
      <c r="M64" s="272">
        <f>SUMIF('III - Waste'!$B:$B,$B64,'III - Waste'!AD:AD)</f>
        <v>0</v>
      </c>
      <c r="N64" s="274">
        <f>SUMIF('III - Waste'!$B:$B,$B64,'III - Waste'!AE:AE)</f>
        <v>0</v>
      </c>
      <c r="O64" s="265" t="str">
        <f>IF(VLOOKUP($B64,'III - Waste'!$B:$AH,33,FALSE)="","",VLOOKUP($B64,'III - Waste'!$B:$AH,33,FALSE))</f>
        <v xml:space="preserve">There are no landfills within the City boundaries, and open dumps have been eradicated </v>
      </c>
      <c r="P64" s="59"/>
      <c r="Q64" s="59"/>
      <c r="R64" s="59"/>
      <c r="S64" s="59"/>
      <c r="T64" s="59"/>
      <c r="U64" s="59"/>
      <c r="V64" s="59"/>
      <c r="W64" s="59"/>
      <c r="X64" s="59"/>
    </row>
    <row r="65" spans="1:24" s="60" customFormat="1" collapsed="1">
      <c r="A65" s="59"/>
      <c r="B65" s="124" t="s">
        <v>126</v>
      </c>
      <c r="C65" s="125">
        <v>3</v>
      </c>
      <c r="D65" s="126" t="s">
        <v>127</v>
      </c>
      <c r="E65" s="127" t="str">
        <f>IF(VLOOKUP(B65,'III - Waste'!$B:$G,6,FALSE)="","",VLOOKUP(B65,'III - Waste'!$B:$G,6,FALSE))</f>
        <v/>
      </c>
      <c r="F65" s="272">
        <f>SUMIF('III - Waste'!$B:$B,$B65,'III - Waste'!AA:AA)</f>
        <v>0</v>
      </c>
      <c r="G65" s="272">
        <f>SUMIF('III - Waste'!$B:$B,$B65,'III - Waste'!AB:AB)</f>
        <v>0</v>
      </c>
      <c r="H65" s="272">
        <f>SUMIF('III - Waste'!$B:$B,$B65,'III - Waste'!AC:AC)</f>
        <v>0</v>
      </c>
      <c r="I65" s="273"/>
      <c r="J65" s="273"/>
      <c r="K65" s="273"/>
      <c r="L65" s="273"/>
      <c r="M65" s="272">
        <f>SUMIF('III - Waste'!$B:$B,$B65,'III - Waste'!AD:AD)</f>
        <v>1637774</v>
      </c>
      <c r="N65" s="274">
        <f>SUMIF('III - Waste'!$B:$B,$B65,'III - Waste'!AE:AE)</f>
        <v>0</v>
      </c>
      <c r="O65" s="265" t="str">
        <f>IF(VLOOKUP($B65,'III - Waste'!$B:$AH,33,FALSE)="","",VLOOKUP($B65,'III - Waste'!$B:$AH,33,FALSE))</f>
        <v/>
      </c>
      <c r="P65" s="59"/>
      <c r="Q65" s="59"/>
      <c r="R65" s="59"/>
      <c r="S65" s="59"/>
      <c r="T65" s="59"/>
      <c r="U65" s="59"/>
      <c r="V65" s="59"/>
      <c r="W65" s="59"/>
      <c r="X65" s="59"/>
    </row>
    <row r="66" spans="1:24" s="60" customFormat="1" collapsed="1">
      <c r="A66" s="59"/>
      <c r="B66" s="135" t="s">
        <v>128</v>
      </c>
      <c r="C66" s="136">
        <v>1</v>
      </c>
      <c r="D66" s="137" t="s">
        <v>129</v>
      </c>
      <c r="E66" s="138" t="str">
        <f>IF(VLOOKUP(B66,'III - Waste'!$B:$G,6,FALSE)="","",VLOOKUP(B66,'III - Waste'!$B:$G,6,FALSE))</f>
        <v>NO</v>
      </c>
      <c r="F66" s="279">
        <f>SUMIF('III - Waste'!$B:$B,$B66,'III - Waste'!AA:AA)</f>
        <v>0</v>
      </c>
      <c r="G66" s="279">
        <f>SUMIF('III - Waste'!$B:$B,$B66,'III - Waste'!AB:AB)</f>
        <v>0</v>
      </c>
      <c r="H66" s="279">
        <f>SUMIF('III - Waste'!$B:$B,$B66,'III - Waste'!AC:AC)</f>
        <v>0</v>
      </c>
      <c r="I66" s="273"/>
      <c r="J66" s="273"/>
      <c r="K66" s="273"/>
      <c r="L66" s="273"/>
      <c r="M66" s="279">
        <f>SUMIF('III - Waste'!$B:$B,$B66,'III - Waste'!AD:AD)</f>
        <v>0</v>
      </c>
      <c r="N66" s="280">
        <f>SUMIF('III - Waste'!$B:$B,$B66,'III - Waste'!AE:AE)</f>
        <v>0</v>
      </c>
      <c r="O66" s="283" t="str">
        <f>IF(VLOOKUP($B66,'III - Waste'!$B:$AH,33,FALSE)="","",VLOOKUP($B66,'III - Waste'!$B:$AH,33,FALSE))</f>
        <v>There are no landfills within the City boundaries, and open dumps have been eradicated, so no waste generated out of the city´s boundary is disposed within it</v>
      </c>
      <c r="P66" s="59"/>
      <c r="Q66" s="59"/>
      <c r="R66" s="59"/>
      <c r="S66" s="59"/>
      <c r="T66" s="59"/>
      <c r="U66" s="59"/>
      <c r="V66" s="59"/>
      <c r="W66" s="59"/>
      <c r="X66" s="59"/>
    </row>
    <row r="67" spans="1:24" s="60" customFormat="1">
      <c r="A67" s="59"/>
      <c r="B67" s="63" t="s">
        <v>166</v>
      </c>
      <c r="C67" s="64"/>
      <c r="D67" s="65" t="s">
        <v>130</v>
      </c>
      <c r="E67" s="66"/>
      <c r="F67" s="277"/>
      <c r="G67" s="277"/>
      <c r="H67" s="277"/>
      <c r="I67" s="277"/>
      <c r="J67" s="277"/>
      <c r="K67" s="277"/>
      <c r="L67" s="277"/>
      <c r="M67" s="277"/>
      <c r="N67" s="278"/>
      <c r="O67" s="264"/>
      <c r="P67" s="59"/>
      <c r="Q67" s="59"/>
      <c r="R67" s="59"/>
      <c r="S67" s="59"/>
      <c r="T67" s="59"/>
      <c r="U67" s="59"/>
      <c r="V67" s="59"/>
      <c r="W67" s="59"/>
      <c r="X67" s="59"/>
    </row>
    <row r="68" spans="1:24" s="60" customFormat="1" collapsed="1">
      <c r="A68" s="59"/>
      <c r="B68" s="140" t="s">
        <v>131</v>
      </c>
      <c r="C68" s="141">
        <v>1</v>
      </c>
      <c r="D68" s="126" t="s">
        <v>301</v>
      </c>
      <c r="E68" s="127" t="str">
        <f>IF(VLOOKUP(B68,'III - Waste'!$B:$G,6,FALSE)="","",VLOOKUP(B68,'III - Waste'!$B:$G,6,FALSE))</f>
        <v>NO</v>
      </c>
      <c r="F68" s="272">
        <f>SUMIF('III - Waste'!$B:$B,$B68,'III - Waste'!AA:AA)</f>
        <v>0</v>
      </c>
      <c r="G68" s="272">
        <f>SUMIF('III - Waste'!$B:$B,$B68,'III - Waste'!AB:AB)</f>
        <v>0</v>
      </c>
      <c r="H68" s="272">
        <f>SUMIF('III - Waste'!$B:$B,$B68,'III - Waste'!AC:AC)</f>
        <v>0</v>
      </c>
      <c r="I68" s="273"/>
      <c r="J68" s="273"/>
      <c r="K68" s="273"/>
      <c r="L68" s="273"/>
      <c r="M68" s="272">
        <f>SUMIF('III - Waste'!$B:$B,$B68,'III - Waste'!AD:AD)</f>
        <v>0</v>
      </c>
      <c r="N68" s="274">
        <f>SUMIF('III - Waste'!$B:$B,$B68,'III - Waste'!AE:AE)</f>
        <v>0</v>
      </c>
      <c r="O68" s="265" t="str">
        <f>IF(VLOOKUP($B68,'III - Waste'!$B:$AH,33,FALSE)="","",VLOOKUP($B68,'III - Waste'!$B:$AH,33,FALSE))</f>
        <v xml:space="preserve">There are no biological treatment of waste within the city boundaries </v>
      </c>
      <c r="P68" s="59"/>
      <c r="Q68" s="59"/>
      <c r="R68" s="59"/>
      <c r="S68" s="59"/>
      <c r="T68" s="59"/>
      <c r="U68" s="59"/>
      <c r="V68" s="59"/>
      <c r="W68" s="59"/>
      <c r="X68" s="59"/>
    </row>
    <row r="69" spans="1:24" s="60" customFormat="1" collapsed="1">
      <c r="A69" s="59"/>
      <c r="B69" s="140" t="s">
        <v>132</v>
      </c>
      <c r="C69" s="141">
        <v>3</v>
      </c>
      <c r="D69" s="126" t="s">
        <v>133</v>
      </c>
      <c r="E69" s="127" t="str">
        <f>IF(VLOOKUP(B69,'III - Waste'!$B:$G,6,FALSE)="","",VLOOKUP(B69,'III - Waste'!$B:$G,6,FALSE))</f>
        <v/>
      </c>
      <c r="F69" s="272">
        <f>SUMIF('III - Waste'!$B:$B,$B69,'III - Waste'!AA:AA)</f>
        <v>0</v>
      </c>
      <c r="G69" s="272">
        <f>SUMIF('III - Waste'!$B:$B,$B69,'III - Waste'!AB:AB)</f>
        <v>5261.6500000000005</v>
      </c>
      <c r="H69" s="272">
        <f>SUMIF('III - Waste'!$B:$B,$B69,'III - Waste'!AC:AC)</f>
        <v>0</v>
      </c>
      <c r="I69" s="273"/>
      <c r="J69" s="273"/>
      <c r="K69" s="273"/>
      <c r="L69" s="273"/>
      <c r="M69" s="272">
        <f>SUMIF('III - Waste'!$B:$B,$B69,'III - Waste'!AD:AD)</f>
        <v>5261.6500000000005</v>
      </c>
      <c r="N69" s="274">
        <f>SUMIF('III - Waste'!$B:$B,$B69,'III - Waste'!AE:AE)</f>
        <v>0</v>
      </c>
      <c r="O69" s="265" t="str">
        <f>IF(VLOOKUP($B69,'III - Waste'!$B:$AH,33,FALSE)="","",VLOOKUP($B69,'III - Waste'!$B:$AH,33,FALSE))</f>
        <v/>
      </c>
      <c r="P69" s="59"/>
      <c r="Q69" s="59"/>
      <c r="R69" s="59"/>
      <c r="S69" s="59"/>
      <c r="T69" s="59"/>
      <c r="U69" s="59"/>
      <c r="V69" s="59"/>
      <c r="W69" s="59"/>
      <c r="X69" s="59"/>
    </row>
    <row r="70" spans="1:24" s="60" customFormat="1" collapsed="1">
      <c r="A70" s="59"/>
      <c r="B70" s="135" t="s">
        <v>134</v>
      </c>
      <c r="C70" s="136">
        <v>1</v>
      </c>
      <c r="D70" s="137" t="s">
        <v>135</v>
      </c>
      <c r="E70" s="138" t="str">
        <f>IF(VLOOKUP(B70,'III - Waste'!$B:$G,6,FALSE)="","",VLOOKUP(B70,'III - Waste'!$B:$G,6,FALSE))</f>
        <v>NO</v>
      </c>
      <c r="F70" s="279">
        <f>SUMIF('III - Waste'!$B:$B,$B70,'III - Waste'!AA:AA)</f>
        <v>0</v>
      </c>
      <c r="G70" s="279">
        <f>SUMIF('III - Waste'!$B:$B,$B70,'III - Waste'!AB:AB)</f>
        <v>0</v>
      </c>
      <c r="H70" s="279">
        <f>SUMIF('III - Waste'!$B:$B,$B70,'III - Waste'!AC:AC)</f>
        <v>0</v>
      </c>
      <c r="I70" s="273"/>
      <c r="J70" s="273"/>
      <c r="K70" s="273"/>
      <c r="L70" s="273"/>
      <c r="M70" s="279">
        <f>SUMIF('III - Waste'!$B:$B,$B70,'III - Waste'!AD:AD)</f>
        <v>0</v>
      </c>
      <c r="N70" s="280">
        <f>SUMIF('III - Waste'!$B:$B,$B70,'III - Waste'!AE:AE)</f>
        <v>0</v>
      </c>
      <c r="O70" s="283" t="str">
        <f>IF(VLOOKUP($B70,'III - Waste'!$B:$AH,33,FALSE)="","",VLOOKUP($B70,'III - Waste'!$B:$AH,33,FALSE))</f>
        <v>There are no treatment of waste within the city boundaries</v>
      </c>
      <c r="P70" s="59"/>
      <c r="Q70" s="59"/>
      <c r="R70" s="59"/>
      <c r="S70" s="59"/>
      <c r="T70" s="59"/>
      <c r="U70" s="59"/>
      <c r="V70" s="59"/>
      <c r="W70" s="59"/>
      <c r="X70" s="59"/>
    </row>
    <row r="71" spans="1:24" s="60" customFormat="1">
      <c r="A71" s="59"/>
      <c r="B71" s="63" t="s">
        <v>167</v>
      </c>
      <c r="C71" s="64"/>
      <c r="D71" s="65" t="s">
        <v>136</v>
      </c>
      <c r="E71" s="66"/>
      <c r="F71" s="277"/>
      <c r="G71" s="277"/>
      <c r="H71" s="277"/>
      <c r="I71" s="277"/>
      <c r="J71" s="277"/>
      <c r="K71" s="277"/>
      <c r="L71" s="277"/>
      <c r="M71" s="277"/>
      <c r="N71" s="278"/>
      <c r="O71" s="264"/>
      <c r="P71" s="59"/>
      <c r="Q71" s="59"/>
      <c r="R71" s="59"/>
      <c r="S71" s="59"/>
      <c r="T71" s="59"/>
      <c r="U71" s="59"/>
      <c r="V71" s="59"/>
      <c r="W71" s="59"/>
      <c r="X71" s="59"/>
    </row>
    <row r="72" spans="1:24" s="60" customFormat="1" collapsed="1">
      <c r="A72" s="59"/>
      <c r="B72" s="124" t="s">
        <v>137</v>
      </c>
      <c r="C72" s="125">
        <v>1</v>
      </c>
      <c r="D72" s="126" t="s">
        <v>138</v>
      </c>
      <c r="E72" s="127" t="str">
        <f>IF(VLOOKUP(B72,'III - Waste'!$B:$G,6,FALSE)="","",VLOOKUP(B72,'III - Waste'!$B:$G,6,FALSE))</f>
        <v>NO</v>
      </c>
      <c r="F72" s="272">
        <f>SUMIF('III - Waste'!$B:$B,$B72,'III - Waste'!AA:AA)</f>
        <v>0</v>
      </c>
      <c r="G72" s="272">
        <f>SUMIF('III - Waste'!$B:$B,$B72,'III - Waste'!AB:AB)</f>
        <v>0</v>
      </c>
      <c r="H72" s="272">
        <f>SUMIF('III - Waste'!$B:$B,$B72,'III - Waste'!AC:AC)</f>
        <v>0</v>
      </c>
      <c r="I72" s="273"/>
      <c r="J72" s="273"/>
      <c r="K72" s="273"/>
      <c r="L72" s="273"/>
      <c r="M72" s="272">
        <f>SUMIF('III - Waste'!$B:$B,$B72,'III - Waste'!AD:AD)</f>
        <v>0</v>
      </c>
      <c r="N72" s="274">
        <f>SUMIF('III - Waste'!$B:$B,$B72,'III - Waste'!AE:AE)</f>
        <v>0</v>
      </c>
      <c r="O72" s="265" t="str">
        <f>IF(VLOOKUP($B72,'III - Waste'!$B:$AH,33,FALSE)="","",VLOOKUP($B72,'III - Waste'!$B:$AH,33,FALSE))</f>
        <v xml:space="preserve">Local law does not allow the city´s waste to be incinerated, at least until a disposed reduction target is reached (in the case of MSW). </v>
      </c>
      <c r="P72" s="59"/>
      <c r="Q72" s="59"/>
      <c r="R72" s="59"/>
      <c r="S72" s="59"/>
      <c r="T72" s="59"/>
      <c r="U72" s="59"/>
      <c r="V72" s="59"/>
      <c r="W72" s="59"/>
      <c r="X72" s="59"/>
    </row>
    <row r="73" spans="1:24" s="60" customFormat="1" collapsed="1">
      <c r="A73" s="59"/>
      <c r="B73" s="124" t="s">
        <v>139</v>
      </c>
      <c r="C73" s="125">
        <v>3</v>
      </c>
      <c r="D73" s="126" t="s">
        <v>140</v>
      </c>
      <c r="E73" s="127" t="str">
        <f>IF(VLOOKUP(B73,'III - Waste'!$B:$G,6,FALSE)="","",VLOOKUP(B73,'III - Waste'!$B:$G,6,FALSE))</f>
        <v>NO</v>
      </c>
      <c r="F73" s="272">
        <f>SUMIF('III - Waste'!$B:$B,$B73,'III - Waste'!AA:AA)</f>
        <v>0</v>
      </c>
      <c r="G73" s="272">
        <f>SUMIF('III - Waste'!$B:$B,$B73,'III - Waste'!AB:AB)</f>
        <v>0</v>
      </c>
      <c r="H73" s="272">
        <f>SUMIF('III - Waste'!$B:$B,$B73,'III - Waste'!AC:AC)</f>
        <v>0</v>
      </c>
      <c r="I73" s="273"/>
      <c r="J73" s="273"/>
      <c r="K73" s="273"/>
      <c r="L73" s="273"/>
      <c r="M73" s="272">
        <f>SUMIF('III - Waste'!$B:$B,$B73,'III - Waste'!AD:AD)</f>
        <v>0</v>
      </c>
      <c r="N73" s="274">
        <f>SUMIF('III - Waste'!$B:$B,$B73,'III - Waste'!AE:AE)</f>
        <v>0</v>
      </c>
      <c r="O73" s="265" t="str">
        <f>IF(VLOOKUP($B73,'III - Waste'!$B:$AH,33,FALSE)="","",VLOOKUP($B73,'III - Waste'!$B:$AH,33,FALSE))</f>
        <v xml:space="preserve">Local law does not allow the city´s waste to be incinerated, at least until a disposed reduction target is reached (in the case of MSW). </v>
      </c>
      <c r="P73" s="59"/>
      <c r="Q73" s="59"/>
      <c r="R73" s="59"/>
      <c r="S73" s="59"/>
      <c r="T73" s="59"/>
      <c r="U73" s="59"/>
      <c r="V73" s="59"/>
      <c r="W73" s="59"/>
      <c r="X73" s="59"/>
    </row>
    <row r="74" spans="1:24" s="60" customFormat="1" collapsed="1">
      <c r="A74" s="59"/>
      <c r="B74" s="135" t="s">
        <v>141</v>
      </c>
      <c r="C74" s="136">
        <v>1</v>
      </c>
      <c r="D74" s="137" t="s">
        <v>142</v>
      </c>
      <c r="E74" s="138" t="str">
        <f>IF(VLOOKUP(B74,'III - Waste'!$B:$G,6,FALSE)="","",VLOOKUP(B74,'III - Waste'!$B:$G,6,FALSE))</f>
        <v>NO</v>
      </c>
      <c r="F74" s="279">
        <f>SUMIF('III - Waste'!$B:$B,$B74,'III - Waste'!AA:AA)</f>
        <v>0</v>
      </c>
      <c r="G74" s="279">
        <f>SUMIF('III - Waste'!$B:$B,$B74,'III - Waste'!AB:AB)</f>
        <v>0</v>
      </c>
      <c r="H74" s="279">
        <f>SUMIF('III - Waste'!$B:$B,$B74,'III - Waste'!AC:AC)</f>
        <v>0</v>
      </c>
      <c r="I74" s="273"/>
      <c r="J74" s="273"/>
      <c r="K74" s="273"/>
      <c r="L74" s="273"/>
      <c r="M74" s="279">
        <f>SUMIF('III - Waste'!$B:$B,$B74,'III - Waste'!AD:AD)</f>
        <v>0</v>
      </c>
      <c r="N74" s="280">
        <f>SUMIF('III - Waste'!$B:$B,$B74,'III - Waste'!AE:AE)</f>
        <v>0</v>
      </c>
      <c r="O74" s="283" t="str">
        <f>IF(VLOOKUP($B74,'III - Waste'!$B:$AH,33,FALSE)="","",VLOOKUP($B74,'III - Waste'!$B:$AH,33,FALSE))</f>
        <v xml:space="preserve">Local law does not allow the city´s waste to be incinerated, at least until a disposed reduction target is reached (in the case of MSW). </v>
      </c>
      <c r="P74" s="59"/>
      <c r="Q74" s="59"/>
      <c r="R74" s="59"/>
      <c r="S74" s="59"/>
      <c r="T74" s="59"/>
      <c r="U74" s="59"/>
      <c r="V74" s="59"/>
      <c r="W74" s="59"/>
      <c r="X74" s="59"/>
    </row>
    <row r="75" spans="1:24" s="60" customFormat="1">
      <c r="A75" s="59"/>
      <c r="B75" s="63" t="s">
        <v>168</v>
      </c>
      <c r="C75" s="64"/>
      <c r="D75" s="65" t="s">
        <v>143</v>
      </c>
      <c r="E75" s="66"/>
      <c r="F75" s="277"/>
      <c r="G75" s="277"/>
      <c r="H75" s="277"/>
      <c r="I75" s="277"/>
      <c r="J75" s="277"/>
      <c r="K75" s="277"/>
      <c r="L75" s="277"/>
      <c r="M75" s="277"/>
      <c r="N75" s="278"/>
      <c r="O75" s="264"/>
      <c r="P75" s="59"/>
      <c r="Q75" s="59"/>
      <c r="R75" s="59"/>
      <c r="S75" s="59"/>
      <c r="T75" s="59"/>
      <c r="U75" s="59"/>
      <c r="V75" s="59"/>
      <c r="W75" s="59"/>
      <c r="X75" s="59"/>
    </row>
    <row r="76" spans="1:24" s="60" customFormat="1" collapsed="1">
      <c r="A76" s="59"/>
      <c r="B76" s="124" t="s">
        <v>144</v>
      </c>
      <c r="C76" s="125">
        <v>1</v>
      </c>
      <c r="D76" s="126" t="s">
        <v>145</v>
      </c>
      <c r="E76" s="127" t="str">
        <f>IF(VLOOKUP(B76,'III - Waste'!$B:$G,6,FALSE)="","",VLOOKUP(B76,'III - Waste'!$B:$G,6,FALSE))</f>
        <v/>
      </c>
      <c r="F76" s="272">
        <f>SUMIF('III - Waste'!$B:$B,$B76,'III - Waste'!AA:AA)</f>
        <v>0</v>
      </c>
      <c r="G76" s="272">
        <f>SUMIF('III - Waste'!$B:$B,$B76,'III - Waste'!AB:AB)</f>
        <v>55390.376263450562</v>
      </c>
      <c r="H76" s="272">
        <f>SUMIF('III - Waste'!$B:$B,$B76,'III - Waste'!AC:AC)</f>
        <v>0</v>
      </c>
      <c r="I76" s="273"/>
      <c r="J76" s="273"/>
      <c r="K76" s="273"/>
      <c r="L76" s="273"/>
      <c r="M76" s="272">
        <f>SUMIF('III - Waste'!$B:$B,$B76,'III - Waste'!AD:AD)</f>
        <v>55390.376263450562</v>
      </c>
      <c r="N76" s="274">
        <f>SUMIF('III - Waste'!$B:$B,$B76,'III - Waste'!AE:AE)</f>
        <v>0</v>
      </c>
      <c r="O76" s="265" t="str">
        <f>IF(VLOOKUP($B76,'III - Waste'!$B:$AH,33,FALSE)="","",VLOOKUP($B76,'III - Waste'!$B:$AH,33,FALSE))</f>
        <v/>
      </c>
      <c r="P76" s="59"/>
      <c r="Q76" s="59"/>
      <c r="R76" s="59"/>
      <c r="S76" s="59"/>
      <c r="T76" s="59"/>
      <c r="U76" s="59"/>
      <c r="V76" s="59"/>
      <c r="W76" s="59"/>
      <c r="X76" s="59"/>
    </row>
    <row r="77" spans="1:24" s="60" customFormat="1" collapsed="1">
      <c r="A77" s="59"/>
      <c r="B77" s="124" t="s">
        <v>146</v>
      </c>
      <c r="C77" s="125">
        <v>3</v>
      </c>
      <c r="D77" s="126" t="s">
        <v>147</v>
      </c>
      <c r="E77" s="127" t="str">
        <f>IF(VLOOKUP(B77,'III - Waste'!$B:$G,6,FALSE)="","",VLOOKUP(B77,'III - Waste'!$B:$G,6,FALSE))</f>
        <v/>
      </c>
      <c r="F77" s="272">
        <f>SUMIF('III - Waste'!$B:$B,$B77,'III - Waste'!AA:AA)</f>
        <v>0</v>
      </c>
      <c r="G77" s="272">
        <f>SUMIF('III - Waste'!$B:$B,$B77,'III - Waste'!AB:AB)</f>
        <v>15368</v>
      </c>
      <c r="H77" s="272">
        <f>SUMIF('III - Waste'!$B:$B,$B77,'III - Waste'!AC:AC)</f>
        <v>67818</v>
      </c>
      <c r="I77" s="273"/>
      <c r="J77" s="273"/>
      <c r="K77" s="273"/>
      <c r="L77" s="273"/>
      <c r="M77" s="272">
        <f>SUMIF('III - Waste'!$B:$B,$B77,'III - Waste'!AD:AD)</f>
        <v>83186</v>
      </c>
      <c r="N77" s="274">
        <f>SUMIF('III - Waste'!$B:$B,$B77,'III - Waste'!AE:AE)</f>
        <v>0</v>
      </c>
      <c r="O77" s="265" t="str">
        <f>IF(VLOOKUP($B77,'III - Waste'!$B:$AH,33,FALSE)="","",VLOOKUP($B77,'III - Waste'!$B:$AH,33,FALSE))</f>
        <v/>
      </c>
      <c r="P77" s="59"/>
      <c r="Q77" s="59"/>
      <c r="R77" s="59"/>
      <c r="S77" s="59"/>
      <c r="T77" s="59"/>
      <c r="U77" s="59"/>
      <c r="V77" s="59"/>
      <c r="W77" s="59"/>
      <c r="X77" s="59"/>
    </row>
    <row r="78" spans="1:24" s="60" customFormat="1" collapsed="1">
      <c r="A78" s="59"/>
      <c r="B78" s="135" t="s">
        <v>148</v>
      </c>
      <c r="C78" s="136">
        <v>1</v>
      </c>
      <c r="D78" s="137" t="s">
        <v>149</v>
      </c>
      <c r="E78" s="138" t="str">
        <f>IF(VLOOKUP(B78,'III - Waste'!$B:$G,6,FALSE)="","",VLOOKUP(B78,'III - Waste'!$B:$G,6,FALSE))</f>
        <v>NO</v>
      </c>
      <c r="F78" s="279">
        <f>SUMIF('III - Waste'!$B:$B,$B78,'III - Waste'!AA:AA)</f>
        <v>0</v>
      </c>
      <c r="G78" s="279">
        <f>SUMIF('III - Waste'!$B:$B,$B78,'III - Waste'!AB:AB)</f>
        <v>0</v>
      </c>
      <c r="H78" s="279">
        <f>SUMIF('III - Waste'!$B:$B,$B78,'III - Waste'!AC:AC)</f>
        <v>0</v>
      </c>
      <c r="I78" s="273"/>
      <c r="J78" s="273"/>
      <c r="K78" s="273"/>
      <c r="L78" s="273"/>
      <c r="M78" s="279">
        <f>SUMIF('III - Waste'!$B:$B,$B78,'III - Waste'!AD:AD)</f>
        <v>0</v>
      </c>
      <c r="N78" s="280">
        <f>SUMIF('III - Waste'!$B:$B,$B78,'III - Waste'!AE:AE)</f>
        <v>0</v>
      </c>
      <c r="O78" s="283" t="str">
        <f>IF(VLOOKUP($B78,'III - Waste'!$B:$AH,33,FALSE)="","",VLOOKUP($B78,'III - Waste'!$B:$AH,33,FALSE))</f>
        <v>There is no wastewater generated outside the city limits treated within it</v>
      </c>
      <c r="P78" s="59"/>
      <c r="Q78" s="59"/>
      <c r="R78" s="59"/>
      <c r="S78" s="59"/>
      <c r="T78" s="59"/>
      <c r="U78" s="59"/>
      <c r="V78" s="59"/>
      <c r="W78" s="59"/>
      <c r="X78" s="59"/>
    </row>
    <row r="79" spans="1:24" s="60" customFormat="1">
      <c r="A79" s="59"/>
      <c r="B79" s="63" t="s">
        <v>150</v>
      </c>
      <c r="C79" s="447">
        <v>1</v>
      </c>
      <c r="D79" s="65" t="s">
        <v>151</v>
      </c>
      <c r="E79" s="66"/>
      <c r="F79" s="277"/>
      <c r="G79" s="277"/>
      <c r="H79" s="277"/>
      <c r="I79" s="277"/>
      <c r="J79" s="277"/>
      <c r="K79" s="277"/>
      <c r="L79" s="277"/>
      <c r="M79" s="277"/>
      <c r="N79" s="278"/>
      <c r="O79" s="264"/>
      <c r="P79" s="59"/>
      <c r="Q79" s="59"/>
      <c r="R79" s="59"/>
      <c r="S79" s="59"/>
      <c r="T79" s="59"/>
      <c r="U79" s="59"/>
      <c r="V79" s="59"/>
      <c r="W79" s="59"/>
      <c r="X79" s="59"/>
    </row>
    <row r="80" spans="1:24" s="60" customFormat="1" collapsed="1">
      <c r="A80" s="59"/>
      <c r="B80" s="132" t="s">
        <v>152</v>
      </c>
      <c r="C80" s="133">
        <v>1</v>
      </c>
      <c r="D80" s="134" t="s">
        <v>153</v>
      </c>
      <c r="E80" s="139" t="str">
        <f>IF(VLOOKUP(B80,'IV - IPPU'!$B:$F,5,FALSE)="","",VLOOKUP(B80,'IV - IPPU'!$B:$F,5,FALSE))</f>
        <v>NO</v>
      </c>
      <c r="F80" s="275">
        <f>SUMIF('IV - IPPU'!$B:$B,$B80,'IV - IPPU'!AT:AT)</f>
        <v>0</v>
      </c>
      <c r="G80" s="275">
        <f>SUMIF('IV - IPPU'!$B:$B,$B80,'IV - IPPU'!AU:AU)</f>
        <v>0</v>
      </c>
      <c r="H80" s="275">
        <f>SUMIF('IV - IPPU'!$B:$B,$B80,'IV - IPPU'!AV:AV)</f>
        <v>0</v>
      </c>
      <c r="I80" s="275">
        <f>SUMIF('IV - IPPU'!$B:$B,$B80,'IV - IPPU'!AW:AW)</f>
        <v>0</v>
      </c>
      <c r="J80" s="275">
        <f>SUMIF('IV - IPPU'!$B:$B,$B80,'IV - IPPU'!AX:AX)</f>
        <v>0</v>
      </c>
      <c r="K80" s="275">
        <f>SUMIF('IV - IPPU'!$B:$B,$B80,'IV - IPPU'!AY:AY)</f>
        <v>0</v>
      </c>
      <c r="L80" s="275">
        <f>SUMIF('IV - IPPU'!$B:$B,$B80,'IV - IPPU'!AZ:AZ)</f>
        <v>0</v>
      </c>
      <c r="M80" s="275">
        <f>SUMIF('IV - IPPU'!$B:$B,$B80,'IV - IPPU'!BA:BA)</f>
        <v>0</v>
      </c>
      <c r="N80" s="276">
        <f>SUMIF('IV - IPPU'!$B:$B,$B80,'IV - IPPU'!BB:BB)</f>
        <v>0</v>
      </c>
      <c r="O80" s="266" t="str">
        <f>IF(VLOOKUP($B80,'IV - IPPU'!$B:$BE,56,FALSE)="","",VLOOKUP($B80,'IV - IPPU'!$B:$BE,56,FALSE))</f>
        <v xml:space="preserve">According to experts criteria, there are no IPPU GHG emissions to report for the city. Cement, lime, plain glass and iron and steal casting industries are not allow to install within the city boundary, as well as pesticides and other chemical products of agriculture use production indutries. </v>
      </c>
      <c r="P80" s="59"/>
      <c r="Q80" s="59"/>
      <c r="R80" s="59"/>
      <c r="S80" s="59"/>
      <c r="T80" s="59"/>
      <c r="U80" s="59"/>
      <c r="V80" s="59"/>
      <c r="W80" s="59"/>
      <c r="X80" s="59"/>
    </row>
    <row r="81" spans="1:24" s="60" customFormat="1" collapsed="1">
      <c r="A81" s="59"/>
      <c r="B81" s="132" t="s">
        <v>154</v>
      </c>
      <c r="C81" s="133">
        <v>1</v>
      </c>
      <c r="D81" s="134" t="s">
        <v>155</v>
      </c>
      <c r="E81" s="139" t="str">
        <f>IF(VLOOKUP(B81,'IV - IPPU'!$B:$F,5,FALSE)="","",VLOOKUP(B81,'IV - IPPU'!$B:$F,5,FALSE))</f>
        <v>NE</v>
      </c>
      <c r="F81" s="275">
        <f>SUMIF('IV - IPPU'!$B:$B,$B81,'IV - IPPU'!AT:AT)</f>
        <v>0</v>
      </c>
      <c r="G81" s="275">
        <f>SUMIF('IV - IPPU'!$B:$B,$B81,'IV - IPPU'!AU:AU)</f>
        <v>0</v>
      </c>
      <c r="H81" s="275">
        <f>SUMIF('IV - IPPU'!$B:$B,$B81,'IV - IPPU'!AV:AV)</f>
        <v>0</v>
      </c>
      <c r="I81" s="275">
        <f>SUMIF('IV - IPPU'!$B:$B,$B81,'IV - IPPU'!AW:AW)</f>
        <v>0</v>
      </c>
      <c r="J81" s="275">
        <f>SUMIF('IV - IPPU'!$B:$B,$B81,'IV - IPPU'!AX:AX)</f>
        <v>0</v>
      </c>
      <c r="K81" s="275">
        <f>SUMIF('IV - IPPU'!$B:$B,$B81,'IV - IPPU'!AY:AY)</f>
        <v>0</v>
      </c>
      <c r="L81" s="275">
        <f>SUMIF('IV - IPPU'!$B:$B,$B81,'IV - IPPU'!AZ:AZ)</f>
        <v>0</v>
      </c>
      <c r="M81" s="275">
        <f>SUMIF('IV - IPPU'!$B:$B,$B81,'IV - IPPU'!BA:BA)</f>
        <v>0</v>
      </c>
      <c r="N81" s="276">
        <f>SUMIF('IV - IPPU'!$B:$B,$B81,'IV - IPPU'!BB:BB)</f>
        <v>0</v>
      </c>
      <c r="O81" s="266" t="str">
        <f>IF(VLOOKUP($B81,'IV - IPPU'!$B:$BE,56,FALSE)="","",VLOOKUP($B81,'IV - IPPU'!$B:$BE,56,FALSE))</f>
        <v xml:space="preserve">The City is working to gather information to report GHG emissions for product use. No information at a national level (Third National Communication).  </v>
      </c>
      <c r="P81" s="59"/>
      <c r="Q81" s="59"/>
      <c r="R81" s="59"/>
      <c r="S81" s="59"/>
      <c r="T81" s="59"/>
      <c r="U81" s="59"/>
      <c r="V81" s="59"/>
      <c r="W81" s="59"/>
      <c r="X81" s="59"/>
    </row>
    <row r="82" spans="1:24" s="60" customFormat="1">
      <c r="A82" s="59"/>
      <c r="B82" s="63" t="s">
        <v>156</v>
      </c>
      <c r="C82" s="447">
        <v>1</v>
      </c>
      <c r="D82" s="65" t="s">
        <v>157</v>
      </c>
      <c r="E82" s="66"/>
      <c r="F82" s="277"/>
      <c r="G82" s="277"/>
      <c r="H82" s="277"/>
      <c r="I82" s="277"/>
      <c r="J82" s="277"/>
      <c r="K82" s="277"/>
      <c r="L82" s="277"/>
      <c r="M82" s="277"/>
      <c r="N82" s="278"/>
      <c r="O82" s="264"/>
      <c r="P82" s="59"/>
      <c r="Q82" s="59"/>
      <c r="R82" s="59"/>
      <c r="S82" s="59"/>
      <c r="T82" s="59"/>
      <c r="U82" s="59"/>
      <c r="V82" s="59"/>
      <c r="W82" s="59"/>
      <c r="X82" s="59"/>
    </row>
    <row r="83" spans="1:24" s="60" customFormat="1" collapsed="1">
      <c r="A83" s="59"/>
      <c r="B83" s="132" t="s">
        <v>158</v>
      </c>
      <c r="C83" s="133">
        <v>1</v>
      </c>
      <c r="D83" s="134" t="s">
        <v>159</v>
      </c>
      <c r="E83" s="139" t="str">
        <f>IF(VLOOKUP(B83,'V - AFOLU'!$B:$F,5,FALSE)="","",VLOOKUP(B83,'V - AFOLU'!$B:$F,5,FALSE))</f>
        <v>NO</v>
      </c>
      <c r="F83" s="275">
        <f>SUMIF('V - AFOLU'!$B:$B,$B83,'V - AFOLU'!Z:Z)</f>
        <v>0</v>
      </c>
      <c r="G83" s="275">
        <f>SUMIF('V - AFOLU'!$B:$B,$B83,'V - AFOLU'!AA:AA)</f>
        <v>0</v>
      </c>
      <c r="H83" s="275">
        <f>SUMIF('V - AFOLU'!$B:$B,$B83,'V - AFOLU'!AB:AB)</f>
        <v>0</v>
      </c>
      <c r="I83" s="273"/>
      <c r="J83" s="273"/>
      <c r="K83" s="273"/>
      <c r="L83" s="273"/>
      <c r="M83" s="275">
        <f>SUMIF('V - AFOLU'!$B:$B,$B83,'V - AFOLU'!AC:AC)</f>
        <v>0</v>
      </c>
      <c r="N83" s="276">
        <f>SUMIF('V - AFOLU'!$B:$B,$B83,'V - AFOLU'!AD:AD)</f>
        <v>0</v>
      </c>
      <c r="O83" s="266" t="str">
        <f>IF(VLOOKUP($B83,'V - AFOLU'!$B:$AG,32,FALSE)="","",VLOOKUP($B83,'V - AFOLU'!$B:$AG,32,FALSE))</f>
        <v>V.1 does not occur. The city is 100% urban with no livestock farming activity, just a meat market with 20.000 heads sold per week</v>
      </c>
      <c r="P83" s="59"/>
      <c r="Q83" s="59"/>
      <c r="R83" s="59"/>
      <c r="S83" s="59"/>
      <c r="T83" s="59"/>
      <c r="U83" s="59"/>
      <c r="V83" s="59"/>
      <c r="W83" s="59"/>
      <c r="X83" s="59"/>
    </row>
    <row r="84" spans="1:24" s="60" customFormat="1" collapsed="1">
      <c r="A84" s="59"/>
      <c r="B84" s="132" t="s">
        <v>169</v>
      </c>
      <c r="C84" s="133">
        <v>1</v>
      </c>
      <c r="D84" s="134" t="s">
        <v>160</v>
      </c>
      <c r="E84" s="139" t="str">
        <f>IF(VLOOKUP(B84,'V - AFOLU'!$B:$F,5,FALSE)="","",VLOOKUP(B84,'V - AFOLU'!$B:$F,5,FALSE))</f>
        <v>NO</v>
      </c>
      <c r="F84" s="275">
        <f>SUMIF('V - AFOLU'!$B:$B,$B84,'V - AFOLU'!Z:Z)</f>
        <v>0</v>
      </c>
      <c r="G84" s="275">
        <f>SUMIF('V - AFOLU'!$B:$B,$B84,'V - AFOLU'!AA:AA)</f>
        <v>0</v>
      </c>
      <c r="H84" s="275">
        <f>SUMIF('V - AFOLU'!$B:$B,$B84,'V - AFOLU'!AB:AB)</f>
        <v>0</v>
      </c>
      <c r="I84" s="273"/>
      <c r="J84" s="273"/>
      <c r="K84" s="273"/>
      <c r="L84" s="273"/>
      <c r="M84" s="275">
        <f>SUMIF('V - AFOLU'!$B:$B,$B84,'V - AFOLU'!AC:AC)</f>
        <v>0</v>
      </c>
      <c r="N84" s="276">
        <f>SUMIF('V - AFOLU'!$B:$B,$B84,'V - AFOLU'!AD:AD)</f>
        <v>0</v>
      </c>
      <c r="O84" s="266" t="str">
        <f>IF(VLOOKUP($B84,'V - AFOLU'!$B:$AG,32,FALSE)="","",VLOOKUP($B84,'V - AFOLU'!$B:$AG,32,FALSE))</f>
        <v>V.2 does not occur. The city has no agriculture activity and emissions from land use changes is considered to be insignificant. Furthermore, studies will take place in the medium term</v>
      </c>
      <c r="P84" s="59"/>
      <c r="Q84" s="59"/>
      <c r="R84" s="59"/>
      <c r="S84" s="59"/>
      <c r="T84" s="59"/>
      <c r="U84" s="59"/>
      <c r="V84" s="59"/>
      <c r="W84" s="59"/>
      <c r="X84" s="59"/>
    </row>
    <row r="85" spans="1:24" s="60" customFormat="1">
      <c r="A85" s="59"/>
      <c r="B85" s="132" t="s">
        <v>170</v>
      </c>
      <c r="C85" s="133">
        <v>1</v>
      </c>
      <c r="D85" s="134" t="s">
        <v>161</v>
      </c>
      <c r="E85" s="139" t="str">
        <f>IF(VLOOKUP(B85,'V - AFOLU'!$B:$F,5,FALSE)="","",VLOOKUP(B85,'V - AFOLU'!$B:$F,5,FALSE))</f>
        <v>NO</v>
      </c>
      <c r="F85" s="275">
        <f>SUMIF('V - AFOLU'!$B:$B,$B85,'V - AFOLU'!Z:Z)</f>
        <v>0</v>
      </c>
      <c r="G85" s="275">
        <f>SUMIF('V - AFOLU'!$B:$B,$B85,'V - AFOLU'!AA:AA)</f>
        <v>0</v>
      </c>
      <c r="H85" s="275">
        <f>SUMIF('V - AFOLU'!$B:$B,$B85,'V - AFOLU'!AB:AB)</f>
        <v>0</v>
      </c>
      <c r="I85" s="273"/>
      <c r="J85" s="273"/>
      <c r="K85" s="273"/>
      <c r="L85" s="273"/>
      <c r="M85" s="275">
        <f>SUMIF('V - AFOLU'!$B:$B,$B85,'V - AFOLU'!AC:AC)</f>
        <v>0</v>
      </c>
      <c r="N85" s="276">
        <f>SUMIF('V - AFOLU'!$B:$B,$B85,'V - AFOLU'!AD:AD)</f>
        <v>0</v>
      </c>
      <c r="O85" s="266" t="str">
        <f>IF(VLOOKUP($B85,'V - AFOLU'!$B:$AG,32,FALSE)="","",VLOOKUP($B85,'V - AFOLU'!$B:$AG,32,FALSE))</f>
        <v>V.3 does not occur. No non-CO2 emission sources activities take place within the city boundary</v>
      </c>
      <c r="P85" s="59"/>
      <c r="Q85" s="59"/>
      <c r="R85" s="59"/>
      <c r="S85" s="59"/>
      <c r="T85" s="59"/>
      <c r="U85" s="59"/>
      <c r="V85" s="59"/>
      <c r="W85" s="59"/>
      <c r="X85" s="59"/>
    </row>
    <row r="86" spans="1:24" s="60" customFormat="1">
      <c r="A86" s="59"/>
      <c r="B86" s="63" t="s">
        <v>162</v>
      </c>
      <c r="C86" s="447">
        <v>3</v>
      </c>
      <c r="D86" s="65" t="s">
        <v>37</v>
      </c>
      <c r="E86" s="66"/>
      <c r="F86" s="277"/>
      <c r="G86" s="277"/>
      <c r="H86" s="277"/>
      <c r="I86" s="277"/>
      <c r="J86" s="277"/>
      <c r="K86" s="277"/>
      <c r="L86" s="277"/>
      <c r="M86" s="277"/>
      <c r="N86" s="278"/>
      <c r="O86" s="264"/>
      <c r="P86" s="59"/>
      <c r="Q86" s="59"/>
      <c r="R86" s="59"/>
      <c r="S86" s="59"/>
      <c r="T86" s="59"/>
      <c r="U86" s="59"/>
      <c r="V86" s="59"/>
      <c r="W86" s="59"/>
      <c r="X86" s="59"/>
    </row>
    <row r="87" spans="1:24" s="60" customFormat="1" ht="16.5" collapsed="1" thickBot="1">
      <c r="A87" s="59"/>
      <c r="B87" s="142" t="s">
        <v>163</v>
      </c>
      <c r="C87" s="143">
        <v>3</v>
      </c>
      <c r="D87" s="144" t="s">
        <v>164</v>
      </c>
      <c r="E87" s="145" t="str">
        <f>IF(VLOOKUP(B87,'VI - Other scope 3'!$B:$F,5,FALSE)="","",VLOOKUP(B87,'VI - Other scope 3'!$B:$F,5,FALSE))</f>
        <v>NO</v>
      </c>
      <c r="F87" s="281">
        <f>SUMIF('VI - Other scope 3'!$B:$B,$B87,'VI - Other scope 3'!AT:AT)</f>
        <v>0</v>
      </c>
      <c r="G87" s="281">
        <f>SUMIF('VI - Other scope 3'!$B:$B,$B87,'VI - Other scope 3'!AU:AU)</f>
        <v>0</v>
      </c>
      <c r="H87" s="281">
        <f>SUMIF('VI - Other scope 3'!$B:$B,$B87,'VI - Other scope 3'!AV:AV)</f>
        <v>0</v>
      </c>
      <c r="I87" s="630">
        <f>SUMIF('VI - Other scope 3'!$B:$B,$B87,'VI - Other scope 3'!AW:AW)</f>
        <v>0</v>
      </c>
      <c r="J87" s="630">
        <f>SUMIF('VI - Other scope 3'!$B:$B,$B87,'VI - Other scope 3'!AX:AX)</f>
        <v>0</v>
      </c>
      <c r="K87" s="630">
        <f>SUMIF('VI - Other scope 3'!$B:$B,$B87,'VI - Other scope 3'!AY:AY)</f>
        <v>0</v>
      </c>
      <c r="L87" s="630">
        <f>SUMIF('VI - Other scope 3'!$B:$B,$B87,'VI - Other scope 3'!AZ:AZ)</f>
        <v>0</v>
      </c>
      <c r="M87" s="281">
        <f>SUMIF('VI - Other scope 3'!$B:$B,$B87,'VI - Other scope 3'!BA:BA)</f>
        <v>0</v>
      </c>
      <c r="N87" s="282">
        <f>SUMIF('VI - Other scope 3'!$B:$B,$B87,'VI - Other scope 3'!BB:BB)</f>
        <v>0</v>
      </c>
      <c r="O87" s="267" t="str">
        <f>IF(VLOOKUP($B87,'VI - Other scope 3'!$B:$BE,56,FALSE)="","",VLOOKUP($B87,'VI - Other scope 3'!$B:$BE,56,FALSE))</f>
        <v>At the moment there are no further sources the City would like to report</v>
      </c>
      <c r="P87" s="59"/>
      <c r="Q87" s="59"/>
      <c r="R87" s="59"/>
      <c r="S87" s="59"/>
      <c r="T87" s="59"/>
      <c r="U87" s="59"/>
      <c r="V87" s="59"/>
      <c r="W87" s="59"/>
      <c r="X87" s="59"/>
    </row>
    <row r="88" spans="1:24" s="59" customFormat="1">
      <c r="B88" s="146"/>
      <c r="C88" s="146"/>
      <c r="E88" s="122"/>
    </row>
    <row r="89" spans="1:24" s="59" customFormat="1">
      <c r="B89" s="146"/>
      <c r="C89" s="146"/>
      <c r="E89" s="122"/>
    </row>
    <row r="90" spans="1:24" s="59" customFormat="1">
      <c r="B90" s="146"/>
      <c r="C90" s="146"/>
      <c r="E90" s="122"/>
    </row>
    <row r="91" spans="1:24" s="55" customFormat="1">
      <c r="B91" s="56"/>
      <c r="C91" s="56"/>
      <c r="E91" s="268"/>
    </row>
    <row r="92" spans="1:24" s="55" customFormat="1">
      <c r="B92" s="56"/>
      <c r="C92" s="56"/>
      <c r="E92" s="268"/>
    </row>
    <row r="93" spans="1:24" s="55" customFormat="1">
      <c r="B93" s="56"/>
      <c r="C93" s="56"/>
      <c r="E93" s="268"/>
    </row>
    <row r="94" spans="1:24" s="55" customFormat="1">
      <c r="B94" s="56"/>
      <c r="C94" s="56"/>
      <c r="E94" s="268"/>
    </row>
    <row r="95" spans="1:24" s="55" customFormat="1">
      <c r="B95" s="56"/>
      <c r="C95" s="56"/>
      <c r="E95" s="268"/>
    </row>
    <row r="96" spans="1:24" s="55" customFormat="1">
      <c r="B96" s="56"/>
      <c r="C96" s="56"/>
      <c r="E96" s="268"/>
    </row>
    <row r="97" spans="2:5" s="55" customFormat="1">
      <c r="B97" s="56"/>
      <c r="C97" s="56"/>
      <c r="E97" s="268"/>
    </row>
    <row r="98" spans="2:5" s="55" customFormat="1">
      <c r="B98" s="56"/>
      <c r="C98" s="56"/>
      <c r="E98" s="268"/>
    </row>
    <row r="99" spans="2:5" s="55" customFormat="1">
      <c r="B99" s="56"/>
      <c r="C99" s="56"/>
      <c r="E99" s="268"/>
    </row>
    <row r="100" spans="2:5" s="55" customFormat="1">
      <c r="B100" s="56"/>
      <c r="C100" s="56"/>
      <c r="E100" s="268"/>
    </row>
    <row r="101" spans="2:5" s="55" customFormat="1">
      <c r="B101" s="56"/>
      <c r="C101" s="56"/>
      <c r="E101" s="268"/>
    </row>
    <row r="102" spans="2:5" s="55" customFormat="1">
      <c r="B102" s="56"/>
      <c r="C102" s="56"/>
      <c r="E102" s="268"/>
    </row>
    <row r="103" spans="2:5" s="55" customFormat="1">
      <c r="B103" s="56"/>
      <c r="C103" s="56"/>
      <c r="E103" s="268"/>
    </row>
    <row r="104" spans="2:5" s="55" customFormat="1">
      <c r="B104" s="56"/>
      <c r="C104" s="56"/>
      <c r="E104" s="268"/>
    </row>
    <row r="105" spans="2:5" s="55" customFormat="1">
      <c r="B105" s="56"/>
      <c r="C105" s="56"/>
      <c r="E105" s="268"/>
    </row>
    <row r="106" spans="2:5" s="55" customFormat="1">
      <c r="B106" s="56"/>
      <c r="C106" s="56"/>
      <c r="E106" s="268"/>
    </row>
    <row r="107" spans="2:5" s="55" customFormat="1">
      <c r="B107" s="56"/>
      <c r="C107" s="56"/>
      <c r="E107" s="268"/>
    </row>
    <row r="108" spans="2:5" s="55" customFormat="1">
      <c r="B108" s="56"/>
      <c r="C108" s="56"/>
      <c r="E108" s="268"/>
    </row>
    <row r="109" spans="2:5" s="55" customFormat="1">
      <c r="B109" s="56"/>
      <c r="C109" s="56"/>
      <c r="E109" s="268"/>
    </row>
    <row r="110" spans="2:5" s="55" customFormat="1">
      <c r="B110" s="56"/>
      <c r="C110" s="56"/>
      <c r="E110" s="268"/>
    </row>
    <row r="111" spans="2:5" s="55" customFormat="1">
      <c r="B111" s="56"/>
      <c r="C111" s="56"/>
      <c r="E111" s="268"/>
    </row>
    <row r="112" spans="2:5" s="55" customFormat="1">
      <c r="B112" s="56"/>
      <c r="C112" s="56"/>
      <c r="E112" s="268"/>
    </row>
    <row r="113" spans="2:5" s="55" customFormat="1">
      <c r="B113" s="56"/>
      <c r="C113" s="56"/>
      <c r="E113" s="268"/>
    </row>
    <row r="114" spans="2:5" s="55" customFormat="1">
      <c r="B114" s="56"/>
      <c r="C114" s="56"/>
      <c r="E114" s="268"/>
    </row>
    <row r="115" spans="2:5" s="55" customFormat="1">
      <c r="B115" s="56"/>
      <c r="C115" s="56"/>
      <c r="E115" s="268"/>
    </row>
  </sheetData>
  <sheetProtection algorithmName="SHA-512" hashValue="GWl23XMdlT/SjgNva+PIkC2f4X+UDGjlE5/KII8fD5GYmc4sUB9yHmp6EmjruiEvoPw7IbApT5wFdWB2NYmZgA==" saltValue="2kFGNPEwqBwe4UYuqTQUFA==" spinCount="100000" sheet="1" objects="1" scenarios="1" selectLockedCells="1"/>
  <mergeCells count="6">
    <mergeCell ref="O8:O9"/>
    <mergeCell ref="B8:B9"/>
    <mergeCell ref="C8:C9"/>
    <mergeCell ref="D8:D9"/>
    <mergeCell ref="F8:N8"/>
    <mergeCell ref="E8:E9"/>
  </mergeCells>
  <phoneticPr fontId="10" type="noConversion"/>
  <pageMargins left="0.16" right="0.16" top="0.16" bottom="0.16" header="0.16" footer="0.16"/>
  <pageSetup paperSize="9" scale="50" fitToWidth="2" fitToHeight="2" orientation="landscape" horizontalDpi="4294967292" verticalDpi="429496729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249977111117893"/>
  </sheetPr>
  <dimension ref="A1"/>
  <sheetViews>
    <sheetView workbookViewId="0"/>
  </sheetViews>
  <sheetFormatPr defaultColWidth="11" defaultRowHeight="15.75"/>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0"/>
    <outlinePr summaryBelow="0"/>
    <pageSetUpPr autoPageBreaks="0" fitToPage="1"/>
  </sheetPr>
  <dimension ref="A1:BC261"/>
  <sheetViews>
    <sheetView showZeros="0" workbookViewId="0"/>
  </sheetViews>
  <sheetFormatPr defaultColWidth="10.875" defaultRowHeight="15.75"/>
  <cols>
    <col min="1" max="1" width="1.875" style="316" customWidth="1"/>
    <col min="2" max="2" width="10.5" style="363" customWidth="1"/>
    <col min="3" max="3" width="10.5" style="358" customWidth="1"/>
    <col min="4" max="4" width="52.375" style="358" customWidth="1"/>
    <col min="5" max="9" width="12.375" style="358" customWidth="1"/>
    <col min="10" max="10" width="1.875" style="316" customWidth="1"/>
    <col min="11" max="55" width="10.875" style="356"/>
    <col min="56" max="16384" width="10.875" style="358"/>
  </cols>
  <sheetData>
    <row r="1" spans="1:55" s="316" customFormat="1">
      <c r="A1" s="59"/>
      <c r="B1" s="317"/>
      <c r="K1" s="356"/>
      <c r="L1" s="356"/>
      <c r="M1" s="356"/>
      <c r="N1" s="356"/>
      <c r="O1" s="356"/>
      <c r="P1" s="356"/>
      <c r="Q1" s="356"/>
      <c r="R1" s="356"/>
      <c r="S1" s="356"/>
      <c r="T1" s="356"/>
      <c r="U1" s="356"/>
      <c r="V1" s="356"/>
      <c r="W1" s="356"/>
      <c r="X1" s="356"/>
      <c r="Y1" s="356"/>
      <c r="Z1" s="356"/>
      <c r="AA1" s="356"/>
      <c r="AB1" s="356"/>
      <c r="AC1" s="356"/>
      <c r="AD1" s="356"/>
      <c r="AE1" s="356"/>
      <c r="AF1" s="356"/>
      <c r="AG1" s="356"/>
      <c r="AH1" s="356"/>
      <c r="AI1" s="356"/>
      <c r="AJ1" s="356"/>
      <c r="AK1" s="356"/>
      <c r="AL1" s="356"/>
      <c r="AM1" s="356"/>
      <c r="AN1" s="356"/>
      <c r="AO1" s="356"/>
      <c r="AP1" s="356"/>
      <c r="AQ1" s="356"/>
      <c r="AR1" s="356"/>
      <c r="AS1" s="356"/>
      <c r="AT1" s="356"/>
      <c r="AU1" s="356"/>
      <c r="AV1" s="356"/>
      <c r="AW1" s="356"/>
      <c r="AX1" s="356"/>
      <c r="AY1" s="356"/>
      <c r="AZ1" s="356"/>
      <c r="BA1" s="356"/>
      <c r="BB1" s="356"/>
      <c r="BC1" s="356"/>
    </row>
    <row r="2" spans="1:55" s="316" customFormat="1" ht="23.25">
      <c r="A2" s="59"/>
      <c r="B2" s="357" t="s">
        <v>795</v>
      </c>
      <c r="G2" s="506"/>
      <c r="I2" s="507" t="str">
        <f>CONCATENATE((IFERROR(IF('City information'!C25="BASIC","BASIC ",IF('City information'!C25="BASIC+","BASIC+ ","")),)),IFERROR(IF('City information'!C31="Yes - audited","Audited",IF('City information'!C31="Yes - verified","Verified","")),""))</f>
        <v xml:space="preserve">BASIC </v>
      </c>
      <c r="K2" s="356"/>
      <c r="L2" s="356"/>
      <c r="M2" s="356"/>
      <c r="N2" s="356"/>
      <c r="O2" s="356"/>
      <c r="P2" s="356"/>
      <c r="Q2" s="356"/>
      <c r="R2" s="356"/>
      <c r="S2" s="356"/>
      <c r="T2" s="356"/>
      <c r="U2" s="356"/>
      <c r="V2" s="356"/>
      <c r="W2" s="356"/>
      <c r="X2" s="356"/>
      <c r="Y2" s="356"/>
      <c r="Z2" s="356"/>
      <c r="AA2" s="356"/>
      <c r="AB2" s="356"/>
      <c r="AC2" s="356"/>
      <c r="AD2" s="356"/>
      <c r="AE2" s="356"/>
      <c r="AF2" s="356"/>
      <c r="AG2" s="356"/>
      <c r="AH2" s="356"/>
      <c r="AI2" s="356"/>
      <c r="AJ2" s="356"/>
      <c r="AK2" s="356"/>
      <c r="AL2" s="356"/>
      <c r="AM2" s="356"/>
      <c r="AN2" s="356"/>
      <c r="AO2" s="356"/>
      <c r="AP2" s="356"/>
      <c r="AQ2" s="356"/>
      <c r="AR2" s="356"/>
      <c r="AS2" s="356"/>
      <c r="AT2" s="356"/>
      <c r="AU2" s="356"/>
      <c r="AV2" s="356"/>
      <c r="AW2" s="356"/>
      <c r="AX2" s="356"/>
      <c r="AY2" s="356"/>
      <c r="AZ2" s="356"/>
      <c r="BA2" s="356"/>
      <c r="BB2" s="356"/>
      <c r="BC2" s="356"/>
    </row>
    <row r="3" spans="1:55" s="316" customFormat="1" ht="9.9499999999999993" customHeight="1">
      <c r="A3" s="59"/>
      <c r="B3" s="317"/>
      <c r="K3" s="356"/>
      <c r="L3" s="356"/>
      <c r="M3" s="356"/>
      <c r="N3" s="356"/>
      <c r="O3" s="356"/>
      <c r="P3" s="356"/>
      <c r="Q3" s="356"/>
      <c r="R3" s="356"/>
      <c r="S3" s="356"/>
      <c r="T3" s="356"/>
      <c r="U3" s="356"/>
      <c r="V3" s="356"/>
      <c r="W3" s="356"/>
      <c r="X3" s="356"/>
      <c r="Y3" s="356"/>
      <c r="Z3" s="356"/>
      <c r="AA3" s="356"/>
      <c r="AB3" s="356"/>
      <c r="AC3" s="356"/>
      <c r="AD3" s="356"/>
      <c r="AE3" s="356"/>
      <c r="AF3" s="356"/>
      <c r="AG3" s="356"/>
      <c r="AH3" s="356"/>
      <c r="AI3" s="356"/>
      <c r="AJ3" s="356"/>
      <c r="AK3" s="356"/>
      <c r="AL3" s="356"/>
      <c r="AM3" s="356"/>
      <c r="AN3" s="356"/>
      <c r="AO3" s="356"/>
      <c r="AP3" s="356"/>
      <c r="AQ3" s="356"/>
      <c r="AR3" s="356"/>
      <c r="AS3" s="356"/>
      <c r="AT3" s="356"/>
      <c r="AU3" s="356"/>
      <c r="AV3" s="356"/>
      <c r="AW3" s="356"/>
      <c r="AX3" s="356"/>
      <c r="AY3" s="356"/>
      <c r="AZ3" s="356"/>
      <c r="BA3" s="356"/>
      <c r="BB3" s="356"/>
      <c r="BC3" s="356"/>
    </row>
    <row r="4" spans="1:55" s="316" customFormat="1" ht="18.75">
      <c r="A4" s="59"/>
      <c r="B4" s="314" t="s">
        <v>766</v>
      </c>
      <c r="C4" s="315"/>
      <c r="D4" s="315" t="str">
        <f>IF('City information'!C10="",'City information'!C9,CONCATENATE('City information'!C9,", ",'City information'!C10))</f>
        <v>Autonomous City of Buenos Aires , Argentina</v>
      </c>
      <c r="G4" s="314" t="s">
        <v>767</v>
      </c>
      <c r="H4" s="314"/>
      <c r="I4" s="354">
        <f>'City information'!C14</f>
        <v>3079071</v>
      </c>
      <c r="K4" s="356"/>
      <c r="L4" s="356"/>
      <c r="M4" s="356"/>
      <c r="N4" s="356"/>
      <c r="O4" s="356"/>
      <c r="P4" s="356"/>
      <c r="Q4" s="356"/>
      <c r="R4" s="356"/>
      <c r="S4" s="356"/>
      <c r="T4" s="356"/>
      <c r="U4" s="356"/>
      <c r="V4" s="356"/>
      <c r="W4" s="356"/>
      <c r="X4" s="356"/>
      <c r="Y4" s="356"/>
      <c r="Z4" s="356"/>
      <c r="AA4" s="356"/>
      <c r="AB4" s="356"/>
      <c r="AC4" s="356"/>
      <c r="AD4" s="356"/>
      <c r="AE4" s="356"/>
      <c r="AF4" s="356"/>
      <c r="AG4" s="356"/>
      <c r="AH4" s="356"/>
      <c r="AI4" s="356"/>
      <c r="AJ4" s="356"/>
      <c r="AK4" s="356"/>
      <c r="AL4" s="356"/>
      <c r="AM4" s="356"/>
      <c r="AN4" s="356"/>
      <c r="AO4" s="356"/>
      <c r="AP4" s="356"/>
      <c r="AQ4" s="356"/>
      <c r="AR4" s="356"/>
      <c r="AS4" s="356"/>
      <c r="AT4" s="356"/>
      <c r="AU4" s="356"/>
      <c r="AV4" s="356"/>
      <c r="AW4" s="356"/>
      <c r="AX4" s="356"/>
      <c r="AY4" s="356"/>
      <c r="AZ4" s="356"/>
      <c r="BA4" s="356"/>
      <c r="BB4" s="356"/>
      <c r="BC4" s="356"/>
    </row>
    <row r="5" spans="1:55" s="316" customFormat="1" ht="18.75">
      <c r="A5" s="59"/>
      <c r="B5" s="314" t="s">
        <v>765</v>
      </c>
      <c r="C5" s="315"/>
      <c r="D5" s="315" t="str">
        <f>'City information'!C12</f>
        <v xml:space="preserve">Administrative boundary of a local government </v>
      </c>
      <c r="G5" s="314" t="s">
        <v>769</v>
      </c>
      <c r="H5" s="314"/>
      <c r="I5" s="354" t="str">
        <f>'City information'!C13</f>
        <v>202.04</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6"/>
      <c r="AP5" s="356"/>
      <c r="AQ5" s="356"/>
      <c r="AR5" s="356"/>
      <c r="AS5" s="356"/>
      <c r="AT5" s="356"/>
      <c r="AU5" s="356"/>
      <c r="AV5" s="356"/>
      <c r="AW5" s="356"/>
      <c r="AX5" s="356"/>
      <c r="AY5" s="356"/>
      <c r="AZ5" s="356"/>
      <c r="BA5" s="356"/>
      <c r="BB5" s="356"/>
      <c r="BC5" s="356"/>
    </row>
    <row r="6" spans="1:55" s="316" customFormat="1" ht="18.75">
      <c r="A6" s="59"/>
      <c r="B6" s="314" t="s">
        <v>764</v>
      </c>
      <c r="C6" s="315"/>
      <c r="D6" s="315">
        <f>'City information'!C11</f>
        <v>2013</v>
      </c>
      <c r="G6" s="314" t="s">
        <v>768</v>
      </c>
      <c r="H6" s="314"/>
      <c r="I6" s="355">
        <f>'City information'!C15/1000000000</f>
        <v>79.384</v>
      </c>
      <c r="K6" s="356"/>
      <c r="L6" s="356"/>
      <c r="M6" s="356"/>
      <c r="N6" s="356"/>
      <c r="O6" s="356"/>
      <c r="P6" s="356"/>
      <c r="Q6" s="356"/>
      <c r="R6" s="356"/>
      <c r="S6" s="356"/>
      <c r="T6" s="356"/>
      <c r="U6" s="356"/>
      <c r="V6" s="356"/>
      <c r="W6" s="356"/>
      <c r="X6" s="356"/>
      <c r="Y6" s="356"/>
      <c r="Z6" s="356"/>
      <c r="AA6" s="356"/>
      <c r="AB6" s="356"/>
      <c r="AC6" s="356"/>
      <c r="AD6" s="356"/>
      <c r="AE6" s="356"/>
      <c r="AF6" s="356"/>
      <c r="AG6" s="356"/>
      <c r="AH6" s="356"/>
      <c r="AI6" s="356"/>
      <c r="AJ6" s="356"/>
      <c r="AK6" s="356"/>
      <c r="AL6" s="356"/>
      <c r="AM6" s="356"/>
      <c r="AN6" s="356"/>
      <c r="AO6" s="356"/>
      <c r="AP6" s="356"/>
      <c r="AQ6" s="356"/>
      <c r="AR6" s="356"/>
      <c r="AS6" s="356"/>
      <c r="AT6" s="356"/>
      <c r="AU6" s="356"/>
      <c r="AV6" s="356"/>
      <c r="AW6" s="356"/>
      <c r="AX6" s="356"/>
      <c r="AY6" s="356"/>
      <c r="AZ6" s="356"/>
      <c r="BA6" s="356"/>
      <c r="BB6" s="356"/>
      <c r="BC6" s="356"/>
    </row>
    <row r="7" spans="1:55" s="316" customFormat="1" ht="15" customHeight="1" thickBot="1">
      <c r="A7" s="59"/>
      <c r="B7" s="314"/>
      <c r="C7" s="315"/>
      <c r="D7" s="315"/>
      <c r="E7" s="315"/>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6"/>
      <c r="AP7" s="356"/>
      <c r="AQ7" s="356"/>
      <c r="AR7" s="356"/>
      <c r="AS7" s="356"/>
      <c r="AT7" s="356"/>
      <c r="AU7" s="356"/>
      <c r="AV7" s="356"/>
      <c r="AW7" s="356"/>
      <c r="AX7" s="356"/>
      <c r="AY7" s="356"/>
      <c r="AZ7" s="356"/>
      <c r="BA7" s="356"/>
      <c r="BB7" s="356"/>
      <c r="BC7" s="356"/>
    </row>
    <row r="8" spans="1:55" ht="18.95" customHeight="1">
      <c r="A8" s="59"/>
      <c r="B8" s="1204" t="s">
        <v>770</v>
      </c>
      <c r="C8" s="1205"/>
      <c r="D8" s="1206"/>
      <c r="E8" s="1210" t="s">
        <v>771</v>
      </c>
      <c r="F8" s="1211"/>
      <c r="G8" s="1211"/>
      <c r="H8" s="1211"/>
      <c r="I8" s="1212"/>
    </row>
    <row r="9" spans="1:55" ht="18.95" customHeight="1" thickBot="1">
      <c r="A9" s="59"/>
      <c r="B9" s="1207"/>
      <c r="C9" s="1208"/>
      <c r="D9" s="1209"/>
      <c r="E9" s="246" t="s">
        <v>1</v>
      </c>
      <c r="F9" s="247" t="s">
        <v>2</v>
      </c>
      <c r="G9" s="636" t="s">
        <v>3</v>
      </c>
      <c r="H9" s="247" t="s">
        <v>174</v>
      </c>
      <c r="I9" s="248" t="s">
        <v>175</v>
      </c>
    </row>
    <row r="10" spans="1:55" s="361" customFormat="1" ht="18.95" customHeight="1">
      <c r="A10" s="121"/>
      <c r="B10" s="1213" t="s">
        <v>4</v>
      </c>
      <c r="C10" s="1214"/>
      <c r="D10" s="249" t="s">
        <v>189</v>
      </c>
      <c r="E10" s="290">
        <f>F32</f>
        <v>3759290.3545385031</v>
      </c>
      <c r="F10" s="291">
        <f>G32</f>
        <v>3899062.4476728532</v>
      </c>
      <c r="G10" s="292">
        <f>H32</f>
        <v>518534.71635555458</v>
      </c>
      <c r="H10" s="293">
        <f>E10+F10</f>
        <v>7658352.8022113563</v>
      </c>
      <c r="I10" s="294">
        <f>SUM(E10:G10)</f>
        <v>8176887.5185669111</v>
      </c>
      <c r="J10" s="359"/>
      <c r="K10" s="360"/>
      <c r="L10" s="360"/>
      <c r="M10" s="360"/>
      <c r="N10" s="360"/>
      <c r="O10" s="360"/>
      <c r="P10" s="360"/>
      <c r="Q10" s="360"/>
      <c r="R10" s="360"/>
      <c r="S10" s="360"/>
      <c r="T10" s="360"/>
      <c r="U10" s="360"/>
      <c r="V10" s="360"/>
      <c r="W10" s="360"/>
      <c r="X10" s="360"/>
      <c r="Y10" s="360"/>
      <c r="Z10" s="360"/>
      <c r="AA10" s="360"/>
      <c r="AB10" s="360"/>
      <c r="AC10" s="360"/>
      <c r="AD10" s="360"/>
      <c r="AE10" s="360"/>
      <c r="AF10" s="360"/>
      <c r="AG10" s="360"/>
      <c r="AH10" s="360"/>
      <c r="AI10" s="360"/>
      <c r="AJ10" s="360"/>
      <c r="AK10" s="360"/>
      <c r="AL10" s="360"/>
      <c r="AM10" s="360"/>
      <c r="AN10" s="360"/>
      <c r="AO10" s="360"/>
      <c r="AP10" s="360"/>
      <c r="AQ10" s="360"/>
      <c r="AR10" s="360"/>
      <c r="AS10" s="360"/>
      <c r="AT10" s="360"/>
      <c r="AU10" s="360"/>
      <c r="AV10" s="360"/>
      <c r="AW10" s="360"/>
      <c r="AX10" s="360"/>
      <c r="AY10" s="360"/>
      <c r="AZ10" s="360"/>
      <c r="BA10" s="360"/>
      <c r="BB10" s="360"/>
      <c r="BC10" s="360"/>
    </row>
    <row r="11" spans="1:55" s="361" customFormat="1" ht="18.95" customHeight="1">
      <c r="A11" s="121"/>
      <c r="B11" s="1215"/>
      <c r="C11" s="1216"/>
      <c r="D11" s="250" t="s">
        <v>190</v>
      </c>
      <c r="E11" s="346">
        <f>IF('Table A. Overview'!E28="",'Table A. Overview'!M28,"")</f>
        <v>9574078.306376053</v>
      </c>
      <c r="F11" s="308"/>
      <c r="G11" s="308"/>
      <c r="H11" s="309"/>
      <c r="I11" s="307"/>
      <c r="J11" s="359"/>
      <c r="K11" s="360"/>
      <c r="L11" s="360"/>
      <c r="M11" s="360"/>
      <c r="N11" s="360"/>
      <c r="O11" s="360"/>
      <c r="P11" s="360"/>
      <c r="Q11" s="360"/>
      <c r="R11" s="360"/>
      <c r="S11" s="360"/>
      <c r="T11" s="360"/>
      <c r="U11" s="360"/>
      <c r="V11" s="360"/>
      <c r="W11" s="360"/>
      <c r="X11" s="360"/>
      <c r="Y11" s="360"/>
      <c r="Z11" s="360"/>
      <c r="AA11" s="360"/>
      <c r="AB11" s="360"/>
      <c r="AC11" s="360"/>
      <c r="AD11" s="360"/>
      <c r="AE11" s="360"/>
      <c r="AF11" s="360"/>
      <c r="AG11" s="360"/>
      <c r="AH11" s="360"/>
      <c r="AI11" s="360"/>
      <c r="AJ11" s="360"/>
      <c r="AK11" s="360"/>
      <c r="AL11" s="360"/>
      <c r="AM11" s="360"/>
      <c r="AN11" s="360"/>
      <c r="AO11" s="360"/>
      <c r="AP11" s="360"/>
      <c r="AQ11" s="360"/>
      <c r="AR11" s="360"/>
      <c r="AS11" s="360"/>
      <c r="AT11" s="360"/>
      <c r="AU11" s="360"/>
      <c r="AV11" s="360"/>
      <c r="AW11" s="360"/>
      <c r="AX11" s="360"/>
      <c r="AY11" s="360"/>
      <c r="AZ11" s="360"/>
      <c r="BA11" s="360"/>
      <c r="BB11" s="360"/>
      <c r="BC11" s="360"/>
    </row>
    <row r="12" spans="1:55" s="361" customFormat="1" ht="18.95" customHeight="1">
      <c r="A12" s="121"/>
      <c r="B12" s="1215" t="s">
        <v>15</v>
      </c>
      <c r="C12" s="1216"/>
      <c r="D12" s="250" t="s">
        <v>261</v>
      </c>
      <c r="E12" s="295">
        <f>F39</f>
        <v>4012434.6282723052</v>
      </c>
      <c r="F12" s="295">
        <f>G39</f>
        <v>78892.884675146299</v>
      </c>
      <c r="G12" s="292">
        <f>H39</f>
        <v>17033.43541626689</v>
      </c>
      <c r="H12" s="293">
        <f>E12+F12</f>
        <v>4091327.5129474513</v>
      </c>
      <c r="I12" s="294">
        <f>SUM(E12:G12)</f>
        <v>4108360.9483637181</v>
      </c>
      <c r="J12" s="359"/>
      <c r="K12" s="360"/>
      <c r="L12" s="360"/>
      <c r="M12" s="360"/>
      <c r="N12" s="360"/>
      <c r="O12" s="360"/>
      <c r="P12" s="360"/>
      <c r="Q12" s="360"/>
      <c r="R12" s="360"/>
      <c r="S12" s="360"/>
      <c r="T12" s="360"/>
      <c r="U12" s="360"/>
      <c r="V12" s="360"/>
      <c r="W12" s="360"/>
      <c r="X12" s="360"/>
      <c r="Y12" s="360"/>
      <c r="Z12" s="360"/>
      <c r="AA12" s="360"/>
      <c r="AB12" s="360"/>
      <c r="AC12" s="360"/>
      <c r="AD12" s="360"/>
      <c r="AE12" s="360"/>
      <c r="AF12" s="360"/>
      <c r="AG12" s="360"/>
      <c r="AH12" s="360"/>
      <c r="AI12" s="360"/>
      <c r="AJ12" s="360"/>
      <c r="AK12" s="360"/>
      <c r="AL12" s="360"/>
      <c r="AM12" s="360"/>
      <c r="AN12" s="360"/>
      <c r="AO12" s="360"/>
      <c r="AP12" s="360"/>
      <c r="AQ12" s="360"/>
      <c r="AR12" s="360"/>
      <c r="AS12" s="360"/>
      <c r="AT12" s="360"/>
      <c r="AU12" s="360"/>
      <c r="AV12" s="360"/>
      <c r="AW12" s="360"/>
      <c r="AX12" s="360"/>
      <c r="AY12" s="360"/>
      <c r="AZ12" s="360"/>
      <c r="BA12" s="360"/>
      <c r="BB12" s="360"/>
      <c r="BC12" s="360"/>
    </row>
    <row r="13" spans="1:55" s="361" customFormat="1" ht="18.95" customHeight="1">
      <c r="A13" s="121"/>
      <c r="B13" s="1215" t="s">
        <v>21</v>
      </c>
      <c r="C13" s="1216"/>
      <c r="D13" s="250" t="s">
        <v>728</v>
      </c>
      <c r="E13" s="295">
        <f>F49</f>
        <v>55390.376263450562</v>
      </c>
      <c r="F13" s="308"/>
      <c r="G13" s="295">
        <f>H49</f>
        <v>1726221.65</v>
      </c>
      <c r="H13" s="296">
        <f>E13+G13</f>
        <v>1781612.0262634505</v>
      </c>
      <c r="I13" s="297">
        <f>E13+G13</f>
        <v>1781612.0262634505</v>
      </c>
      <c r="J13" s="359"/>
      <c r="K13" s="360"/>
      <c r="L13" s="360"/>
      <c r="M13" s="360"/>
      <c r="N13" s="360"/>
      <c r="O13" s="360"/>
      <c r="P13" s="360"/>
      <c r="Q13" s="360"/>
      <c r="R13" s="360"/>
      <c r="S13" s="360"/>
      <c r="T13" s="360"/>
      <c r="U13" s="360"/>
      <c r="V13" s="360"/>
      <c r="W13" s="360"/>
      <c r="X13" s="360"/>
      <c r="Y13" s="360"/>
      <c r="Z13" s="360"/>
      <c r="AA13" s="360"/>
      <c r="AB13" s="360"/>
      <c r="AC13" s="360"/>
      <c r="AD13" s="360"/>
      <c r="AE13" s="360"/>
      <c r="AF13" s="360"/>
      <c r="AG13" s="360"/>
      <c r="AH13" s="360"/>
      <c r="AI13" s="360"/>
      <c r="AJ13" s="360"/>
      <c r="AK13" s="360"/>
      <c r="AL13" s="360"/>
      <c r="AM13" s="360"/>
      <c r="AN13" s="360"/>
      <c r="AO13" s="360"/>
      <c r="AP13" s="360"/>
      <c r="AQ13" s="360"/>
      <c r="AR13" s="360"/>
      <c r="AS13" s="360"/>
      <c r="AT13" s="360"/>
      <c r="AU13" s="360"/>
      <c r="AV13" s="360"/>
      <c r="AW13" s="360"/>
      <c r="AX13" s="360"/>
      <c r="AY13" s="360"/>
      <c r="AZ13" s="360"/>
      <c r="BA13" s="360"/>
      <c r="BB13" s="360"/>
      <c r="BC13" s="360"/>
    </row>
    <row r="14" spans="1:55" s="361" customFormat="1" ht="18.95" customHeight="1">
      <c r="A14" s="121"/>
      <c r="B14" s="1215"/>
      <c r="C14" s="1216"/>
      <c r="D14" s="250" t="s">
        <v>727</v>
      </c>
      <c r="E14" s="346">
        <f>SUM(F45:F48)</f>
        <v>0</v>
      </c>
      <c r="F14" s="308"/>
      <c r="G14" s="308"/>
      <c r="H14" s="309"/>
      <c r="I14" s="307"/>
      <c r="J14" s="359"/>
      <c r="K14" s="360"/>
      <c r="L14" s="360"/>
      <c r="M14" s="360"/>
      <c r="N14" s="360"/>
      <c r="O14" s="360"/>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0"/>
      <c r="AT14" s="360"/>
      <c r="AU14" s="360"/>
      <c r="AV14" s="360"/>
      <c r="AW14" s="360"/>
      <c r="AX14" s="360"/>
      <c r="AY14" s="360"/>
      <c r="AZ14" s="360"/>
      <c r="BA14" s="360"/>
      <c r="BB14" s="360"/>
      <c r="BC14" s="360"/>
    </row>
    <row r="15" spans="1:55" s="361" customFormat="1" ht="18.95" customHeight="1">
      <c r="A15" s="121"/>
      <c r="B15" s="1215" t="s">
        <v>210</v>
      </c>
      <c r="C15" s="1216"/>
      <c r="D15" s="250" t="s">
        <v>262</v>
      </c>
      <c r="E15" s="298">
        <f>F53</f>
        <v>0</v>
      </c>
      <c r="F15" s="308"/>
      <c r="G15" s="308"/>
      <c r="H15" s="309"/>
      <c r="I15" s="297">
        <f>E15</f>
        <v>0</v>
      </c>
      <c r="J15" s="359"/>
      <c r="K15" s="360"/>
      <c r="L15" s="360"/>
      <c r="M15" s="360"/>
      <c r="N15" s="360"/>
      <c r="O15" s="360"/>
      <c r="P15" s="360"/>
      <c r="Q15" s="360"/>
      <c r="R15" s="360"/>
      <c r="S15" s="360"/>
      <c r="T15" s="360"/>
      <c r="U15" s="360"/>
      <c r="V15" s="360"/>
      <c r="W15" s="360"/>
      <c r="X15" s="360"/>
      <c r="Y15" s="360"/>
      <c r="Z15" s="360"/>
      <c r="AA15" s="360"/>
      <c r="AB15" s="360"/>
      <c r="AC15" s="360"/>
      <c r="AD15" s="360"/>
      <c r="AE15" s="360"/>
      <c r="AF15" s="360"/>
      <c r="AG15" s="360"/>
      <c r="AH15" s="360"/>
      <c r="AI15" s="360"/>
      <c r="AJ15" s="360"/>
      <c r="AK15" s="360"/>
      <c r="AL15" s="360"/>
      <c r="AM15" s="360"/>
      <c r="AN15" s="360"/>
      <c r="AO15" s="360"/>
      <c r="AP15" s="360"/>
      <c r="AQ15" s="360"/>
      <c r="AR15" s="360"/>
      <c r="AS15" s="360"/>
      <c r="AT15" s="360"/>
      <c r="AU15" s="360"/>
      <c r="AV15" s="360"/>
      <c r="AW15" s="360"/>
      <c r="AX15" s="360"/>
      <c r="AY15" s="360"/>
      <c r="AZ15" s="360"/>
      <c r="BA15" s="360"/>
      <c r="BB15" s="360"/>
      <c r="BC15" s="360"/>
    </row>
    <row r="16" spans="1:55" s="361" customFormat="1" ht="18.95" customHeight="1">
      <c r="A16" s="121"/>
      <c r="B16" s="1188" t="s">
        <v>263</v>
      </c>
      <c r="C16" s="1189"/>
      <c r="D16" s="306" t="s">
        <v>264</v>
      </c>
      <c r="E16" s="299">
        <f>F58</f>
        <v>0</v>
      </c>
      <c r="F16" s="310"/>
      <c r="G16" s="310"/>
      <c r="H16" s="311"/>
      <c r="I16" s="300">
        <f>E16</f>
        <v>0</v>
      </c>
      <c r="J16" s="359"/>
      <c r="K16" s="360"/>
      <c r="L16" s="360"/>
      <c r="M16" s="360"/>
      <c r="N16" s="360"/>
      <c r="O16" s="360"/>
      <c r="P16" s="360"/>
      <c r="Q16" s="360"/>
      <c r="R16" s="360"/>
      <c r="S16" s="360"/>
      <c r="T16" s="360"/>
      <c r="U16" s="360"/>
      <c r="V16" s="360"/>
      <c r="W16" s="360"/>
      <c r="X16" s="360"/>
      <c r="Y16" s="360"/>
      <c r="Z16" s="360"/>
      <c r="AA16" s="360"/>
      <c r="AB16" s="360"/>
      <c r="AC16" s="360"/>
      <c r="AD16" s="360"/>
      <c r="AE16" s="360"/>
      <c r="AF16" s="360"/>
      <c r="AG16" s="360"/>
      <c r="AH16" s="360"/>
      <c r="AI16" s="360"/>
      <c r="AJ16" s="360"/>
      <c r="AK16" s="360"/>
      <c r="AL16" s="360"/>
      <c r="AM16" s="360"/>
      <c r="AN16" s="360"/>
      <c r="AO16" s="360"/>
      <c r="AP16" s="360"/>
      <c r="AQ16" s="360"/>
      <c r="AR16" s="360"/>
      <c r="AS16" s="360"/>
      <c r="AT16" s="360"/>
      <c r="AU16" s="360"/>
      <c r="AV16" s="360"/>
      <c r="AW16" s="360"/>
      <c r="AX16" s="360"/>
      <c r="AY16" s="360"/>
      <c r="AZ16" s="360"/>
      <c r="BA16" s="360"/>
      <c r="BB16" s="360"/>
      <c r="BC16" s="360"/>
    </row>
    <row r="17" spans="1:55" s="361" customFormat="1" ht="18.95" customHeight="1" thickBot="1">
      <c r="A17" s="121"/>
      <c r="B17" s="1188" t="s">
        <v>37</v>
      </c>
      <c r="C17" s="1189"/>
      <c r="D17" s="306" t="s">
        <v>726</v>
      </c>
      <c r="E17" s="310"/>
      <c r="F17" s="310"/>
      <c r="G17" s="287" t="str">
        <f>IF(ISNUMBER(H60),H60,"")</f>
        <v/>
      </c>
      <c r="H17" s="311"/>
      <c r="I17" s="320"/>
      <c r="J17" s="359"/>
      <c r="K17" s="360"/>
      <c r="L17" s="360"/>
      <c r="M17" s="360"/>
      <c r="N17" s="360"/>
      <c r="O17" s="360"/>
      <c r="P17" s="360"/>
      <c r="Q17" s="360"/>
      <c r="R17" s="360"/>
      <c r="S17" s="360"/>
      <c r="T17" s="360"/>
      <c r="U17" s="360"/>
      <c r="V17" s="360"/>
      <c r="W17" s="360"/>
      <c r="X17" s="360"/>
      <c r="Y17" s="360"/>
      <c r="Z17" s="360"/>
      <c r="AA17" s="360"/>
      <c r="AB17" s="360"/>
      <c r="AC17" s="360"/>
      <c r="AD17" s="360"/>
      <c r="AE17" s="360"/>
      <c r="AF17" s="360"/>
      <c r="AG17" s="360"/>
      <c r="AH17" s="360"/>
      <c r="AI17" s="360"/>
      <c r="AJ17" s="360"/>
      <c r="AK17" s="360"/>
      <c r="AL17" s="360"/>
      <c r="AM17" s="360"/>
      <c r="AN17" s="360"/>
      <c r="AO17" s="360"/>
      <c r="AP17" s="360"/>
      <c r="AQ17" s="360"/>
      <c r="AR17" s="360"/>
      <c r="AS17" s="360"/>
      <c r="AT17" s="360"/>
      <c r="AU17" s="360"/>
      <c r="AV17" s="360"/>
      <c r="AW17" s="360"/>
      <c r="AX17" s="360"/>
      <c r="AY17" s="360"/>
      <c r="AZ17" s="360"/>
      <c r="BA17" s="360"/>
      <c r="BB17" s="360"/>
      <c r="BC17" s="360"/>
    </row>
    <row r="18" spans="1:55" s="361" customFormat="1" ht="30.95" customHeight="1" thickBot="1">
      <c r="A18" s="121"/>
      <c r="B18" s="1190" t="s">
        <v>690</v>
      </c>
      <c r="C18" s="1191"/>
      <c r="D18" s="1192"/>
      <c r="E18" s="301">
        <f>IF(SUM(E10:E16)=0,"All territorial emissions",SUM(E10:E16))</f>
        <v>17401193.665450312</v>
      </c>
      <c r="F18" s="302">
        <f>IF((F10+F12)=0,"",F10+F12)</f>
        <v>3977955.3323479993</v>
      </c>
      <c r="G18" s="302">
        <f>IF((G10+G12+G13)=0,"",(G10+G12+G13))</f>
        <v>2261789.8017718215</v>
      </c>
      <c r="H18" s="303">
        <f>IF((H10+H12+H13)=0,"All BASIC emissions",(H10+H12+H13))</f>
        <v>13531292.341422258</v>
      </c>
      <c r="I18" s="304">
        <f>IF((I10+I12+I13+I15+I16)=0,"All BASIC+ emissions",(I10+I12+I13+I15+I16))</f>
        <v>14066860.493194081</v>
      </c>
      <c r="J18" s="359"/>
      <c r="K18" s="360"/>
      <c r="L18" s="360"/>
      <c r="M18" s="360"/>
      <c r="N18" s="360"/>
      <c r="O18" s="360"/>
      <c r="P18" s="360"/>
      <c r="Q18" s="360"/>
      <c r="R18" s="360"/>
      <c r="S18" s="360"/>
      <c r="T18" s="360"/>
      <c r="U18" s="360"/>
      <c r="V18" s="360"/>
      <c r="W18" s="360"/>
      <c r="X18" s="360"/>
      <c r="Y18" s="360"/>
      <c r="Z18" s="360"/>
      <c r="AA18" s="360"/>
      <c r="AB18" s="360"/>
      <c r="AC18" s="360"/>
      <c r="AD18" s="360"/>
      <c r="AE18" s="360"/>
      <c r="AF18" s="360"/>
      <c r="AG18" s="360"/>
      <c r="AH18" s="360"/>
      <c r="AI18" s="360"/>
      <c r="AJ18" s="360"/>
      <c r="AK18" s="360"/>
      <c r="AL18" s="360"/>
      <c r="AM18" s="360"/>
      <c r="AN18" s="360"/>
      <c r="AO18" s="360"/>
      <c r="AP18" s="360"/>
      <c r="AQ18" s="360"/>
      <c r="AR18" s="360"/>
      <c r="AS18" s="360"/>
      <c r="AT18" s="360"/>
      <c r="AU18" s="360"/>
      <c r="AV18" s="360"/>
      <c r="AW18" s="360"/>
      <c r="AX18" s="360"/>
      <c r="AY18" s="360"/>
      <c r="AZ18" s="360"/>
      <c r="BA18" s="360"/>
      <c r="BB18" s="360"/>
      <c r="BC18" s="360"/>
    </row>
    <row r="19" spans="1:55" s="316" customFormat="1" ht="15" customHeight="1" thickBot="1">
      <c r="A19" s="59"/>
      <c r="B19" s="317"/>
      <c r="K19" s="356"/>
      <c r="L19" s="356"/>
      <c r="M19" s="356"/>
      <c r="N19" s="356"/>
      <c r="O19" s="356"/>
      <c r="P19" s="356"/>
      <c r="Q19" s="356"/>
      <c r="R19" s="356"/>
      <c r="S19" s="356"/>
      <c r="T19" s="356"/>
      <c r="U19" s="356"/>
      <c r="V19" s="356"/>
      <c r="W19" s="356"/>
      <c r="X19" s="356"/>
      <c r="Y19" s="356"/>
      <c r="Z19" s="356"/>
      <c r="AA19" s="356"/>
      <c r="AB19" s="356"/>
      <c r="AC19" s="356"/>
      <c r="AD19" s="356"/>
      <c r="AE19" s="356"/>
      <c r="AF19" s="356"/>
      <c r="AG19" s="356"/>
      <c r="AH19" s="356"/>
      <c r="AI19" s="356"/>
      <c r="AJ19" s="356"/>
      <c r="AK19" s="356"/>
      <c r="AL19" s="356"/>
      <c r="AM19" s="356"/>
      <c r="AN19" s="356"/>
      <c r="AO19" s="356"/>
      <c r="AP19" s="356"/>
      <c r="AQ19" s="356"/>
      <c r="AR19" s="356"/>
      <c r="AS19" s="356"/>
      <c r="AT19" s="356"/>
      <c r="AU19" s="356"/>
      <c r="AV19" s="356"/>
      <c r="AW19" s="356"/>
      <c r="AX19" s="356"/>
      <c r="AY19" s="356"/>
      <c r="AZ19" s="356"/>
      <c r="BA19" s="356"/>
      <c r="BB19" s="356"/>
      <c r="BC19" s="356"/>
    </row>
    <row r="20" spans="1:55" s="363" customFormat="1" ht="18.95" customHeight="1">
      <c r="A20" s="146"/>
      <c r="B20" s="1173" t="s">
        <v>39</v>
      </c>
      <c r="C20" s="1193" t="s">
        <v>41</v>
      </c>
      <c r="D20" s="1194"/>
      <c r="E20" s="1195"/>
      <c r="F20" s="1177" t="s">
        <v>731</v>
      </c>
      <c r="G20" s="1178"/>
      <c r="H20" s="1178"/>
      <c r="I20" s="1179"/>
      <c r="J20" s="317"/>
      <c r="K20" s="362"/>
      <c r="L20" s="362"/>
      <c r="M20" s="362"/>
      <c r="N20" s="362"/>
      <c r="O20" s="362"/>
      <c r="P20" s="362"/>
      <c r="Q20" s="362"/>
      <c r="R20" s="362"/>
      <c r="S20" s="362"/>
      <c r="T20" s="362"/>
      <c r="U20" s="362"/>
      <c r="V20" s="362"/>
      <c r="W20" s="362"/>
      <c r="X20" s="362"/>
      <c r="Y20" s="362"/>
      <c r="Z20" s="362"/>
      <c r="AA20" s="362"/>
      <c r="AB20" s="362"/>
      <c r="AC20" s="362"/>
      <c r="AD20" s="362"/>
      <c r="AE20" s="362"/>
      <c r="AF20" s="362"/>
      <c r="AG20" s="362"/>
      <c r="AH20" s="362"/>
      <c r="AI20" s="362"/>
      <c r="AJ20" s="362"/>
      <c r="AK20" s="362"/>
      <c r="AL20" s="362"/>
      <c r="AM20" s="362"/>
      <c r="AN20" s="362"/>
      <c r="AO20" s="362"/>
      <c r="AP20" s="362"/>
      <c r="AQ20" s="362"/>
      <c r="AR20" s="362"/>
      <c r="AS20" s="362"/>
      <c r="AT20" s="362"/>
      <c r="AU20" s="362"/>
      <c r="AV20" s="362"/>
      <c r="AW20" s="362"/>
      <c r="AX20" s="362"/>
      <c r="AY20" s="362"/>
      <c r="AZ20" s="362"/>
      <c r="BA20" s="362"/>
      <c r="BB20" s="362"/>
      <c r="BC20" s="362"/>
    </row>
    <row r="21" spans="1:55" s="363" customFormat="1" ht="18.95" customHeight="1" thickBot="1">
      <c r="A21" s="146"/>
      <c r="B21" s="1174"/>
      <c r="C21" s="1196"/>
      <c r="D21" s="1197"/>
      <c r="E21" s="1198"/>
      <c r="F21" s="341" t="s">
        <v>1</v>
      </c>
      <c r="G21" s="341" t="s">
        <v>2</v>
      </c>
      <c r="H21" s="341" t="s">
        <v>3</v>
      </c>
      <c r="I21" s="245" t="s">
        <v>176</v>
      </c>
      <c r="J21" s="317"/>
      <c r="K21" s="362"/>
      <c r="L21" s="362"/>
      <c r="M21" s="362"/>
      <c r="N21" s="362"/>
      <c r="O21" s="362"/>
      <c r="P21" s="362"/>
      <c r="Q21" s="362"/>
      <c r="R21" s="362"/>
      <c r="S21" s="362"/>
      <c r="T21" s="362"/>
      <c r="U21" s="362"/>
      <c r="V21" s="362"/>
      <c r="W21" s="362"/>
      <c r="X21" s="362"/>
      <c r="Y21" s="362"/>
      <c r="Z21" s="362"/>
      <c r="AA21" s="362"/>
      <c r="AB21" s="362"/>
      <c r="AC21" s="362"/>
      <c r="AD21" s="362"/>
      <c r="AE21" s="362"/>
      <c r="AF21" s="362"/>
      <c r="AG21" s="362"/>
      <c r="AH21" s="362"/>
      <c r="AI21" s="362"/>
      <c r="AJ21" s="362"/>
      <c r="AK21" s="362"/>
      <c r="AL21" s="362"/>
      <c r="AM21" s="362"/>
      <c r="AN21" s="362"/>
      <c r="AO21" s="362"/>
      <c r="AP21" s="362"/>
      <c r="AQ21" s="362"/>
      <c r="AR21" s="362"/>
      <c r="AS21" s="362"/>
      <c r="AT21" s="362"/>
      <c r="AU21" s="362"/>
      <c r="AV21" s="362"/>
      <c r="AW21" s="362"/>
      <c r="AX21" s="362"/>
      <c r="AY21" s="362"/>
      <c r="AZ21" s="362"/>
      <c r="BA21" s="362"/>
      <c r="BB21" s="362"/>
      <c r="BC21" s="362"/>
    </row>
    <row r="22" spans="1:55" ht="18.95" customHeight="1">
      <c r="A22" s="59"/>
      <c r="B22" s="239" t="s">
        <v>48</v>
      </c>
      <c r="C22" s="1202" t="s">
        <v>49</v>
      </c>
      <c r="D22" s="1203"/>
      <c r="E22" s="330"/>
      <c r="F22" s="62"/>
      <c r="G22" s="62"/>
      <c r="H22" s="62"/>
      <c r="I22" s="201"/>
    </row>
    <row r="23" spans="1:55" ht="18.95" customHeight="1">
      <c r="A23" s="59"/>
      <c r="B23" s="63" t="s">
        <v>50</v>
      </c>
      <c r="C23" s="65" t="s">
        <v>5</v>
      </c>
      <c r="D23" s="331"/>
      <c r="E23" s="313"/>
      <c r="F23" s="321">
        <f>IF('Table A. Overview'!E13="",'Table A. Overview'!M13,'Table A. Overview'!E13)</f>
        <v>2394807.3141091089</v>
      </c>
      <c r="G23" s="321">
        <f>IF('Table A. Overview'!E14="",'Table A. Overview'!M14,'Table A. Overview'!E14)</f>
        <v>1454197.0477896938</v>
      </c>
      <c r="H23" s="322">
        <f>IF('Table A. Overview'!E15="",'Table A. Overview'!M15,'Table A. Overview'!E15)</f>
        <v>214828.84228037242</v>
      </c>
      <c r="I23" s="284">
        <f t="shared" ref="I23:I29" si="0">SUM(F23:H23)</f>
        <v>4063833.2041791752</v>
      </c>
    </row>
    <row r="24" spans="1:55" ht="18.95" customHeight="1">
      <c r="A24" s="59"/>
      <c r="B24" s="63" t="s">
        <v>57</v>
      </c>
      <c r="C24" s="65" t="s">
        <v>58</v>
      </c>
      <c r="D24" s="331"/>
      <c r="E24" s="313"/>
      <c r="F24" s="272">
        <f>IF('Table A. Overview'!E17="",'Table A. Overview'!M17,'Table A. Overview'!E17)</f>
        <v>846725.14632999885</v>
      </c>
      <c r="G24" s="272">
        <f>IF('Table A. Overview'!E18="",'Table A. Overview'!M18,'Table A. Overview'!E18)</f>
        <v>2075330.0732117784</v>
      </c>
      <c r="H24" s="323">
        <f>IF('Table A. Overview'!E19="",'Table A. Overview'!M19,'Table A. Overview'!E19)</f>
        <v>254434.50119400752</v>
      </c>
      <c r="I24" s="284">
        <f t="shared" si="0"/>
        <v>3176489.7207357851</v>
      </c>
    </row>
    <row r="25" spans="1:55" ht="18.95" customHeight="1">
      <c r="A25" s="59"/>
      <c r="B25" s="63" t="s">
        <v>62</v>
      </c>
      <c r="C25" s="65" t="s">
        <v>8</v>
      </c>
      <c r="D25" s="331"/>
      <c r="E25" s="313"/>
      <c r="F25" s="272">
        <f>IF('Table A. Overview'!E21="",'Table A. Overview'!M21,'Table A. Overview'!E21)</f>
        <v>370560.2434413209</v>
      </c>
      <c r="G25" s="272">
        <f>IF('Table A. Overview'!E22="",'Table A. Overview'!M22,'Table A. Overview'!E22)</f>
        <v>369535.32667138078</v>
      </c>
      <c r="H25" s="323">
        <f>IF('Table A. Overview'!E23="",'Table A. Overview'!M23,'Table A. Overview'!E23)</f>
        <v>49271.372881174597</v>
      </c>
      <c r="I25" s="284">
        <f t="shared" si="0"/>
        <v>789366.94299387629</v>
      </c>
    </row>
    <row r="26" spans="1:55" ht="18.95" customHeight="1">
      <c r="A26" s="59"/>
      <c r="B26" s="63" t="s">
        <v>725</v>
      </c>
      <c r="C26" s="65" t="s">
        <v>9</v>
      </c>
      <c r="D26" s="331"/>
      <c r="E26" s="313"/>
      <c r="F26" s="272" t="str">
        <f>IF('Table A. Overview'!E25="",'Table A. Overview'!M25,'Table A. Overview'!E25)</f>
        <v>IE</v>
      </c>
      <c r="G26" s="272" t="str">
        <f>IF('Table A. Overview'!E26="",'Table A. Overview'!M26,'Table A. Overview'!E26)</f>
        <v>IE</v>
      </c>
      <c r="H26" s="323" t="str">
        <f>IF('Table A. Overview'!E27="",'Table A. Overview'!M27,'Table A. Overview'!E27)</f>
        <v>IE</v>
      </c>
      <c r="I26" s="284">
        <f t="shared" si="0"/>
        <v>0</v>
      </c>
    </row>
    <row r="27" spans="1:55" ht="18.95" customHeight="1">
      <c r="A27" s="59"/>
      <c r="B27" s="63" t="s">
        <v>73</v>
      </c>
      <c r="C27" s="65" t="s">
        <v>10</v>
      </c>
      <c r="D27" s="331"/>
      <c r="E27" s="313"/>
      <c r="F27" s="346">
        <f>IF('Table A. Overview'!E28="",'Table A. Overview'!M28,'Table A. Overview'!E28)</f>
        <v>9574078.306376053</v>
      </c>
      <c r="G27" s="308"/>
      <c r="H27" s="308"/>
      <c r="I27" s="319"/>
    </row>
    <row r="28" spans="1:55" ht="18.95" customHeight="1">
      <c r="A28" s="59"/>
      <c r="B28" s="63" t="s">
        <v>75</v>
      </c>
      <c r="C28" s="65" t="s">
        <v>76</v>
      </c>
      <c r="D28" s="331"/>
      <c r="E28" s="313"/>
      <c r="F28" s="272" t="str">
        <f>IF('Table A. Overview'!E30="",'Table A. Overview'!M30,'Table A. Overview'!E30)</f>
        <v>NO</v>
      </c>
      <c r="G28" s="272" t="str">
        <f>IF('Table A. Overview'!E31="",'Table A. Overview'!M31,'Table A. Overview'!E31)</f>
        <v>NO</v>
      </c>
      <c r="H28" s="323" t="str">
        <f>IF('Table A. Overview'!E32="",'Table A. Overview'!M32,'Table A. Overview'!E32)</f>
        <v>NO</v>
      </c>
      <c r="I28" s="284">
        <f t="shared" si="0"/>
        <v>0</v>
      </c>
    </row>
    <row r="29" spans="1:55" ht="18.95" customHeight="1">
      <c r="A29" s="59"/>
      <c r="B29" s="63" t="s">
        <v>80</v>
      </c>
      <c r="C29" s="65" t="s">
        <v>12</v>
      </c>
      <c r="D29" s="331"/>
      <c r="E29" s="313"/>
      <c r="F29" s="272" t="str">
        <f>IF('Table A. Overview'!E34="",'Table A. Overview'!M34,'Table A. Overview'!E34)</f>
        <v>NO</v>
      </c>
      <c r="G29" s="272" t="str">
        <f>IF('Table A. Overview'!E35="",'Table A. Overview'!M35,'Table A. Overview'!E35)</f>
        <v>NO</v>
      </c>
      <c r="H29" s="323" t="str">
        <f>IF('Table A. Overview'!E36="",'Table A. Overview'!M36,'Table A. Overview'!E36)</f>
        <v>NO</v>
      </c>
      <c r="I29" s="284">
        <f t="shared" si="0"/>
        <v>0</v>
      </c>
    </row>
    <row r="30" spans="1:55" ht="18.95" customHeight="1">
      <c r="A30" s="59"/>
      <c r="B30" s="63" t="s">
        <v>84</v>
      </c>
      <c r="C30" s="65" t="s">
        <v>13</v>
      </c>
      <c r="D30" s="331"/>
      <c r="E30" s="313"/>
      <c r="F30" s="272" t="str">
        <f>IF('Table A. Overview'!E38="",'Table A. Overview'!M38,'Table A. Overview'!E38)</f>
        <v>NO</v>
      </c>
      <c r="G30" s="308"/>
      <c r="H30" s="308"/>
      <c r="I30" s="285">
        <f>SUM(F30:H30)</f>
        <v>0</v>
      </c>
    </row>
    <row r="31" spans="1:55" ht="18.95" customHeight="1">
      <c r="A31" s="59"/>
      <c r="B31" s="63" t="s">
        <v>87</v>
      </c>
      <c r="C31" s="65" t="s">
        <v>14</v>
      </c>
      <c r="D31" s="331"/>
      <c r="E31" s="313"/>
      <c r="F31" s="272">
        <f>IF('Table A. Overview'!E40="",'Table A. Overview'!M40,'Table A. Overview'!E40)</f>
        <v>147197.6506580743</v>
      </c>
      <c r="G31" s="308"/>
      <c r="H31" s="308"/>
      <c r="I31" s="285">
        <f>SUM(F31:H31)</f>
        <v>147197.6506580743</v>
      </c>
    </row>
    <row r="32" spans="1:55" ht="18.95" customHeight="1">
      <c r="A32" s="59"/>
      <c r="B32" s="312" t="s">
        <v>689</v>
      </c>
      <c r="C32" s="1199" t="s">
        <v>729</v>
      </c>
      <c r="D32" s="1200"/>
      <c r="E32" s="1201"/>
      <c r="F32" s="324">
        <f>SUM(F23:F26)+SUM(F28:F31)</f>
        <v>3759290.3545385031</v>
      </c>
      <c r="G32" s="324">
        <f>SUM(G23:G31)</f>
        <v>3899062.4476728532</v>
      </c>
      <c r="H32" s="324">
        <f>SUM(H23:H31)</f>
        <v>518534.71635555458</v>
      </c>
      <c r="I32" s="325">
        <f>SUM(I23:I26)+SUM(I28:I31)</f>
        <v>8176887.5185669102</v>
      </c>
    </row>
    <row r="33" spans="1:51" s="358" customFormat="1" ht="18.95" customHeight="1">
      <c r="A33" s="59"/>
      <c r="B33" s="63" t="s">
        <v>89</v>
      </c>
      <c r="C33" s="1186" t="s">
        <v>15</v>
      </c>
      <c r="D33" s="1187"/>
      <c r="E33" s="342"/>
      <c r="F33" s="277"/>
      <c r="G33" s="277"/>
      <c r="H33" s="277"/>
      <c r="I33" s="278"/>
      <c r="J33" s="316"/>
      <c r="K33" s="356"/>
      <c r="L33" s="356"/>
      <c r="M33" s="356"/>
      <c r="N33" s="356"/>
      <c r="O33" s="356"/>
      <c r="P33" s="356"/>
      <c r="Q33" s="356"/>
      <c r="R33" s="356"/>
      <c r="S33" s="356"/>
      <c r="T33" s="356"/>
      <c r="U33" s="356"/>
      <c r="V33" s="356"/>
      <c r="W33" s="356"/>
      <c r="X33" s="356"/>
      <c r="Y33" s="356"/>
      <c r="Z33" s="356"/>
      <c r="AA33" s="356"/>
      <c r="AB33" s="356"/>
      <c r="AC33" s="356"/>
      <c r="AD33" s="356"/>
      <c r="AE33" s="356"/>
      <c r="AF33" s="356"/>
      <c r="AG33" s="356"/>
      <c r="AH33" s="356"/>
      <c r="AI33" s="356"/>
      <c r="AJ33" s="356"/>
      <c r="AK33" s="356"/>
      <c r="AL33" s="356"/>
      <c r="AM33" s="356"/>
      <c r="AN33" s="356"/>
      <c r="AO33" s="356"/>
      <c r="AP33" s="356"/>
      <c r="AQ33" s="356"/>
      <c r="AR33" s="356"/>
      <c r="AS33" s="356"/>
      <c r="AT33" s="356"/>
      <c r="AU33" s="356"/>
      <c r="AV33" s="356"/>
      <c r="AW33" s="356"/>
      <c r="AX33" s="356"/>
      <c r="AY33" s="356"/>
    </row>
    <row r="34" spans="1:51" s="358" customFormat="1" ht="18.95" customHeight="1">
      <c r="A34" s="59"/>
      <c r="B34" s="63" t="s">
        <v>90</v>
      </c>
      <c r="C34" s="65" t="s">
        <v>91</v>
      </c>
      <c r="D34" s="331"/>
      <c r="E34" s="313"/>
      <c r="F34" s="272">
        <f>IF('Table A. Overview'!E43="",'Table A. Overview'!M43,'Table A. Overview'!E43)</f>
        <v>3994892.8588032145</v>
      </c>
      <c r="G34" s="272" t="str">
        <f>IF('Table A. Overview'!E44="",'Table A. Overview'!M44,'Table A. Overview'!E44)</f>
        <v>NO</v>
      </c>
      <c r="H34" s="275" t="str">
        <f>IF('Table A. Overview'!E45="",'Table A. Overview'!M45,'Table A. Overview'!E45)</f>
        <v>NE</v>
      </c>
      <c r="I34" s="284">
        <f>SUM(F34:H34)</f>
        <v>3994892.8588032145</v>
      </c>
      <c r="J34" s="316"/>
      <c r="K34" s="356"/>
      <c r="L34" s="356"/>
      <c r="M34" s="356"/>
      <c r="N34" s="356"/>
      <c r="O34" s="356"/>
      <c r="P34" s="356"/>
      <c r="Q34" s="356"/>
      <c r="R34" s="356"/>
      <c r="S34" s="356"/>
      <c r="T34" s="356"/>
      <c r="U34" s="356"/>
      <c r="V34" s="356"/>
      <c r="W34" s="356"/>
      <c r="X34" s="356"/>
      <c r="Y34" s="356"/>
      <c r="Z34" s="356"/>
      <c r="AA34" s="356"/>
      <c r="AB34" s="356"/>
      <c r="AC34" s="356"/>
      <c r="AD34" s="356"/>
      <c r="AE34" s="356"/>
      <c r="AF34" s="356"/>
      <c r="AG34" s="356"/>
      <c r="AH34" s="356"/>
      <c r="AI34" s="356"/>
      <c r="AJ34" s="356"/>
      <c r="AK34" s="356"/>
      <c r="AL34" s="356"/>
      <c r="AM34" s="356"/>
      <c r="AN34" s="356"/>
      <c r="AO34" s="356"/>
      <c r="AP34" s="356"/>
      <c r="AQ34" s="356"/>
      <c r="AR34" s="356"/>
      <c r="AS34" s="356"/>
      <c r="AT34" s="356"/>
      <c r="AU34" s="356"/>
      <c r="AV34" s="356"/>
      <c r="AW34" s="356"/>
      <c r="AX34" s="356"/>
      <c r="AY34" s="356"/>
    </row>
    <row r="35" spans="1:51" s="358" customFormat="1" ht="18.95" customHeight="1">
      <c r="A35" s="59"/>
      <c r="B35" s="63" t="s">
        <v>97</v>
      </c>
      <c r="C35" s="65" t="s">
        <v>17</v>
      </c>
      <c r="D35" s="331"/>
      <c r="E35" s="313"/>
      <c r="F35" s="272">
        <f>IF('Table A. Overview'!E47="",'Table A. Overview'!M47,'Table A. Overview'!E47)</f>
        <v>17541.769469090708</v>
      </c>
      <c r="G35" s="272">
        <f>IF('Table A. Overview'!E48="",'Table A. Overview'!M48,'Table A. Overview'!E48)</f>
        <v>78892.884675146299</v>
      </c>
      <c r="H35" s="275">
        <f>IF('Table A. Overview'!E49="",'Table A. Overview'!M49,'Table A. Overview'!E49)</f>
        <v>17033.43541626689</v>
      </c>
      <c r="I35" s="284">
        <f>SUM(F35:H35)</f>
        <v>113468.0895605039</v>
      </c>
      <c r="J35" s="316"/>
      <c r="K35" s="356"/>
      <c r="L35" s="356"/>
      <c r="M35" s="356"/>
      <c r="N35" s="356"/>
      <c r="O35" s="356"/>
      <c r="P35" s="356"/>
      <c r="Q35" s="356"/>
      <c r="R35" s="356"/>
      <c r="S35" s="356"/>
      <c r="T35" s="356"/>
      <c r="U35" s="356"/>
      <c r="V35" s="356"/>
      <c r="W35" s="356"/>
      <c r="X35" s="356"/>
      <c r="Y35" s="356"/>
      <c r="Z35" s="356"/>
      <c r="AA35" s="356"/>
      <c r="AB35" s="356"/>
      <c r="AC35" s="356"/>
      <c r="AD35" s="356"/>
      <c r="AE35" s="356"/>
      <c r="AF35" s="356"/>
      <c r="AG35" s="356"/>
      <c r="AH35" s="356"/>
      <c r="AI35" s="356"/>
      <c r="AJ35" s="356"/>
      <c r="AK35" s="356"/>
      <c r="AL35" s="356"/>
      <c r="AM35" s="356"/>
      <c r="AN35" s="356"/>
      <c r="AO35" s="356"/>
      <c r="AP35" s="356"/>
      <c r="AQ35" s="356"/>
      <c r="AR35" s="356"/>
      <c r="AS35" s="356"/>
      <c r="AT35" s="356"/>
      <c r="AU35" s="356"/>
      <c r="AV35" s="356"/>
      <c r="AW35" s="356"/>
      <c r="AX35" s="356"/>
      <c r="AY35" s="356"/>
    </row>
    <row r="36" spans="1:51" s="358" customFormat="1" ht="18.95" customHeight="1">
      <c r="A36" s="59"/>
      <c r="B36" s="63" t="s">
        <v>103</v>
      </c>
      <c r="C36" s="65" t="s">
        <v>18</v>
      </c>
      <c r="D36" s="331"/>
      <c r="E36" s="313"/>
      <c r="F36" s="272" t="str">
        <f>IF('Table A. Overview'!E51="",'Table A. Overview'!M51,'Table A. Overview'!E51)</f>
        <v>NO</v>
      </c>
      <c r="G36" s="272" t="str">
        <f>IF('Table A. Overview'!E52="",'Table A. Overview'!M52,'Table A. Overview'!E52)</f>
        <v>NO</v>
      </c>
      <c r="H36" s="275" t="str">
        <f>IF('Table A. Overview'!E53="",'Table A. Overview'!M53,'Table A. Overview'!E53)</f>
        <v>NE</v>
      </c>
      <c r="I36" s="284">
        <f>SUM(F36:H36)</f>
        <v>0</v>
      </c>
      <c r="J36" s="316"/>
      <c r="K36" s="356"/>
      <c r="L36" s="356"/>
      <c r="M36" s="356"/>
      <c r="N36" s="356"/>
      <c r="O36" s="356"/>
      <c r="P36" s="356"/>
      <c r="Q36" s="356"/>
      <c r="R36" s="356"/>
      <c r="S36" s="356"/>
      <c r="T36" s="356"/>
      <c r="U36" s="356"/>
      <c r="V36" s="356"/>
      <c r="W36" s="356"/>
      <c r="X36" s="356"/>
      <c r="Y36" s="356"/>
      <c r="Z36" s="356"/>
      <c r="AA36" s="356"/>
      <c r="AB36" s="356"/>
      <c r="AC36" s="356"/>
      <c r="AD36" s="356"/>
      <c r="AE36" s="356"/>
      <c r="AF36" s="356"/>
      <c r="AG36" s="356"/>
      <c r="AH36" s="356"/>
      <c r="AI36" s="356"/>
      <c r="AJ36" s="356"/>
      <c r="AK36" s="356"/>
      <c r="AL36" s="356"/>
      <c r="AM36" s="356"/>
      <c r="AN36" s="356"/>
      <c r="AO36" s="356"/>
      <c r="AP36" s="356"/>
      <c r="AQ36" s="356"/>
      <c r="AR36" s="356"/>
      <c r="AS36" s="356"/>
      <c r="AT36" s="356"/>
      <c r="AU36" s="356"/>
      <c r="AV36" s="356"/>
      <c r="AW36" s="356"/>
      <c r="AX36" s="356"/>
      <c r="AY36" s="356"/>
    </row>
    <row r="37" spans="1:51" s="358" customFormat="1" ht="18.95" customHeight="1">
      <c r="A37" s="59"/>
      <c r="B37" s="63" t="s">
        <v>109</v>
      </c>
      <c r="C37" s="65" t="s">
        <v>19</v>
      </c>
      <c r="D37" s="331"/>
      <c r="E37" s="313"/>
      <c r="F37" s="272" t="str">
        <f>IF('Table A. Overview'!E55="",'Table A. Overview'!M55,'Table A. Overview'!E55)</f>
        <v>NO</v>
      </c>
      <c r="G37" s="272" t="str">
        <f>IF('Table A. Overview'!E56="",'Table A. Overview'!M56,'Table A. Overview'!E56)</f>
        <v>NO</v>
      </c>
      <c r="H37" s="275" t="str">
        <f>IF('Table A. Overview'!E57="",'Table A. Overview'!M57,'Table A. Overview'!E57)</f>
        <v>NE</v>
      </c>
      <c r="I37" s="284">
        <f>SUM(F37:H37)</f>
        <v>0</v>
      </c>
      <c r="J37" s="316"/>
      <c r="K37" s="356"/>
      <c r="L37" s="356"/>
      <c r="M37" s="356"/>
      <c r="N37" s="356"/>
      <c r="O37" s="356"/>
      <c r="P37" s="356"/>
      <c r="Q37" s="356"/>
      <c r="R37" s="356"/>
      <c r="S37" s="356"/>
      <c r="T37" s="356"/>
      <c r="U37" s="356"/>
      <c r="V37" s="356"/>
      <c r="W37" s="356"/>
      <c r="X37" s="356"/>
      <c r="Y37" s="356"/>
      <c r="Z37" s="356"/>
      <c r="AA37" s="356"/>
      <c r="AB37" s="356"/>
      <c r="AC37" s="356"/>
      <c r="AD37" s="356"/>
      <c r="AE37" s="356"/>
      <c r="AF37" s="356"/>
      <c r="AG37" s="356"/>
      <c r="AH37" s="356"/>
      <c r="AI37" s="356"/>
      <c r="AJ37" s="356"/>
      <c r="AK37" s="356"/>
      <c r="AL37" s="356"/>
      <c r="AM37" s="356"/>
      <c r="AN37" s="356"/>
      <c r="AO37" s="356"/>
      <c r="AP37" s="356"/>
      <c r="AQ37" s="356"/>
      <c r="AR37" s="356"/>
      <c r="AS37" s="356"/>
      <c r="AT37" s="356"/>
      <c r="AU37" s="356"/>
      <c r="AV37" s="356"/>
      <c r="AW37" s="356"/>
      <c r="AX37" s="356"/>
      <c r="AY37" s="356"/>
    </row>
    <row r="38" spans="1:51" s="358" customFormat="1" ht="18.95" customHeight="1">
      <c r="A38" s="59"/>
      <c r="B38" s="63" t="s">
        <v>115</v>
      </c>
      <c r="C38" s="65" t="s">
        <v>116</v>
      </c>
      <c r="D38" s="331"/>
      <c r="E38" s="313"/>
      <c r="F38" s="272" t="str">
        <f>IF('Table A. Overview'!E59="",'Table A. Overview'!M59,'Table A. Overview'!E59)</f>
        <v>IE</v>
      </c>
      <c r="G38" s="272" t="str">
        <f>IF('Table A. Overview'!E60="",'Table A. Overview'!M60,'Table A. Overview'!E60)</f>
        <v>NO</v>
      </c>
      <c r="H38" s="275" t="str">
        <f>IF('Table A. Overview'!E61="",'Table A. Overview'!M61,'Table A. Overview'!E61)</f>
        <v>NE</v>
      </c>
      <c r="I38" s="284">
        <f>SUM(F38:H38)</f>
        <v>0</v>
      </c>
      <c r="J38" s="316"/>
      <c r="K38" s="356"/>
      <c r="L38" s="356"/>
      <c r="M38" s="356"/>
      <c r="N38" s="356"/>
      <c r="O38" s="356"/>
      <c r="P38" s="356"/>
      <c r="Q38" s="356"/>
      <c r="R38" s="356"/>
      <c r="S38" s="356"/>
      <c r="T38" s="356"/>
      <c r="U38" s="356"/>
      <c r="V38" s="356"/>
      <c r="W38" s="356"/>
      <c r="X38" s="356"/>
      <c r="Y38" s="356"/>
      <c r="Z38" s="356"/>
      <c r="AA38" s="356"/>
      <c r="AB38" s="356"/>
      <c r="AC38" s="356"/>
      <c r="AD38" s="356"/>
      <c r="AE38" s="356"/>
      <c r="AF38" s="356"/>
      <c r="AG38" s="356"/>
      <c r="AH38" s="356"/>
      <c r="AI38" s="356"/>
      <c r="AJ38" s="356"/>
      <c r="AK38" s="356"/>
      <c r="AL38" s="356"/>
      <c r="AM38" s="356"/>
      <c r="AN38" s="356"/>
      <c r="AO38" s="356"/>
      <c r="AP38" s="356"/>
      <c r="AQ38" s="356"/>
      <c r="AR38" s="356"/>
      <c r="AS38" s="356"/>
      <c r="AT38" s="356"/>
      <c r="AU38" s="356"/>
      <c r="AV38" s="356"/>
      <c r="AW38" s="356"/>
      <c r="AX38" s="356"/>
      <c r="AY38" s="356"/>
    </row>
    <row r="39" spans="1:51" s="358" customFormat="1" ht="18.95" customHeight="1">
      <c r="A39" s="59"/>
      <c r="B39" s="312" t="s">
        <v>689</v>
      </c>
      <c r="C39" s="332" t="s">
        <v>729</v>
      </c>
      <c r="D39" s="334"/>
      <c r="E39" s="333"/>
      <c r="F39" s="324">
        <f>SUM(F34:F38)</f>
        <v>4012434.6282723052</v>
      </c>
      <c r="G39" s="324">
        <f>SUM(G34:G38)</f>
        <v>78892.884675146299</v>
      </c>
      <c r="H39" s="324">
        <f>SUM(H34:H38)</f>
        <v>17033.43541626689</v>
      </c>
      <c r="I39" s="325">
        <f>SUM(I34:I38)</f>
        <v>4108360.9483637186</v>
      </c>
      <c r="J39" s="316"/>
      <c r="K39" s="356"/>
      <c r="L39" s="356"/>
      <c r="M39" s="356"/>
      <c r="N39" s="356"/>
      <c r="O39" s="356"/>
      <c r="P39" s="356"/>
      <c r="Q39" s="356"/>
      <c r="R39" s="356"/>
      <c r="S39" s="356"/>
      <c r="T39" s="356"/>
      <c r="U39" s="356"/>
      <c r="V39" s="356"/>
      <c r="W39" s="356"/>
      <c r="X39" s="356"/>
      <c r="Y39" s="356"/>
      <c r="Z39" s="356"/>
      <c r="AA39" s="356"/>
      <c r="AB39" s="356"/>
      <c r="AC39" s="356"/>
      <c r="AD39" s="356"/>
      <c r="AE39" s="356"/>
      <c r="AF39" s="356"/>
      <c r="AG39" s="356"/>
      <c r="AH39" s="356"/>
      <c r="AI39" s="356"/>
      <c r="AJ39" s="356"/>
      <c r="AK39" s="356"/>
      <c r="AL39" s="356"/>
      <c r="AM39" s="356"/>
      <c r="AN39" s="356"/>
      <c r="AO39" s="356"/>
      <c r="AP39" s="356"/>
      <c r="AQ39" s="356"/>
      <c r="AR39" s="356"/>
      <c r="AS39" s="356"/>
      <c r="AT39" s="356"/>
      <c r="AU39" s="356"/>
      <c r="AV39" s="356"/>
      <c r="AW39" s="356"/>
      <c r="AX39" s="356"/>
      <c r="AY39" s="356"/>
    </row>
    <row r="40" spans="1:51" s="358" customFormat="1" ht="18.95" customHeight="1">
      <c r="A40" s="59"/>
      <c r="B40" s="63" t="s">
        <v>121</v>
      </c>
      <c r="C40" s="1186" t="s">
        <v>122</v>
      </c>
      <c r="D40" s="1187"/>
      <c r="E40" s="342"/>
      <c r="F40" s="277"/>
      <c r="G40" s="277"/>
      <c r="H40" s="277"/>
      <c r="I40" s="278"/>
      <c r="J40" s="316"/>
      <c r="K40" s="356"/>
      <c r="L40" s="356"/>
      <c r="M40" s="356"/>
      <c r="N40" s="356"/>
      <c r="O40" s="356"/>
      <c r="P40" s="356"/>
      <c r="Q40" s="356"/>
      <c r="R40" s="356"/>
      <c r="S40" s="356"/>
      <c r="T40" s="356"/>
      <c r="U40" s="356"/>
      <c r="V40" s="356"/>
      <c r="W40" s="356"/>
      <c r="X40" s="356"/>
      <c r="Y40" s="356"/>
      <c r="Z40" s="356"/>
      <c r="AA40" s="356"/>
      <c r="AB40" s="356"/>
      <c r="AC40" s="356"/>
      <c r="AD40" s="356"/>
      <c r="AE40" s="356"/>
      <c r="AF40" s="356"/>
      <c r="AG40" s="356"/>
      <c r="AH40" s="356"/>
      <c r="AI40" s="356"/>
      <c r="AJ40" s="356"/>
      <c r="AK40" s="356"/>
      <c r="AL40" s="356"/>
      <c r="AM40" s="356"/>
      <c r="AN40" s="356"/>
      <c r="AO40" s="356"/>
      <c r="AP40" s="356"/>
      <c r="AQ40" s="356"/>
      <c r="AR40" s="356"/>
      <c r="AS40" s="356"/>
      <c r="AT40" s="356"/>
      <c r="AU40" s="356"/>
      <c r="AV40" s="356"/>
      <c r="AW40" s="356"/>
      <c r="AX40" s="356"/>
      <c r="AY40" s="356"/>
    </row>
    <row r="41" spans="1:51" s="358" customFormat="1" ht="18.95" customHeight="1">
      <c r="A41" s="59"/>
      <c r="B41" s="63" t="s">
        <v>721</v>
      </c>
      <c r="C41" s="65" t="s">
        <v>22</v>
      </c>
      <c r="D41" s="331"/>
      <c r="E41" s="313"/>
      <c r="F41" s="272" t="str">
        <f>IF('Table A. Overview'!E64="",'Table A. Overview'!M64,'Table A. Overview'!E64)</f>
        <v>NO</v>
      </c>
      <c r="G41" s="308"/>
      <c r="H41" s="272">
        <f>IF('Table A. Overview'!E65="",'Table A. Overview'!M65,'Table A. Overview'!E65)</f>
        <v>1637774</v>
      </c>
      <c r="I41" s="285">
        <f>SUM(F41:H41)</f>
        <v>1637774</v>
      </c>
      <c r="J41" s="316"/>
      <c r="K41" s="356"/>
      <c r="L41" s="356"/>
      <c r="M41" s="356"/>
      <c r="N41" s="356"/>
      <c r="O41" s="356"/>
      <c r="P41" s="356"/>
      <c r="Q41" s="356"/>
      <c r="R41" s="356"/>
      <c r="S41" s="356"/>
      <c r="T41" s="356"/>
      <c r="U41" s="356"/>
      <c r="V41" s="356"/>
      <c r="W41" s="356"/>
      <c r="X41" s="356"/>
      <c r="Y41" s="356"/>
      <c r="Z41" s="356"/>
      <c r="AA41" s="356"/>
      <c r="AB41" s="356"/>
      <c r="AC41" s="356"/>
      <c r="AD41" s="356"/>
      <c r="AE41" s="356"/>
      <c r="AF41" s="356"/>
      <c r="AG41" s="356"/>
      <c r="AH41" s="356"/>
      <c r="AI41" s="356"/>
      <c r="AJ41" s="356"/>
      <c r="AK41" s="356"/>
      <c r="AL41" s="356"/>
      <c r="AM41" s="356"/>
      <c r="AN41" s="356"/>
      <c r="AO41" s="356"/>
      <c r="AP41" s="356"/>
      <c r="AQ41" s="356"/>
      <c r="AR41" s="356"/>
      <c r="AS41" s="356"/>
      <c r="AT41" s="356"/>
      <c r="AU41" s="356"/>
      <c r="AV41" s="356"/>
      <c r="AW41" s="356"/>
      <c r="AX41" s="356"/>
      <c r="AY41" s="356"/>
    </row>
    <row r="42" spans="1:51" s="358" customFormat="1" ht="18.95" customHeight="1">
      <c r="A42" s="59"/>
      <c r="B42" s="63" t="s">
        <v>722</v>
      </c>
      <c r="C42" s="65" t="s">
        <v>24</v>
      </c>
      <c r="D42" s="331"/>
      <c r="E42" s="313"/>
      <c r="F42" s="272" t="str">
        <f>IF('Table A. Overview'!E68="",'Table A. Overview'!M68,'Table A. Overview'!E68)</f>
        <v>NO</v>
      </c>
      <c r="G42" s="308"/>
      <c r="H42" s="272">
        <f>IF('Table A. Overview'!E69="",'Table A. Overview'!M69,'Table A. Overview'!E69)</f>
        <v>5261.6500000000005</v>
      </c>
      <c r="I42" s="285">
        <f>SUM(F42:H42)</f>
        <v>5261.6500000000005</v>
      </c>
      <c r="J42" s="316"/>
      <c r="K42" s="356"/>
      <c r="L42" s="356"/>
      <c r="M42" s="356"/>
      <c r="N42" s="356"/>
      <c r="O42" s="356"/>
      <c r="P42" s="356"/>
      <c r="Q42" s="356"/>
      <c r="R42" s="356"/>
      <c r="S42" s="356"/>
      <c r="T42" s="356"/>
      <c r="U42" s="356"/>
      <c r="V42" s="356"/>
      <c r="W42" s="356"/>
      <c r="X42" s="356"/>
      <c r="Y42" s="356"/>
      <c r="Z42" s="356"/>
      <c r="AA42" s="356"/>
      <c r="AB42" s="356"/>
      <c r="AC42" s="356"/>
      <c r="AD42" s="356"/>
      <c r="AE42" s="356"/>
      <c r="AF42" s="356"/>
      <c r="AG42" s="356"/>
      <c r="AH42" s="356"/>
      <c r="AI42" s="356"/>
      <c r="AJ42" s="356"/>
      <c r="AK42" s="356"/>
      <c r="AL42" s="356"/>
      <c r="AM42" s="356"/>
      <c r="AN42" s="356"/>
      <c r="AO42" s="356"/>
      <c r="AP42" s="356"/>
      <c r="AQ42" s="356"/>
      <c r="AR42" s="356"/>
      <c r="AS42" s="356"/>
      <c r="AT42" s="356"/>
      <c r="AU42" s="356"/>
      <c r="AV42" s="356"/>
      <c r="AW42" s="356"/>
      <c r="AX42" s="356"/>
      <c r="AY42" s="356"/>
    </row>
    <row r="43" spans="1:51" s="358" customFormat="1" ht="18.95" customHeight="1">
      <c r="A43" s="59"/>
      <c r="B43" s="63" t="s">
        <v>723</v>
      </c>
      <c r="C43" s="65" t="s">
        <v>26</v>
      </c>
      <c r="D43" s="331"/>
      <c r="E43" s="313"/>
      <c r="F43" s="272" t="str">
        <f>IF('Table A. Overview'!E72="",'Table A. Overview'!M72,'Table A. Overview'!E72)</f>
        <v>NO</v>
      </c>
      <c r="G43" s="308"/>
      <c r="H43" s="272" t="str">
        <f>IF('Table A. Overview'!E73="",'Table A. Overview'!M73,'Table A. Overview'!E73)</f>
        <v>NO</v>
      </c>
      <c r="I43" s="285">
        <f>SUM(F43:H43)</f>
        <v>0</v>
      </c>
      <c r="J43" s="316"/>
      <c r="K43" s="356"/>
      <c r="L43" s="356"/>
      <c r="M43" s="356"/>
      <c r="N43" s="356"/>
      <c r="O43" s="356"/>
      <c r="P43" s="356"/>
      <c r="Q43" s="356"/>
      <c r="R43" s="356"/>
      <c r="S43" s="356"/>
      <c r="T43" s="356"/>
      <c r="U43" s="356"/>
      <c r="V43" s="356"/>
      <c r="W43" s="356"/>
      <c r="X43" s="356"/>
      <c r="Y43" s="356"/>
      <c r="Z43" s="356"/>
      <c r="AA43" s="356"/>
      <c r="AB43" s="356"/>
      <c r="AC43" s="356"/>
      <c r="AD43" s="356"/>
      <c r="AE43" s="356"/>
      <c r="AF43" s="356"/>
      <c r="AG43" s="356"/>
      <c r="AH43" s="356"/>
      <c r="AI43" s="356"/>
      <c r="AJ43" s="356"/>
      <c r="AK43" s="356"/>
      <c r="AL43" s="356"/>
      <c r="AM43" s="356"/>
      <c r="AN43" s="356"/>
      <c r="AO43" s="356"/>
      <c r="AP43" s="356"/>
      <c r="AQ43" s="356"/>
      <c r="AR43" s="356"/>
      <c r="AS43" s="356"/>
      <c r="AT43" s="356"/>
      <c r="AU43" s="356"/>
      <c r="AV43" s="356"/>
      <c r="AW43" s="356"/>
      <c r="AX43" s="356"/>
      <c r="AY43" s="356"/>
    </row>
    <row r="44" spans="1:51" s="358" customFormat="1" ht="18.95" customHeight="1">
      <c r="A44" s="59"/>
      <c r="B44" s="63" t="s">
        <v>724</v>
      </c>
      <c r="C44" s="65" t="s">
        <v>28</v>
      </c>
      <c r="D44" s="331"/>
      <c r="E44" s="313"/>
      <c r="F44" s="272">
        <f>IF('Table A. Overview'!E76="",'Table A. Overview'!M76,'Table A. Overview'!E76)</f>
        <v>55390.376263450562</v>
      </c>
      <c r="G44" s="308"/>
      <c r="H44" s="272">
        <f>IF('Table A. Overview'!E77="",'Table A. Overview'!M77,'Table A. Overview'!E77)</f>
        <v>83186</v>
      </c>
      <c r="I44" s="285">
        <f>SUM(F44:H44)</f>
        <v>138576.37626345057</v>
      </c>
      <c r="J44" s="316"/>
      <c r="K44" s="356"/>
      <c r="L44" s="356"/>
      <c r="M44" s="356"/>
      <c r="N44" s="356"/>
      <c r="O44" s="356"/>
      <c r="P44" s="356"/>
      <c r="Q44" s="356"/>
      <c r="R44" s="356"/>
      <c r="S44" s="356"/>
      <c r="T44" s="356"/>
      <c r="U44" s="356"/>
      <c r="V44" s="356"/>
      <c r="W44" s="356"/>
      <c r="X44" s="356"/>
      <c r="Y44" s="356"/>
      <c r="Z44" s="356"/>
      <c r="AA44" s="356"/>
      <c r="AB44" s="356"/>
      <c r="AC44" s="356"/>
      <c r="AD44" s="356"/>
      <c r="AE44" s="356"/>
      <c r="AF44" s="356"/>
      <c r="AG44" s="356"/>
      <c r="AH44" s="356"/>
      <c r="AI44" s="356"/>
      <c r="AJ44" s="356"/>
      <c r="AK44" s="356"/>
      <c r="AL44" s="356"/>
      <c r="AM44" s="356"/>
      <c r="AN44" s="356"/>
      <c r="AO44" s="356"/>
      <c r="AP44" s="356"/>
      <c r="AQ44" s="356"/>
      <c r="AR44" s="356"/>
      <c r="AS44" s="356"/>
      <c r="AT44" s="356"/>
      <c r="AU44" s="356"/>
      <c r="AV44" s="356"/>
      <c r="AW44" s="356"/>
      <c r="AX44" s="356"/>
      <c r="AY44" s="356"/>
    </row>
    <row r="45" spans="1:51" s="358" customFormat="1" ht="18.95" customHeight="1">
      <c r="A45" s="59"/>
      <c r="B45" s="63" t="s">
        <v>128</v>
      </c>
      <c r="C45" s="65" t="s">
        <v>23</v>
      </c>
      <c r="D45" s="331"/>
      <c r="E45" s="313"/>
      <c r="F45" s="279" t="str">
        <f>IF('Table A. Overview'!E66="",'Table A. Overview'!M66,'Table A. Overview'!E66)</f>
        <v>NO</v>
      </c>
      <c r="G45" s="308"/>
      <c r="H45" s="308"/>
      <c r="I45" s="318"/>
      <c r="J45" s="316"/>
      <c r="K45" s="356"/>
      <c r="L45" s="356"/>
      <c r="M45" s="356"/>
      <c r="N45" s="356"/>
      <c r="O45" s="356"/>
      <c r="P45" s="356"/>
      <c r="Q45" s="356"/>
      <c r="R45" s="356"/>
      <c r="S45" s="356"/>
      <c r="T45" s="356"/>
      <c r="U45" s="356"/>
      <c r="V45" s="356"/>
      <c r="W45" s="356"/>
      <c r="X45" s="356"/>
      <c r="Y45" s="356"/>
      <c r="Z45" s="356"/>
      <c r="AA45" s="356"/>
      <c r="AB45" s="356"/>
      <c r="AC45" s="356"/>
      <c r="AD45" s="356"/>
      <c r="AE45" s="356"/>
      <c r="AF45" s="356"/>
      <c r="AG45" s="356"/>
      <c r="AH45" s="356"/>
      <c r="AI45" s="356"/>
      <c r="AJ45" s="356"/>
      <c r="AK45" s="356"/>
      <c r="AL45" s="356"/>
      <c r="AM45" s="356"/>
      <c r="AN45" s="356"/>
      <c r="AO45" s="356"/>
      <c r="AP45" s="356"/>
      <c r="AQ45" s="356"/>
      <c r="AR45" s="356"/>
      <c r="AS45" s="356"/>
      <c r="AT45" s="356"/>
      <c r="AU45" s="356"/>
      <c r="AV45" s="356"/>
      <c r="AW45" s="356"/>
      <c r="AX45" s="356"/>
      <c r="AY45" s="356"/>
    </row>
    <row r="46" spans="1:51" s="358" customFormat="1" ht="18.95" customHeight="1">
      <c r="A46" s="59"/>
      <c r="B46" s="63" t="s">
        <v>134</v>
      </c>
      <c r="C46" s="65" t="s">
        <v>25</v>
      </c>
      <c r="D46" s="331"/>
      <c r="E46" s="313"/>
      <c r="F46" s="279" t="str">
        <f>IF('Table A. Overview'!E70="",'Table A. Overview'!M70,'Table A. Overview'!E70)</f>
        <v>NO</v>
      </c>
      <c r="G46" s="308"/>
      <c r="H46" s="308"/>
      <c r="I46" s="318"/>
      <c r="J46" s="316"/>
      <c r="K46" s="356"/>
      <c r="L46" s="356"/>
      <c r="M46" s="356"/>
      <c r="N46" s="356"/>
      <c r="O46" s="356"/>
      <c r="P46" s="356"/>
      <c r="Q46" s="356"/>
      <c r="R46" s="356"/>
      <c r="S46" s="356"/>
      <c r="T46" s="356"/>
      <c r="U46" s="356"/>
      <c r="V46" s="356"/>
      <c r="W46" s="356"/>
      <c r="X46" s="356"/>
      <c r="Y46" s="356"/>
      <c r="Z46" s="356"/>
      <c r="AA46" s="356"/>
      <c r="AB46" s="356"/>
      <c r="AC46" s="356"/>
      <c r="AD46" s="356"/>
      <c r="AE46" s="356"/>
      <c r="AF46" s="356"/>
      <c r="AG46" s="356"/>
      <c r="AH46" s="356"/>
      <c r="AI46" s="356"/>
      <c r="AJ46" s="356"/>
      <c r="AK46" s="356"/>
      <c r="AL46" s="356"/>
      <c r="AM46" s="356"/>
      <c r="AN46" s="356"/>
      <c r="AO46" s="356"/>
      <c r="AP46" s="356"/>
      <c r="AQ46" s="356"/>
      <c r="AR46" s="356"/>
      <c r="AS46" s="356"/>
      <c r="AT46" s="356"/>
      <c r="AU46" s="356"/>
      <c r="AV46" s="356"/>
      <c r="AW46" s="356"/>
      <c r="AX46" s="356"/>
      <c r="AY46" s="356"/>
    </row>
    <row r="47" spans="1:51" s="358" customFormat="1" ht="18.95" customHeight="1">
      <c r="A47" s="59"/>
      <c r="B47" s="63" t="s">
        <v>141</v>
      </c>
      <c r="C47" s="65" t="s">
        <v>27</v>
      </c>
      <c r="D47" s="331"/>
      <c r="E47" s="313"/>
      <c r="F47" s="279" t="str">
        <f>IF('Table A. Overview'!E74="",'Table A. Overview'!M74,'Table A. Overview'!E74)</f>
        <v>NO</v>
      </c>
      <c r="G47" s="308"/>
      <c r="H47" s="308"/>
      <c r="I47" s="318"/>
      <c r="J47" s="316"/>
      <c r="K47" s="356"/>
      <c r="L47" s="356"/>
      <c r="M47" s="356"/>
      <c r="N47" s="356"/>
      <c r="O47" s="356"/>
      <c r="P47" s="356"/>
      <c r="Q47" s="356"/>
      <c r="R47" s="356"/>
      <c r="S47" s="356"/>
      <c r="T47" s="356"/>
      <c r="U47" s="356"/>
      <c r="V47" s="356"/>
      <c r="W47" s="356"/>
      <c r="X47" s="356"/>
      <c r="Y47" s="356"/>
      <c r="Z47" s="356"/>
      <c r="AA47" s="356"/>
      <c r="AB47" s="356"/>
      <c r="AC47" s="356"/>
      <c r="AD47" s="356"/>
      <c r="AE47" s="356"/>
      <c r="AF47" s="356"/>
      <c r="AG47" s="356"/>
      <c r="AH47" s="356"/>
      <c r="AI47" s="356"/>
      <c r="AJ47" s="356"/>
      <c r="AK47" s="356"/>
      <c r="AL47" s="356"/>
      <c r="AM47" s="356"/>
      <c r="AN47" s="356"/>
      <c r="AO47" s="356"/>
      <c r="AP47" s="356"/>
      <c r="AQ47" s="356"/>
      <c r="AR47" s="356"/>
      <c r="AS47" s="356"/>
      <c r="AT47" s="356"/>
      <c r="AU47" s="356"/>
      <c r="AV47" s="356"/>
      <c r="AW47" s="356"/>
      <c r="AX47" s="356"/>
      <c r="AY47" s="356"/>
    </row>
    <row r="48" spans="1:51" s="358" customFormat="1" ht="18.95" customHeight="1">
      <c r="A48" s="59"/>
      <c r="B48" s="305" t="s">
        <v>148</v>
      </c>
      <c r="C48" s="65" t="s">
        <v>29</v>
      </c>
      <c r="D48" s="331"/>
      <c r="E48" s="313"/>
      <c r="F48" s="279" t="str">
        <f>IF('Table A. Overview'!E78="",'Table A. Overview'!M78,'Table A. Overview'!E78)</f>
        <v>NO</v>
      </c>
      <c r="G48" s="308"/>
      <c r="H48" s="308"/>
      <c r="I48" s="318"/>
      <c r="J48" s="316"/>
      <c r="K48" s="356"/>
      <c r="L48" s="356"/>
      <c r="M48" s="356"/>
      <c r="N48" s="356"/>
      <c r="O48" s="356"/>
      <c r="P48" s="356"/>
      <c r="Q48" s="356"/>
      <c r="R48" s="356"/>
      <c r="S48" s="356"/>
      <c r="T48" s="356"/>
      <c r="U48" s="356"/>
      <c r="V48" s="356"/>
      <c r="W48" s="356"/>
      <c r="X48" s="356"/>
      <c r="Y48" s="356"/>
      <c r="Z48" s="356"/>
      <c r="AA48" s="356"/>
      <c r="AB48" s="356"/>
      <c r="AC48" s="356"/>
      <c r="AD48" s="356"/>
      <c r="AE48" s="356"/>
      <c r="AF48" s="356"/>
      <c r="AG48" s="356"/>
      <c r="AH48" s="356"/>
      <c r="AI48" s="356"/>
      <c r="AJ48" s="356"/>
      <c r="AK48" s="356"/>
      <c r="AL48" s="356"/>
      <c r="AM48" s="356"/>
      <c r="AN48" s="356"/>
      <c r="AO48" s="356"/>
      <c r="AP48" s="356"/>
      <c r="AQ48" s="356"/>
      <c r="AR48" s="356"/>
      <c r="AS48" s="356"/>
      <c r="AT48" s="356"/>
      <c r="AU48" s="356"/>
      <c r="AV48" s="356"/>
      <c r="AW48" s="356"/>
      <c r="AX48" s="356"/>
      <c r="AY48" s="356"/>
    </row>
    <row r="49" spans="1:55" ht="18.95" customHeight="1">
      <c r="A49" s="59"/>
      <c r="B49" s="312" t="s">
        <v>689</v>
      </c>
      <c r="C49" s="332" t="s">
        <v>729</v>
      </c>
      <c r="D49" s="334"/>
      <c r="E49" s="333"/>
      <c r="F49" s="324">
        <f>SUM(F41:F44)</f>
        <v>55390.376263450562</v>
      </c>
      <c r="G49" s="324"/>
      <c r="H49" s="324">
        <f>SUM(H41:H44)</f>
        <v>1726221.65</v>
      </c>
      <c r="I49" s="325">
        <f>SUM(I41:I44)</f>
        <v>1781612.0262634505</v>
      </c>
    </row>
    <row r="50" spans="1:55" ht="18.95" customHeight="1">
      <c r="A50" s="59"/>
      <c r="B50" s="63" t="s">
        <v>150</v>
      </c>
      <c r="C50" s="1186" t="s">
        <v>687</v>
      </c>
      <c r="D50" s="1187"/>
      <c r="E50" s="342"/>
      <c r="F50" s="277"/>
      <c r="G50" s="277"/>
      <c r="H50" s="277"/>
      <c r="I50" s="278"/>
    </row>
    <row r="51" spans="1:55" ht="18.95" customHeight="1" collapsed="1">
      <c r="A51" s="59"/>
      <c r="B51" s="238" t="s">
        <v>152</v>
      </c>
      <c r="C51" s="335" t="s">
        <v>153</v>
      </c>
      <c r="D51" s="337"/>
      <c r="E51" s="336"/>
      <c r="F51" s="275" t="str">
        <f>IF('Table A. Overview'!E80="",'Table A. Overview'!M80,'Table A. Overview'!E80)</f>
        <v>NO</v>
      </c>
      <c r="G51" s="310"/>
      <c r="H51" s="310"/>
      <c r="I51" s="286">
        <f>SUM(F51:H51)</f>
        <v>0</v>
      </c>
    </row>
    <row r="52" spans="1:55" ht="18.95" customHeight="1" collapsed="1">
      <c r="A52" s="59"/>
      <c r="B52" s="238" t="s">
        <v>154</v>
      </c>
      <c r="C52" s="335" t="s">
        <v>155</v>
      </c>
      <c r="D52" s="337"/>
      <c r="E52" s="336"/>
      <c r="F52" s="275" t="str">
        <f>IF('Table A. Overview'!E81="",'Table A. Overview'!M81,'Table A. Overview'!E81)</f>
        <v>NE</v>
      </c>
      <c r="G52" s="310"/>
      <c r="H52" s="310"/>
      <c r="I52" s="286">
        <f>SUM(F52:H52)</f>
        <v>0</v>
      </c>
    </row>
    <row r="53" spans="1:55" ht="18.95" customHeight="1">
      <c r="A53" s="59"/>
      <c r="B53" s="312" t="s">
        <v>689</v>
      </c>
      <c r="C53" s="332" t="s">
        <v>729</v>
      </c>
      <c r="D53" s="334"/>
      <c r="E53" s="333"/>
      <c r="F53" s="324">
        <f>SUM(F51:F52)</f>
        <v>0</v>
      </c>
      <c r="G53" s="326"/>
      <c r="H53" s="326"/>
      <c r="I53" s="325">
        <f>SUM(I51:I52)</f>
        <v>0</v>
      </c>
    </row>
    <row r="54" spans="1:55" ht="18.95" customHeight="1">
      <c r="A54" s="59"/>
      <c r="B54" s="238" t="s">
        <v>156</v>
      </c>
      <c r="C54" s="1186" t="s">
        <v>688</v>
      </c>
      <c r="D54" s="1187"/>
      <c r="E54" s="342"/>
      <c r="F54" s="277"/>
      <c r="G54" s="277"/>
      <c r="H54" s="277"/>
      <c r="I54" s="278"/>
    </row>
    <row r="55" spans="1:55" ht="18.95" customHeight="1" collapsed="1">
      <c r="A55" s="59"/>
      <c r="B55" s="238" t="s">
        <v>158</v>
      </c>
      <c r="C55" s="335" t="s">
        <v>159</v>
      </c>
      <c r="D55" s="337"/>
      <c r="E55" s="336"/>
      <c r="F55" s="275" t="str">
        <f>IF('Table A. Overview'!E83="",'Table A. Overview'!M83,'Table A. Overview'!E83)</f>
        <v>NO</v>
      </c>
      <c r="G55" s="310"/>
      <c r="H55" s="310"/>
      <c r="I55" s="286">
        <f>SUM(F55:H55)</f>
        <v>0</v>
      </c>
    </row>
    <row r="56" spans="1:55" ht="18.95" customHeight="1" collapsed="1">
      <c r="A56" s="59"/>
      <c r="B56" s="238" t="s">
        <v>169</v>
      </c>
      <c r="C56" s="335" t="s">
        <v>160</v>
      </c>
      <c r="D56" s="337"/>
      <c r="E56" s="336"/>
      <c r="F56" s="275" t="str">
        <f>IF('Table A. Overview'!E84="",'Table A. Overview'!M84,'Table A. Overview'!E84)</f>
        <v>NO</v>
      </c>
      <c r="G56" s="310"/>
      <c r="H56" s="310"/>
      <c r="I56" s="286">
        <f>SUM(F56:H56)</f>
        <v>0</v>
      </c>
    </row>
    <row r="57" spans="1:55" ht="18.95" customHeight="1">
      <c r="A57" s="59"/>
      <c r="B57" s="241" t="s">
        <v>170</v>
      </c>
      <c r="C57" s="335" t="s">
        <v>161</v>
      </c>
      <c r="D57" s="337"/>
      <c r="E57" s="336"/>
      <c r="F57" s="275" t="str">
        <f>IF('Table A. Overview'!E85="",'Table A. Overview'!M85,'Table A. Overview'!E85)</f>
        <v>NO</v>
      </c>
      <c r="G57" s="310"/>
      <c r="H57" s="310"/>
      <c r="I57" s="286">
        <f>SUM(F57:H57)</f>
        <v>0</v>
      </c>
    </row>
    <row r="58" spans="1:55" ht="18.95" customHeight="1">
      <c r="A58" s="59"/>
      <c r="B58" s="312" t="s">
        <v>689</v>
      </c>
      <c r="C58" s="332" t="s">
        <v>729</v>
      </c>
      <c r="D58" s="334"/>
      <c r="E58" s="333"/>
      <c r="F58" s="324">
        <f>SUM(F55:F57)</f>
        <v>0</v>
      </c>
      <c r="G58" s="326"/>
      <c r="H58" s="326"/>
      <c r="I58" s="325">
        <f>SUM(I55:I57)</f>
        <v>0</v>
      </c>
    </row>
    <row r="59" spans="1:55" ht="18.95" customHeight="1">
      <c r="A59" s="59"/>
      <c r="B59" s="63" t="s">
        <v>162</v>
      </c>
      <c r="C59" s="1186" t="s">
        <v>37</v>
      </c>
      <c r="D59" s="1187"/>
      <c r="E59" s="342"/>
      <c r="F59" s="277"/>
      <c r="G59" s="277"/>
      <c r="H59" s="277"/>
      <c r="I59" s="278"/>
    </row>
    <row r="60" spans="1:55" ht="18.95" customHeight="1" thickBot="1">
      <c r="A60" s="59"/>
      <c r="B60" s="240" t="s">
        <v>163</v>
      </c>
      <c r="C60" s="338" t="s">
        <v>164</v>
      </c>
      <c r="D60" s="340"/>
      <c r="E60" s="339"/>
      <c r="F60" s="310"/>
      <c r="G60" s="310"/>
      <c r="H60" s="287" t="str">
        <f>IF('Table A. Overview'!E87="",'Table A. Overview'!M87,'Table A. Overview'!E87)</f>
        <v>NO</v>
      </c>
      <c r="I60" s="286">
        <f>SUM(F60:H60)</f>
        <v>0</v>
      </c>
    </row>
    <row r="61" spans="1:55" s="364" customFormat="1" ht="30.95" customHeight="1" thickBot="1">
      <c r="A61" s="351"/>
      <c r="B61" s="347" t="s">
        <v>690</v>
      </c>
      <c r="C61" s="348" t="s">
        <v>729</v>
      </c>
      <c r="D61" s="349"/>
      <c r="E61" s="350"/>
      <c r="F61" s="288">
        <f>F32+F39+F49+F53+F58+F60</f>
        <v>7827115.3590742592</v>
      </c>
      <c r="G61" s="288">
        <f>G32+G39+G49+G53+G58+G60</f>
        <v>3977955.3323479993</v>
      </c>
      <c r="H61" s="288">
        <f>H32+H39+H49+H53+H58+SUM(H60)</f>
        <v>2261789.8017718215</v>
      </c>
      <c r="I61" s="289">
        <f>I32+I39+I49+I53+I58+I60</f>
        <v>14066860.493194079</v>
      </c>
      <c r="K61" s="365"/>
      <c r="L61" s="365"/>
      <c r="M61" s="365"/>
      <c r="N61" s="365"/>
      <c r="O61" s="365"/>
      <c r="P61" s="365"/>
      <c r="Q61" s="365"/>
      <c r="R61" s="365"/>
      <c r="S61" s="365"/>
      <c r="T61" s="365"/>
      <c r="U61" s="365"/>
      <c r="V61" s="365"/>
      <c r="W61" s="365"/>
      <c r="X61" s="365"/>
      <c r="Y61" s="365"/>
      <c r="Z61" s="365"/>
      <c r="AA61" s="365"/>
      <c r="AB61" s="365"/>
      <c r="AC61" s="365"/>
      <c r="AD61" s="365"/>
      <c r="AE61" s="365"/>
      <c r="AF61" s="365"/>
      <c r="AG61" s="365"/>
      <c r="AH61" s="365"/>
      <c r="AI61" s="365"/>
      <c r="AJ61" s="365"/>
      <c r="AK61" s="365"/>
      <c r="AL61" s="365"/>
      <c r="AM61" s="365"/>
      <c r="AN61" s="365"/>
      <c r="AO61" s="365"/>
      <c r="AP61" s="365"/>
      <c r="AQ61" s="365"/>
      <c r="AR61" s="365"/>
      <c r="AS61" s="365"/>
      <c r="AT61" s="365"/>
      <c r="AU61" s="365"/>
      <c r="AV61" s="365"/>
      <c r="AW61" s="365"/>
      <c r="AX61" s="365"/>
      <c r="AY61" s="365"/>
      <c r="AZ61" s="365"/>
      <c r="BA61" s="365"/>
      <c r="BB61" s="365"/>
      <c r="BC61" s="365"/>
    </row>
    <row r="62" spans="1:55" s="316" customFormat="1">
      <c r="A62" s="59"/>
      <c r="B62" s="317"/>
      <c r="K62" s="356"/>
      <c r="L62" s="356"/>
      <c r="M62" s="356"/>
      <c r="N62" s="356"/>
      <c r="O62" s="356"/>
      <c r="P62" s="356"/>
      <c r="Q62" s="356"/>
      <c r="R62" s="356"/>
      <c r="S62" s="356"/>
      <c r="T62" s="356"/>
      <c r="U62" s="356"/>
      <c r="V62" s="356"/>
      <c r="W62" s="356"/>
      <c r="X62" s="356"/>
      <c r="Y62" s="356"/>
      <c r="Z62" s="356"/>
      <c r="AA62" s="356"/>
      <c r="AB62" s="356"/>
      <c r="AC62" s="356"/>
      <c r="AD62" s="356"/>
      <c r="AE62" s="356"/>
      <c r="AF62" s="356"/>
      <c r="AG62" s="356"/>
      <c r="AH62" s="356"/>
      <c r="AI62" s="356"/>
      <c r="AJ62" s="356"/>
      <c r="AK62" s="356"/>
      <c r="AL62" s="356"/>
      <c r="AM62" s="356"/>
      <c r="AN62" s="356"/>
      <c r="AO62" s="356"/>
      <c r="AP62" s="356"/>
      <c r="AQ62" s="356"/>
      <c r="AR62" s="356"/>
      <c r="AS62" s="356"/>
      <c r="AT62" s="356"/>
      <c r="AU62" s="356"/>
      <c r="AV62" s="356"/>
      <c r="AW62" s="356"/>
      <c r="AX62" s="356"/>
      <c r="AY62" s="356"/>
      <c r="AZ62" s="356"/>
      <c r="BA62" s="356"/>
      <c r="BB62" s="356"/>
      <c r="BC62" s="356"/>
    </row>
    <row r="63" spans="1:55" s="316" customFormat="1">
      <c r="A63" s="59"/>
      <c r="B63" s="317"/>
      <c r="K63" s="356"/>
      <c r="L63" s="356"/>
      <c r="M63" s="356"/>
      <c r="N63" s="356"/>
      <c r="O63" s="356"/>
      <c r="P63" s="356"/>
      <c r="Q63" s="356"/>
      <c r="R63" s="356"/>
      <c r="S63" s="356"/>
      <c r="T63" s="356"/>
      <c r="U63" s="356"/>
      <c r="V63" s="356"/>
      <c r="W63" s="356"/>
      <c r="X63" s="356"/>
      <c r="Y63" s="356"/>
      <c r="Z63" s="356"/>
      <c r="AA63" s="356"/>
      <c r="AB63" s="356"/>
      <c r="AC63" s="356"/>
      <c r="AD63" s="356"/>
      <c r="AE63" s="356"/>
      <c r="AF63" s="356"/>
      <c r="AG63" s="356"/>
      <c r="AH63" s="356"/>
      <c r="AI63" s="356"/>
      <c r="AJ63" s="356"/>
      <c r="AK63" s="356"/>
      <c r="AL63" s="356"/>
      <c r="AM63" s="356"/>
      <c r="AN63" s="356"/>
      <c r="AO63" s="356"/>
      <c r="AP63" s="356"/>
      <c r="AQ63" s="356"/>
      <c r="AR63" s="356"/>
      <c r="AS63" s="356"/>
      <c r="AT63" s="356"/>
      <c r="AU63" s="356"/>
      <c r="AV63" s="356"/>
      <c r="AW63" s="356"/>
      <c r="AX63" s="356"/>
      <c r="AY63" s="356"/>
      <c r="AZ63" s="356"/>
      <c r="BA63" s="356"/>
      <c r="BB63" s="356"/>
      <c r="BC63" s="356"/>
    </row>
    <row r="64" spans="1:55" s="316" customFormat="1" ht="23.25">
      <c r="A64" s="59"/>
      <c r="B64" s="357" t="s">
        <v>772</v>
      </c>
      <c r="K64" s="356"/>
      <c r="L64" s="356"/>
      <c r="M64" s="356"/>
      <c r="N64" s="356"/>
      <c r="O64" s="356"/>
      <c r="P64" s="356"/>
      <c r="Q64" s="356"/>
      <c r="R64" s="356"/>
      <c r="S64" s="356"/>
      <c r="T64" s="356"/>
      <c r="U64" s="356"/>
      <c r="V64" s="356"/>
      <c r="W64" s="356"/>
      <c r="X64" s="356"/>
      <c r="Y64" s="356"/>
      <c r="Z64" s="356"/>
      <c r="AA64" s="356"/>
      <c r="AB64" s="356"/>
      <c r="AC64" s="356"/>
      <c r="AD64" s="356"/>
      <c r="AE64" s="356"/>
      <c r="AF64" s="356"/>
      <c r="AG64" s="356"/>
      <c r="AH64" s="356"/>
      <c r="AI64" s="356"/>
      <c r="AJ64" s="356"/>
      <c r="AK64" s="356"/>
      <c r="AL64" s="356"/>
      <c r="AM64" s="356"/>
      <c r="AN64" s="356"/>
      <c r="AO64" s="356"/>
      <c r="AP64" s="356"/>
      <c r="AQ64" s="356"/>
      <c r="AR64" s="356"/>
      <c r="AS64" s="356"/>
      <c r="AT64" s="356"/>
      <c r="AU64" s="356"/>
      <c r="AV64" s="356"/>
      <c r="AW64" s="356"/>
      <c r="AX64" s="356"/>
      <c r="AY64" s="356"/>
      <c r="AZ64" s="356"/>
      <c r="BA64" s="356"/>
      <c r="BB64" s="356"/>
      <c r="BC64" s="356"/>
    </row>
    <row r="65" spans="1:55" s="316" customFormat="1" ht="23.25">
      <c r="A65" s="59"/>
      <c r="B65" s="357"/>
      <c r="K65" s="356"/>
      <c r="L65" s="356"/>
      <c r="M65" s="356"/>
      <c r="N65" s="356"/>
      <c r="O65" s="356"/>
      <c r="P65" s="356"/>
      <c r="Q65" s="356"/>
      <c r="R65" s="356"/>
      <c r="S65" s="356"/>
      <c r="T65" s="356"/>
      <c r="U65" s="356"/>
      <c r="V65" s="356"/>
      <c r="W65" s="356"/>
      <c r="X65" s="356"/>
      <c r="Y65" s="356"/>
      <c r="Z65" s="356"/>
      <c r="AA65" s="356"/>
      <c r="AB65" s="356"/>
      <c r="AC65" s="356"/>
      <c r="AD65" s="356"/>
      <c r="AE65" s="356"/>
      <c r="AF65" s="356"/>
      <c r="AG65" s="356"/>
      <c r="AH65" s="356"/>
      <c r="AI65" s="356"/>
      <c r="AJ65" s="356"/>
      <c r="AK65" s="356"/>
      <c r="AL65" s="356"/>
      <c r="AM65" s="356"/>
      <c r="AN65" s="356"/>
      <c r="AO65" s="356"/>
      <c r="AP65" s="356"/>
      <c r="AQ65" s="356"/>
      <c r="AR65" s="356"/>
      <c r="AS65" s="356"/>
      <c r="AT65" s="356"/>
      <c r="AU65" s="356"/>
      <c r="AV65" s="356"/>
      <c r="AW65" s="356"/>
      <c r="AX65" s="356"/>
      <c r="AY65" s="356"/>
      <c r="AZ65" s="356"/>
      <c r="BA65" s="356"/>
      <c r="BB65" s="356"/>
      <c r="BC65" s="356"/>
    </row>
    <row r="66" spans="1:55" s="368" customFormat="1" ht="20.100000000000001" customHeight="1">
      <c r="A66" s="352"/>
      <c r="B66" s="1181" t="s">
        <v>777</v>
      </c>
      <c r="C66" s="1181"/>
      <c r="D66" s="1181"/>
      <c r="E66" s="1181"/>
      <c r="F66" s="1181"/>
      <c r="G66" s="1181"/>
      <c r="H66" s="1181"/>
      <c r="I66" s="1181"/>
      <c r="J66" s="366"/>
      <c r="K66" s="367"/>
      <c r="L66" s="367" t="s">
        <v>174</v>
      </c>
      <c r="M66" s="367" t="s">
        <v>175</v>
      </c>
      <c r="N66" s="367" t="s">
        <v>778</v>
      </c>
      <c r="O66" s="367"/>
      <c r="P66" s="367"/>
    </row>
    <row r="67" spans="1:55" s="373" customFormat="1" ht="20.100000000000001" customHeight="1">
      <c r="A67" s="353"/>
      <c r="B67" s="1182"/>
      <c r="C67" s="1182"/>
      <c r="D67" s="1182"/>
      <c r="E67" s="1182"/>
      <c r="F67" s="1182"/>
      <c r="G67" s="1182"/>
      <c r="H67" s="1182"/>
      <c r="I67" s="1182"/>
      <c r="J67" s="369"/>
      <c r="K67" s="370"/>
      <c r="L67" s="371" t="str">
        <f>CONCATENATE(L75," mtCO2e")</f>
        <v>13531000 mtCO2e</v>
      </c>
      <c r="M67" s="371" t="str">
        <f>CONCATENATE(M75," mtCO2e")</f>
        <v>14067000 mtCO2e</v>
      </c>
      <c r="N67" s="371" t="str">
        <f>CONCATENATE(N75," mtCO2e")</f>
        <v>14067000 mtCO2e</v>
      </c>
      <c r="O67" s="372"/>
      <c r="P67" s="370"/>
    </row>
    <row r="68" spans="1:55" s="356" customFormat="1" ht="20.100000000000001" customHeight="1">
      <c r="A68" s="59"/>
      <c r="B68" s="317"/>
      <c r="C68" s="316"/>
      <c r="D68" s="316"/>
      <c r="E68" s="316"/>
      <c r="F68" s="316"/>
      <c r="G68" s="316"/>
      <c r="H68" s="316"/>
      <c r="I68" s="316"/>
      <c r="J68" s="316"/>
      <c r="K68" s="372" t="s">
        <v>773</v>
      </c>
      <c r="L68" s="371">
        <f>H10</f>
        <v>7658352.8022113563</v>
      </c>
      <c r="M68" s="371">
        <f>I10</f>
        <v>8176887.5185669111</v>
      </c>
      <c r="N68" s="371">
        <f>I10</f>
        <v>8176887.5185669111</v>
      </c>
      <c r="O68" s="372">
        <v>0</v>
      </c>
      <c r="P68" s="372"/>
    </row>
    <row r="69" spans="1:55" s="356" customFormat="1" ht="20.100000000000001" customHeight="1">
      <c r="A69" s="59"/>
      <c r="B69" s="317"/>
      <c r="C69" s="316"/>
      <c r="D69" s="316"/>
      <c r="E69" s="316"/>
      <c r="F69" s="316"/>
      <c r="G69" s="316"/>
      <c r="H69" s="316"/>
      <c r="I69" s="316"/>
      <c r="J69" s="316"/>
      <c r="K69" s="372" t="s">
        <v>774</v>
      </c>
      <c r="L69" s="371">
        <f>H12</f>
        <v>4091327.5129474513</v>
      </c>
      <c r="M69" s="371">
        <f>I12</f>
        <v>4108360.9483637181</v>
      </c>
      <c r="N69" s="371">
        <f>I12</f>
        <v>4108360.9483637181</v>
      </c>
      <c r="O69" s="372">
        <v>0</v>
      </c>
      <c r="P69" s="372"/>
    </row>
    <row r="70" spans="1:55" s="356" customFormat="1" ht="20.100000000000001" customHeight="1">
      <c r="A70" s="59"/>
      <c r="B70" s="317"/>
      <c r="C70" s="316"/>
      <c r="D70" s="316"/>
      <c r="E70" s="316"/>
      <c r="F70" s="316"/>
      <c r="G70" s="316"/>
      <c r="H70" s="316"/>
      <c r="I70" s="316"/>
      <c r="J70" s="316"/>
      <c r="K70" s="372" t="s">
        <v>775</v>
      </c>
      <c r="L70" s="371">
        <f>H13</f>
        <v>1781612.0262634505</v>
      </c>
      <c r="M70" s="371">
        <f>I13</f>
        <v>1781612.0262634505</v>
      </c>
      <c r="N70" s="371">
        <f>I13</f>
        <v>1781612.0262634505</v>
      </c>
      <c r="O70" s="372">
        <v>0</v>
      </c>
      <c r="P70" s="372"/>
    </row>
    <row r="71" spans="1:55" s="356" customFormat="1" ht="20.100000000000001" customHeight="1">
      <c r="A71" s="59"/>
      <c r="B71" s="317"/>
      <c r="C71" s="316"/>
      <c r="D71" s="316"/>
      <c r="E71" s="316"/>
      <c r="F71" s="316"/>
      <c r="G71" s="316"/>
      <c r="H71" s="316"/>
      <c r="I71" s="316"/>
      <c r="J71" s="316"/>
      <c r="K71" s="372" t="s">
        <v>210</v>
      </c>
      <c r="L71" s="372"/>
      <c r="M71" s="371">
        <f>I15</f>
        <v>0</v>
      </c>
      <c r="N71" s="371">
        <f>I15</f>
        <v>0</v>
      </c>
      <c r="O71" s="372">
        <v>0</v>
      </c>
      <c r="P71" s="372"/>
    </row>
    <row r="72" spans="1:55" s="356" customFormat="1" ht="20.100000000000001" customHeight="1">
      <c r="A72" s="59"/>
      <c r="B72" s="317"/>
      <c r="C72" s="316"/>
      <c r="D72" s="316"/>
      <c r="E72" s="316"/>
      <c r="F72" s="316"/>
      <c r="G72" s="316"/>
      <c r="H72" s="316"/>
      <c r="I72" s="316"/>
      <c r="J72" s="316"/>
      <c r="K72" s="372" t="s">
        <v>211</v>
      </c>
      <c r="L72" s="372"/>
      <c r="M72" s="371">
        <f>I16</f>
        <v>0</v>
      </c>
      <c r="N72" s="371">
        <f>I16</f>
        <v>0</v>
      </c>
      <c r="O72" s="372">
        <v>0</v>
      </c>
      <c r="P72" s="372"/>
    </row>
    <row r="73" spans="1:55" s="356" customFormat="1" ht="20.100000000000001" customHeight="1">
      <c r="A73" s="59"/>
      <c r="B73" s="317"/>
      <c r="C73" s="316"/>
      <c r="D73" s="316"/>
      <c r="E73" s="316"/>
      <c r="F73" s="316"/>
      <c r="G73" s="316"/>
      <c r="H73" s="316"/>
      <c r="I73" s="316"/>
      <c r="J73" s="316"/>
      <c r="K73" s="372" t="s">
        <v>776</v>
      </c>
      <c r="L73" s="372"/>
      <c r="M73" s="372"/>
      <c r="N73" s="371" t="str">
        <f>G17</f>
        <v/>
      </c>
      <c r="O73" s="372">
        <v>0</v>
      </c>
      <c r="P73" s="372"/>
    </row>
    <row r="74" spans="1:55" s="356" customFormat="1" ht="20.100000000000001" customHeight="1">
      <c r="A74" s="59"/>
      <c r="B74" s="317"/>
      <c r="C74" s="316"/>
      <c r="D74" s="316"/>
      <c r="E74" s="316"/>
      <c r="F74" s="316"/>
      <c r="G74" s="316"/>
      <c r="H74" s="316"/>
      <c r="I74" s="316"/>
      <c r="J74" s="316"/>
      <c r="K74" s="372" t="s">
        <v>690</v>
      </c>
      <c r="L74" s="371">
        <f>SUM(L68:L73)</f>
        <v>13531292.341422258</v>
      </c>
      <c r="M74" s="371">
        <f>SUM(M68:M73)</f>
        <v>14066860.493194081</v>
      </c>
      <c r="N74" s="371">
        <f>SUM(N68:N73)</f>
        <v>14066860.493194081</v>
      </c>
      <c r="O74" s="372">
        <v>0</v>
      </c>
      <c r="P74" s="372"/>
    </row>
    <row r="75" spans="1:55" s="356" customFormat="1" ht="20.100000000000001" customHeight="1">
      <c r="A75" s="59"/>
      <c r="B75" s="317"/>
      <c r="C75" s="316"/>
      <c r="D75" s="316"/>
      <c r="E75" s="316"/>
      <c r="F75" s="316"/>
      <c r="G75" s="316"/>
      <c r="H75" s="316"/>
      <c r="I75" s="316"/>
      <c r="J75" s="316"/>
      <c r="K75" s="372"/>
      <c r="L75" s="371">
        <f>ROUND(L74,-3)</f>
        <v>13531000</v>
      </c>
      <c r="M75" s="371">
        <f>ROUND(M74,-3)</f>
        <v>14067000</v>
      </c>
      <c r="N75" s="371">
        <f>ROUND(N74,-3)</f>
        <v>14067000</v>
      </c>
      <c r="O75" s="372"/>
      <c r="P75" s="372"/>
    </row>
    <row r="76" spans="1:55" s="356" customFormat="1" ht="20.100000000000001" customHeight="1">
      <c r="A76" s="59"/>
      <c r="B76" s="317"/>
      <c r="C76" s="316"/>
      <c r="D76" s="316"/>
      <c r="E76" s="316"/>
      <c r="F76" s="316"/>
      <c r="G76" s="316"/>
      <c r="H76" s="316"/>
      <c r="I76" s="316"/>
      <c r="J76" s="316"/>
      <c r="K76" s="372"/>
      <c r="L76" s="372"/>
      <c r="M76" s="372"/>
      <c r="N76" s="372"/>
      <c r="O76" s="372"/>
      <c r="P76" s="372"/>
    </row>
    <row r="77" spans="1:55" s="356" customFormat="1" ht="20.100000000000001" customHeight="1">
      <c r="A77" s="59"/>
      <c r="B77" s="317"/>
      <c r="C77" s="316"/>
      <c r="D77" s="316"/>
      <c r="E77" s="316"/>
      <c r="F77" s="316"/>
      <c r="G77" s="316"/>
      <c r="H77" s="316"/>
      <c r="I77" s="316"/>
      <c r="J77" s="316"/>
      <c r="K77" s="372"/>
      <c r="L77" s="372"/>
      <c r="M77" s="372"/>
      <c r="N77" s="372"/>
      <c r="O77" s="372"/>
      <c r="P77" s="372"/>
    </row>
    <row r="78" spans="1:55" s="356" customFormat="1" ht="20.100000000000001" customHeight="1">
      <c r="A78" s="59"/>
      <c r="B78" s="317"/>
      <c r="C78" s="316"/>
      <c r="D78" s="316"/>
      <c r="E78" s="316"/>
      <c r="F78" s="316"/>
      <c r="G78" s="316"/>
      <c r="H78" s="316"/>
      <c r="I78" s="316"/>
      <c r="J78" s="316"/>
      <c r="K78" s="372"/>
      <c r="L78" s="372"/>
      <c r="M78" s="372"/>
      <c r="N78" s="372"/>
      <c r="O78" s="372"/>
      <c r="P78" s="372"/>
    </row>
    <row r="79" spans="1:55" s="356" customFormat="1" ht="20.100000000000001" customHeight="1">
      <c r="A79" s="59"/>
      <c r="B79" s="317"/>
      <c r="C79" s="316"/>
      <c r="D79" s="316"/>
      <c r="E79" s="316"/>
      <c r="F79" s="316"/>
      <c r="G79" s="316"/>
      <c r="H79" s="316"/>
      <c r="I79" s="316"/>
      <c r="J79" s="316"/>
      <c r="K79" s="372"/>
      <c r="L79" s="372"/>
      <c r="M79" s="372"/>
      <c r="N79" s="372"/>
      <c r="O79" s="372"/>
      <c r="P79" s="372"/>
    </row>
    <row r="80" spans="1:55" s="368" customFormat="1" ht="20.100000000000001" customHeight="1">
      <c r="A80" s="352"/>
      <c r="B80" s="1183" t="s">
        <v>779</v>
      </c>
      <c r="C80" s="1183"/>
      <c r="D80" s="1183"/>
      <c r="E80" s="1183"/>
      <c r="F80" s="1183"/>
      <c r="G80" s="1183"/>
      <c r="H80" s="1183"/>
      <c r="I80" s="1183"/>
      <c r="J80" s="366"/>
      <c r="K80" s="367"/>
      <c r="L80" s="367"/>
      <c r="M80" s="367"/>
      <c r="N80" s="367"/>
      <c r="O80" s="367"/>
      <c r="P80" s="367"/>
    </row>
    <row r="81" spans="1:55" s="316" customFormat="1" ht="20.100000000000001" customHeight="1">
      <c r="A81" s="59"/>
      <c r="B81" s="317"/>
      <c r="K81" s="372"/>
      <c r="L81" s="372" t="s">
        <v>1</v>
      </c>
      <c r="M81" s="372" t="s">
        <v>2</v>
      </c>
      <c r="N81" s="372" t="s">
        <v>3</v>
      </c>
      <c r="O81" s="372"/>
      <c r="P81" s="372"/>
      <c r="Q81" s="356"/>
      <c r="R81" s="356"/>
      <c r="S81" s="356"/>
      <c r="T81" s="356"/>
      <c r="U81" s="356"/>
      <c r="V81" s="356"/>
      <c r="W81" s="356"/>
      <c r="X81" s="356"/>
      <c r="Y81" s="356"/>
      <c r="Z81" s="356"/>
      <c r="AA81" s="356"/>
      <c r="AB81" s="356"/>
      <c r="AC81" s="356"/>
      <c r="AD81" s="356"/>
      <c r="AE81" s="356"/>
      <c r="AF81" s="356"/>
      <c r="AG81" s="356"/>
      <c r="AH81" s="356"/>
      <c r="AI81" s="356"/>
      <c r="AJ81" s="356"/>
      <c r="AK81" s="356"/>
      <c r="AL81" s="356"/>
      <c r="AM81" s="356"/>
      <c r="AN81" s="356"/>
      <c r="AO81" s="356"/>
      <c r="AP81" s="356"/>
      <c r="AQ81" s="356"/>
      <c r="AR81" s="356"/>
      <c r="AS81" s="356"/>
      <c r="AT81" s="356"/>
      <c r="AU81" s="356"/>
      <c r="AV81" s="356"/>
      <c r="AW81" s="356"/>
      <c r="AX81" s="356"/>
      <c r="AY81" s="356"/>
      <c r="AZ81" s="356"/>
      <c r="BA81" s="356"/>
      <c r="BB81" s="356"/>
      <c r="BC81" s="356"/>
    </row>
    <row r="82" spans="1:55" s="316" customFormat="1" ht="20.100000000000001" customHeight="1">
      <c r="A82" s="59"/>
      <c r="B82" s="317"/>
      <c r="K82" s="372" t="s">
        <v>780</v>
      </c>
      <c r="L82" s="371">
        <f t="shared" ref="L82:N85" si="1">F23/1000000</f>
        <v>2.3948073141091091</v>
      </c>
      <c r="M82" s="371">
        <f t="shared" si="1"/>
        <v>1.4541970477896937</v>
      </c>
      <c r="N82" s="371">
        <f t="shared" si="1"/>
        <v>0.21482884228037241</v>
      </c>
      <c r="O82" s="372"/>
      <c r="P82" s="372"/>
      <c r="Q82" s="356"/>
      <c r="R82" s="356"/>
      <c r="S82" s="356"/>
      <c r="T82" s="356"/>
      <c r="U82" s="356"/>
      <c r="V82" s="356"/>
      <c r="W82" s="356"/>
      <c r="X82" s="356"/>
      <c r="Y82" s="356"/>
      <c r="Z82" s="356"/>
      <c r="AA82" s="356"/>
      <c r="AB82" s="356"/>
      <c r="AC82" s="356"/>
      <c r="AD82" s="356"/>
      <c r="AE82" s="356"/>
      <c r="AF82" s="356"/>
      <c r="AG82" s="356"/>
      <c r="AH82" s="356"/>
      <c r="AI82" s="356"/>
      <c r="AJ82" s="356"/>
      <c r="AK82" s="356"/>
      <c r="AL82" s="356"/>
      <c r="AM82" s="356"/>
      <c r="AN82" s="356"/>
      <c r="AO82" s="356"/>
      <c r="AP82" s="356"/>
      <c r="AQ82" s="356"/>
      <c r="AR82" s="356"/>
      <c r="AS82" s="356"/>
      <c r="AT82" s="356"/>
      <c r="AU82" s="356"/>
      <c r="AV82" s="356"/>
      <c r="AW82" s="356"/>
      <c r="AX82" s="356"/>
      <c r="AY82" s="356"/>
      <c r="AZ82" s="356"/>
      <c r="BA82" s="356"/>
      <c r="BB82" s="356"/>
      <c r="BC82" s="356"/>
    </row>
    <row r="83" spans="1:55" s="316" customFormat="1" ht="20.100000000000001" customHeight="1">
      <c r="A83" s="59"/>
      <c r="B83" s="317"/>
      <c r="K83" s="372" t="s">
        <v>781</v>
      </c>
      <c r="L83" s="371">
        <f t="shared" si="1"/>
        <v>0.84672514632999885</v>
      </c>
      <c r="M83" s="371">
        <f t="shared" si="1"/>
        <v>2.0753300732117785</v>
      </c>
      <c r="N83" s="371">
        <f t="shared" si="1"/>
        <v>0.25443450119400751</v>
      </c>
      <c r="O83" s="372"/>
      <c r="P83" s="372"/>
      <c r="Q83" s="356"/>
      <c r="R83" s="356"/>
      <c r="S83" s="356"/>
      <c r="T83" s="356"/>
      <c r="U83" s="356"/>
      <c r="V83" s="356"/>
      <c r="W83" s="356"/>
      <c r="X83" s="356"/>
      <c r="Y83" s="356"/>
      <c r="Z83" s="356"/>
      <c r="AA83" s="356"/>
      <c r="AB83" s="356"/>
      <c r="AC83" s="356"/>
      <c r="AD83" s="356"/>
      <c r="AE83" s="356"/>
      <c r="AF83" s="356"/>
      <c r="AG83" s="356"/>
      <c r="AH83" s="356"/>
      <c r="AI83" s="356"/>
      <c r="AJ83" s="356"/>
      <c r="AK83" s="356"/>
      <c r="AL83" s="356"/>
      <c r="AM83" s="356"/>
      <c r="AN83" s="356"/>
      <c r="AO83" s="356"/>
      <c r="AP83" s="356"/>
      <c r="AQ83" s="356"/>
      <c r="AR83" s="356"/>
      <c r="AS83" s="356"/>
      <c r="AT83" s="356"/>
      <c r="AU83" s="356"/>
      <c r="AV83" s="356"/>
      <c r="AW83" s="356"/>
      <c r="AX83" s="356"/>
      <c r="AY83" s="356"/>
      <c r="AZ83" s="356"/>
      <c r="BA83" s="356"/>
      <c r="BB83" s="356"/>
      <c r="BC83" s="356"/>
    </row>
    <row r="84" spans="1:55" s="316" customFormat="1" ht="20.100000000000001" customHeight="1">
      <c r="A84" s="59"/>
      <c r="B84" s="317"/>
      <c r="K84" s="372" t="s">
        <v>782</v>
      </c>
      <c r="L84" s="371">
        <f t="shared" si="1"/>
        <v>0.37056024344132088</v>
      </c>
      <c r="M84" s="371">
        <f t="shared" si="1"/>
        <v>0.36953532667138078</v>
      </c>
      <c r="N84" s="371">
        <f t="shared" si="1"/>
        <v>4.9271372881174599E-2</v>
      </c>
      <c r="O84" s="372"/>
      <c r="P84" s="372"/>
      <c r="Q84" s="356"/>
      <c r="R84" s="356"/>
      <c r="S84" s="356"/>
      <c r="T84" s="356"/>
      <c r="U84" s="356"/>
      <c r="V84" s="356"/>
      <c r="W84" s="356"/>
      <c r="X84" s="356"/>
      <c r="Y84" s="356"/>
      <c r="Z84" s="356"/>
      <c r="AA84" s="356"/>
      <c r="AB84" s="356"/>
      <c r="AC84" s="356"/>
      <c r="AD84" s="356"/>
      <c r="AE84" s="356"/>
      <c r="AF84" s="356"/>
      <c r="AG84" s="356"/>
      <c r="AH84" s="356"/>
      <c r="AI84" s="356"/>
      <c r="AJ84" s="356"/>
      <c r="AK84" s="356"/>
      <c r="AL84" s="356"/>
      <c r="AM84" s="356"/>
      <c r="AN84" s="356"/>
      <c r="AO84" s="356"/>
      <c r="AP84" s="356"/>
      <c r="AQ84" s="356"/>
      <c r="AR84" s="356"/>
      <c r="AS84" s="356"/>
      <c r="AT84" s="356"/>
      <c r="AU84" s="356"/>
      <c r="AV84" s="356"/>
      <c r="AW84" s="356"/>
      <c r="AX84" s="356"/>
      <c r="AY84" s="356"/>
      <c r="AZ84" s="356"/>
      <c r="BA84" s="356"/>
      <c r="BB84" s="356"/>
      <c r="BC84" s="356"/>
    </row>
    <row r="85" spans="1:55" s="316" customFormat="1" ht="20.100000000000001" customHeight="1">
      <c r="A85" s="59"/>
      <c r="B85" s="317"/>
      <c r="K85" s="372" t="s">
        <v>9</v>
      </c>
      <c r="L85" s="371" t="e">
        <f t="shared" si="1"/>
        <v>#VALUE!</v>
      </c>
      <c r="M85" s="371" t="e">
        <f t="shared" si="1"/>
        <v>#VALUE!</v>
      </c>
      <c r="N85" s="371" t="e">
        <f>H26/1000000</f>
        <v>#VALUE!</v>
      </c>
      <c r="O85" s="372"/>
      <c r="P85" s="372"/>
      <c r="Q85" s="356"/>
      <c r="R85" s="356"/>
      <c r="S85" s="356"/>
      <c r="T85" s="356"/>
      <c r="U85" s="356"/>
      <c r="V85" s="356"/>
      <c r="W85" s="356"/>
      <c r="X85" s="356"/>
      <c r="Y85" s="356"/>
      <c r="Z85" s="356"/>
      <c r="AA85" s="356"/>
      <c r="AB85" s="356"/>
      <c r="AC85" s="356"/>
      <c r="AD85" s="356"/>
      <c r="AE85" s="356"/>
      <c r="AF85" s="356"/>
      <c r="AG85" s="356"/>
      <c r="AH85" s="356"/>
      <c r="AI85" s="356"/>
      <c r="AJ85" s="356"/>
      <c r="AK85" s="356"/>
      <c r="AL85" s="356"/>
      <c r="AM85" s="356"/>
      <c r="AN85" s="356"/>
      <c r="AO85" s="356"/>
      <c r="AP85" s="356"/>
      <c r="AQ85" s="356"/>
      <c r="AR85" s="356"/>
      <c r="AS85" s="356"/>
      <c r="AT85" s="356"/>
      <c r="AU85" s="356"/>
      <c r="AV85" s="356"/>
      <c r="AW85" s="356"/>
      <c r="AX85" s="356"/>
      <c r="AY85" s="356"/>
      <c r="AZ85" s="356"/>
      <c r="BA85" s="356"/>
      <c r="BB85" s="356"/>
      <c r="BC85" s="356"/>
    </row>
    <row r="86" spans="1:55" s="316" customFormat="1" ht="20.100000000000001" customHeight="1">
      <c r="A86" s="59"/>
      <c r="B86" s="317"/>
      <c r="K86" s="372" t="s">
        <v>783</v>
      </c>
      <c r="L86" s="371" t="e">
        <f t="shared" ref="L86:N89" si="2">F28/1000000</f>
        <v>#VALUE!</v>
      </c>
      <c r="M86" s="371" t="e">
        <f t="shared" si="2"/>
        <v>#VALUE!</v>
      </c>
      <c r="N86" s="371" t="e">
        <f t="shared" si="2"/>
        <v>#VALUE!</v>
      </c>
      <c r="O86" s="372"/>
      <c r="P86" s="372"/>
      <c r="Q86" s="356"/>
      <c r="R86" s="356"/>
      <c r="S86" s="356"/>
      <c r="T86" s="356"/>
      <c r="U86" s="356"/>
      <c r="V86" s="356"/>
      <c r="W86" s="356"/>
      <c r="X86" s="356"/>
      <c r="Y86" s="356"/>
      <c r="Z86" s="356"/>
      <c r="AA86" s="356"/>
      <c r="AB86" s="356"/>
      <c r="AC86" s="356"/>
      <c r="AD86" s="356"/>
      <c r="AE86" s="356"/>
      <c r="AF86" s="356"/>
      <c r="AG86" s="356"/>
      <c r="AH86" s="356"/>
      <c r="AI86" s="356"/>
      <c r="AJ86" s="356"/>
      <c r="AK86" s="356"/>
      <c r="AL86" s="356"/>
      <c r="AM86" s="356"/>
      <c r="AN86" s="356"/>
      <c r="AO86" s="356"/>
      <c r="AP86" s="356"/>
      <c r="AQ86" s="356"/>
      <c r="AR86" s="356"/>
      <c r="AS86" s="356"/>
      <c r="AT86" s="356"/>
      <c r="AU86" s="356"/>
      <c r="AV86" s="356"/>
      <c r="AW86" s="356"/>
      <c r="AX86" s="356"/>
      <c r="AY86" s="356"/>
      <c r="AZ86" s="356"/>
      <c r="BA86" s="356"/>
      <c r="BB86" s="356"/>
      <c r="BC86" s="356"/>
    </row>
    <row r="87" spans="1:55" s="316" customFormat="1" ht="20.100000000000001" customHeight="1">
      <c r="A87" s="59"/>
      <c r="B87" s="317"/>
      <c r="K87" s="372" t="s">
        <v>12</v>
      </c>
      <c r="L87" s="371" t="e">
        <f t="shared" si="2"/>
        <v>#VALUE!</v>
      </c>
      <c r="M87" s="371" t="e">
        <f t="shared" si="2"/>
        <v>#VALUE!</v>
      </c>
      <c r="N87" s="371" t="e">
        <f t="shared" si="2"/>
        <v>#VALUE!</v>
      </c>
      <c r="O87" s="372"/>
      <c r="P87" s="372"/>
      <c r="Q87" s="356"/>
      <c r="R87" s="356"/>
      <c r="S87" s="356"/>
      <c r="T87" s="356"/>
      <c r="U87" s="356"/>
      <c r="V87" s="356"/>
      <c r="W87" s="356"/>
      <c r="X87" s="356"/>
      <c r="Y87" s="356"/>
      <c r="Z87" s="356"/>
      <c r="AA87" s="356"/>
      <c r="AB87" s="356"/>
      <c r="AC87" s="356"/>
      <c r="AD87" s="356"/>
      <c r="AE87" s="356"/>
      <c r="AF87" s="356"/>
      <c r="AG87" s="356"/>
      <c r="AH87" s="356"/>
      <c r="AI87" s="356"/>
      <c r="AJ87" s="356"/>
      <c r="AK87" s="356"/>
      <c r="AL87" s="356"/>
      <c r="AM87" s="356"/>
      <c r="AN87" s="356"/>
      <c r="AO87" s="356"/>
      <c r="AP87" s="356"/>
      <c r="AQ87" s="356"/>
      <c r="AR87" s="356"/>
      <c r="AS87" s="356"/>
      <c r="AT87" s="356"/>
      <c r="AU87" s="356"/>
      <c r="AV87" s="356"/>
      <c r="AW87" s="356"/>
      <c r="AX87" s="356"/>
      <c r="AY87" s="356"/>
      <c r="AZ87" s="356"/>
      <c r="BA87" s="356"/>
      <c r="BB87" s="356"/>
      <c r="BC87" s="356"/>
    </row>
    <row r="88" spans="1:55" s="316" customFormat="1" ht="20.100000000000001" customHeight="1">
      <c r="A88" s="59"/>
      <c r="B88" s="317"/>
      <c r="K88" s="372" t="s">
        <v>784</v>
      </c>
      <c r="L88" s="371" t="e">
        <f t="shared" si="2"/>
        <v>#VALUE!</v>
      </c>
      <c r="M88" s="371">
        <f t="shared" si="2"/>
        <v>0</v>
      </c>
      <c r="N88" s="371">
        <f t="shared" si="2"/>
        <v>0</v>
      </c>
      <c r="O88" s="372"/>
      <c r="P88" s="372"/>
      <c r="Q88" s="356"/>
      <c r="R88" s="356"/>
      <c r="S88" s="356"/>
      <c r="T88" s="356"/>
      <c r="U88" s="356"/>
      <c r="V88" s="356"/>
      <c r="W88" s="356"/>
      <c r="X88" s="356"/>
      <c r="Y88" s="356"/>
      <c r="Z88" s="356"/>
      <c r="AA88" s="356"/>
      <c r="AB88" s="356"/>
      <c r="AC88" s="356"/>
      <c r="AD88" s="356"/>
      <c r="AE88" s="356"/>
      <c r="AF88" s="356"/>
      <c r="AG88" s="356"/>
      <c r="AH88" s="356"/>
      <c r="AI88" s="356"/>
      <c r="AJ88" s="356"/>
      <c r="AK88" s="356"/>
      <c r="AL88" s="356"/>
      <c r="AM88" s="356"/>
      <c r="AN88" s="356"/>
      <c r="AO88" s="356"/>
      <c r="AP88" s="356"/>
      <c r="AQ88" s="356"/>
      <c r="AR88" s="356"/>
      <c r="AS88" s="356"/>
      <c r="AT88" s="356"/>
      <c r="AU88" s="356"/>
      <c r="AV88" s="356"/>
      <c r="AW88" s="356"/>
      <c r="AX88" s="356"/>
      <c r="AY88" s="356"/>
      <c r="AZ88" s="356"/>
      <c r="BA88" s="356"/>
      <c r="BB88" s="356"/>
      <c r="BC88" s="356"/>
    </row>
    <row r="89" spans="1:55" ht="20.100000000000001" customHeight="1">
      <c r="A89" s="59"/>
      <c r="B89" s="317"/>
      <c r="C89" s="316"/>
      <c r="D89" s="316"/>
      <c r="E89" s="316"/>
      <c r="F89" s="316"/>
      <c r="G89" s="316"/>
      <c r="H89" s="316"/>
      <c r="I89" s="316"/>
      <c r="K89" s="372" t="s">
        <v>785</v>
      </c>
      <c r="L89" s="371">
        <f t="shared" si="2"/>
        <v>0.1471976506580743</v>
      </c>
      <c r="M89" s="371">
        <f t="shared" si="2"/>
        <v>0</v>
      </c>
      <c r="N89" s="371">
        <f t="shared" si="2"/>
        <v>0</v>
      </c>
      <c r="O89" s="372"/>
      <c r="P89" s="372"/>
    </row>
    <row r="90" spans="1:55" ht="20.100000000000001" customHeight="1">
      <c r="A90" s="59"/>
      <c r="B90" s="317"/>
      <c r="C90" s="316"/>
      <c r="D90" s="316"/>
      <c r="E90" s="316"/>
      <c r="F90" s="316"/>
      <c r="G90" s="316"/>
      <c r="H90" s="316"/>
      <c r="I90" s="316"/>
      <c r="K90" s="372" t="s">
        <v>16</v>
      </c>
      <c r="L90" s="371">
        <f t="shared" ref="L90:N94" si="3">F34/1000000</f>
        <v>3.9948928588032144</v>
      </c>
      <c r="M90" s="371" t="e">
        <f t="shared" si="3"/>
        <v>#VALUE!</v>
      </c>
      <c r="N90" s="371" t="e">
        <f t="shared" si="3"/>
        <v>#VALUE!</v>
      </c>
      <c r="O90" s="372"/>
      <c r="P90" s="372"/>
    </row>
    <row r="91" spans="1:55" ht="20.100000000000001" customHeight="1">
      <c r="A91" s="59"/>
      <c r="B91" s="317"/>
      <c r="C91" s="316"/>
      <c r="D91" s="316"/>
      <c r="E91" s="316"/>
      <c r="F91" s="316"/>
      <c r="G91" s="316"/>
      <c r="H91" s="316"/>
      <c r="I91" s="316"/>
      <c r="K91" s="372" t="s">
        <v>17</v>
      </c>
      <c r="L91" s="371">
        <f t="shared" si="3"/>
        <v>1.7541769469090709E-2</v>
      </c>
      <c r="M91" s="371">
        <f t="shared" si="3"/>
        <v>7.8892884675146296E-2</v>
      </c>
      <c r="N91" s="371">
        <f t="shared" si="3"/>
        <v>1.7033435416266889E-2</v>
      </c>
      <c r="O91" s="372"/>
      <c r="P91" s="372"/>
    </row>
    <row r="92" spans="1:55" ht="20.100000000000001" customHeight="1">
      <c r="A92" s="59"/>
      <c r="B92" s="317"/>
      <c r="C92" s="316"/>
      <c r="D92" s="316"/>
      <c r="E92" s="316"/>
      <c r="F92" s="316"/>
      <c r="G92" s="316"/>
      <c r="H92" s="316"/>
      <c r="I92" s="316"/>
      <c r="K92" s="372" t="s">
        <v>786</v>
      </c>
      <c r="L92" s="371" t="e">
        <f t="shared" si="3"/>
        <v>#VALUE!</v>
      </c>
      <c r="M92" s="371" t="e">
        <f t="shared" si="3"/>
        <v>#VALUE!</v>
      </c>
      <c r="N92" s="371" t="e">
        <f t="shared" si="3"/>
        <v>#VALUE!</v>
      </c>
      <c r="O92" s="372"/>
      <c r="P92" s="372"/>
    </row>
    <row r="93" spans="1:55" ht="20.100000000000001" customHeight="1">
      <c r="A93" s="59"/>
      <c r="B93" s="317"/>
      <c r="C93" s="316"/>
      <c r="D93" s="316"/>
      <c r="E93" s="316"/>
      <c r="F93" s="316"/>
      <c r="G93" s="316"/>
      <c r="H93" s="316"/>
      <c r="I93" s="316"/>
      <c r="K93" s="372" t="s">
        <v>19</v>
      </c>
      <c r="L93" s="371" t="e">
        <f t="shared" si="3"/>
        <v>#VALUE!</v>
      </c>
      <c r="M93" s="371" t="e">
        <f t="shared" si="3"/>
        <v>#VALUE!</v>
      </c>
      <c r="N93" s="371" t="e">
        <f t="shared" si="3"/>
        <v>#VALUE!</v>
      </c>
      <c r="O93" s="372"/>
      <c r="P93" s="372"/>
    </row>
    <row r="94" spans="1:55" ht="20.100000000000001" customHeight="1">
      <c r="A94" s="59"/>
      <c r="B94" s="317"/>
      <c r="C94" s="316"/>
      <c r="D94" s="316"/>
      <c r="E94" s="316"/>
      <c r="F94" s="316"/>
      <c r="G94" s="316"/>
      <c r="H94" s="316"/>
      <c r="I94" s="316"/>
      <c r="K94" s="372" t="s">
        <v>20</v>
      </c>
      <c r="L94" s="371" t="e">
        <f t="shared" si="3"/>
        <v>#VALUE!</v>
      </c>
      <c r="M94" s="371" t="e">
        <f t="shared" si="3"/>
        <v>#VALUE!</v>
      </c>
      <c r="N94" s="371" t="e">
        <f t="shared" si="3"/>
        <v>#VALUE!</v>
      </c>
      <c r="O94" s="372"/>
      <c r="P94" s="372"/>
    </row>
    <row r="95" spans="1:55" ht="20.100000000000001" customHeight="1">
      <c r="A95" s="59"/>
      <c r="B95" s="317"/>
      <c r="C95" s="316"/>
      <c r="D95" s="316"/>
      <c r="E95" s="316"/>
      <c r="F95" s="316"/>
      <c r="G95" s="316"/>
      <c r="H95" s="316"/>
      <c r="I95" s="316"/>
      <c r="K95" s="372" t="s">
        <v>787</v>
      </c>
      <c r="L95" s="371" t="e">
        <f t="shared" ref="L95:N98" si="4">F41/1000000</f>
        <v>#VALUE!</v>
      </c>
      <c r="M95" s="371">
        <f t="shared" si="4"/>
        <v>0</v>
      </c>
      <c r="N95" s="371">
        <f t="shared" si="4"/>
        <v>1.6377740000000001</v>
      </c>
      <c r="O95" s="372"/>
      <c r="P95" s="372"/>
    </row>
    <row r="96" spans="1:55" ht="20.100000000000001" customHeight="1">
      <c r="A96" s="59"/>
      <c r="B96" s="317"/>
      <c r="C96" s="316"/>
      <c r="D96" s="316"/>
      <c r="E96" s="316"/>
      <c r="F96" s="316"/>
      <c r="G96" s="316"/>
      <c r="H96" s="316"/>
      <c r="I96" s="316"/>
      <c r="K96" s="372" t="s">
        <v>788</v>
      </c>
      <c r="L96" s="371" t="e">
        <f t="shared" si="4"/>
        <v>#VALUE!</v>
      </c>
      <c r="M96" s="371">
        <f t="shared" si="4"/>
        <v>0</v>
      </c>
      <c r="N96" s="371">
        <f t="shared" si="4"/>
        <v>5.2616500000000005E-3</v>
      </c>
      <c r="O96" s="372"/>
      <c r="P96" s="372"/>
    </row>
    <row r="97" spans="1:51" s="358" customFormat="1" ht="20.100000000000001" customHeight="1">
      <c r="A97" s="59"/>
      <c r="B97" s="317"/>
      <c r="C97" s="316"/>
      <c r="D97" s="316"/>
      <c r="E97" s="316"/>
      <c r="F97" s="316"/>
      <c r="G97" s="316"/>
      <c r="H97" s="316"/>
      <c r="I97" s="316"/>
      <c r="J97" s="316"/>
      <c r="K97" s="372" t="s">
        <v>789</v>
      </c>
      <c r="L97" s="371" t="e">
        <f t="shared" si="4"/>
        <v>#VALUE!</v>
      </c>
      <c r="M97" s="371">
        <f t="shared" si="4"/>
        <v>0</v>
      </c>
      <c r="N97" s="371" t="e">
        <f t="shared" si="4"/>
        <v>#VALUE!</v>
      </c>
      <c r="O97" s="372"/>
      <c r="P97" s="372"/>
      <c r="Q97" s="356"/>
      <c r="R97" s="356"/>
      <c r="S97" s="356"/>
      <c r="T97" s="356"/>
      <c r="U97" s="356"/>
      <c r="V97" s="356"/>
      <c r="W97" s="356"/>
      <c r="X97" s="356"/>
      <c r="Y97" s="356"/>
      <c r="Z97" s="356"/>
      <c r="AA97" s="356"/>
      <c r="AB97" s="356"/>
      <c r="AC97" s="356"/>
      <c r="AD97" s="356"/>
      <c r="AE97" s="356"/>
      <c r="AF97" s="356"/>
      <c r="AG97" s="356"/>
      <c r="AH97" s="356"/>
      <c r="AI97" s="356"/>
      <c r="AJ97" s="356"/>
      <c r="AK97" s="356"/>
      <c r="AL97" s="356"/>
      <c r="AM97" s="356"/>
      <c r="AN97" s="356"/>
      <c r="AO97" s="356"/>
      <c r="AP97" s="356"/>
      <c r="AQ97" s="356"/>
      <c r="AR97" s="356"/>
      <c r="AS97" s="356"/>
      <c r="AT97" s="356"/>
      <c r="AU97" s="356"/>
      <c r="AV97" s="356"/>
      <c r="AW97" s="356"/>
      <c r="AX97" s="356"/>
      <c r="AY97" s="356"/>
    </row>
    <row r="98" spans="1:51" s="358" customFormat="1" ht="20.100000000000001" customHeight="1">
      <c r="A98" s="59"/>
      <c r="B98" s="317"/>
      <c r="C98" s="316"/>
      <c r="D98" s="316"/>
      <c r="E98" s="316"/>
      <c r="F98" s="316"/>
      <c r="G98" s="316"/>
      <c r="H98" s="316"/>
      <c r="I98" s="316"/>
      <c r="J98" s="316"/>
      <c r="K98" s="372" t="s">
        <v>790</v>
      </c>
      <c r="L98" s="371">
        <f t="shared" si="4"/>
        <v>5.5390376263450565E-2</v>
      </c>
      <c r="M98" s="371">
        <f t="shared" si="4"/>
        <v>0</v>
      </c>
      <c r="N98" s="371">
        <f t="shared" si="4"/>
        <v>8.3185999999999996E-2</v>
      </c>
      <c r="O98" s="372"/>
      <c r="P98" s="372"/>
      <c r="Q98" s="356"/>
      <c r="R98" s="356"/>
      <c r="S98" s="356"/>
      <c r="T98" s="356"/>
      <c r="U98" s="356"/>
      <c r="V98" s="356"/>
      <c r="W98" s="356"/>
      <c r="X98" s="356"/>
      <c r="Y98" s="356"/>
      <c r="Z98" s="356"/>
      <c r="AA98" s="356"/>
      <c r="AB98" s="356"/>
      <c r="AC98" s="356"/>
      <c r="AD98" s="356"/>
      <c r="AE98" s="356"/>
      <c r="AF98" s="356"/>
      <c r="AG98" s="356"/>
      <c r="AH98" s="356"/>
      <c r="AI98" s="356"/>
      <c r="AJ98" s="356"/>
      <c r="AK98" s="356"/>
      <c r="AL98" s="356"/>
      <c r="AM98" s="356"/>
      <c r="AN98" s="356"/>
      <c r="AO98" s="356"/>
      <c r="AP98" s="356"/>
      <c r="AQ98" s="356"/>
      <c r="AR98" s="356"/>
      <c r="AS98" s="356"/>
      <c r="AT98" s="356"/>
      <c r="AU98" s="356"/>
      <c r="AV98" s="356"/>
      <c r="AW98" s="356"/>
      <c r="AX98" s="356"/>
      <c r="AY98" s="356"/>
    </row>
    <row r="99" spans="1:51" s="358" customFormat="1" ht="20.100000000000001" customHeight="1">
      <c r="A99" s="59"/>
      <c r="B99" s="317"/>
      <c r="C99" s="316"/>
      <c r="D99" s="316"/>
      <c r="E99" s="316"/>
      <c r="F99" s="316"/>
      <c r="G99" s="316"/>
      <c r="H99" s="316"/>
      <c r="I99" s="316"/>
      <c r="J99" s="316"/>
      <c r="K99" s="371" t="s">
        <v>31</v>
      </c>
      <c r="L99" s="371" t="e">
        <f t="shared" ref="L99:N100" si="5">F51/1000000</f>
        <v>#VALUE!</v>
      </c>
      <c r="M99" s="371">
        <f t="shared" si="5"/>
        <v>0</v>
      </c>
      <c r="N99" s="371">
        <f t="shared" si="5"/>
        <v>0</v>
      </c>
      <c r="O99" s="372"/>
      <c r="P99" s="372"/>
      <c r="Q99" s="356"/>
      <c r="R99" s="356"/>
      <c r="S99" s="356"/>
      <c r="T99" s="356"/>
      <c r="U99" s="356"/>
      <c r="V99" s="356"/>
      <c r="W99" s="356"/>
      <c r="X99" s="356"/>
      <c r="Y99" s="356"/>
      <c r="Z99" s="356"/>
      <c r="AA99" s="356"/>
      <c r="AB99" s="356"/>
      <c r="AC99" s="356"/>
      <c r="AD99" s="356"/>
      <c r="AE99" s="356"/>
      <c r="AF99" s="356"/>
      <c r="AG99" s="356"/>
      <c r="AH99" s="356"/>
      <c r="AI99" s="356"/>
      <c r="AJ99" s="356"/>
      <c r="AK99" s="356"/>
      <c r="AL99" s="356"/>
      <c r="AM99" s="356"/>
      <c r="AN99" s="356"/>
      <c r="AO99" s="356"/>
      <c r="AP99" s="356"/>
      <c r="AQ99" s="356"/>
      <c r="AR99" s="356"/>
      <c r="AS99" s="356"/>
      <c r="AT99" s="356"/>
      <c r="AU99" s="356"/>
      <c r="AV99" s="356"/>
      <c r="AW99" s="356"/>
      <c r="AX99" s="356"/>
      <c r="AY99" s="356"/>
    </row>
    <row r="100" spans="1:51" s="358" customFormat="1" ht="20.100000000000001" customHeight="1">
      <c r="A100" s="59"/>
      <c r="B100" s="317"/>
      <c r="C100" s="316"/>
      <c r="D100" s="316"/>
      <c r="E100" s="316"/>
      <c r="F100" s="316"/>
      <c r="G100" s="316"/>
      <c r="H100" s="316"/>
      <c r="I100" s="316"/>
      <c r="J100" s="316"/>
      <c r="K100" s="371" t="s">
        <v>32</v>
      </c>
      <c r="L100" s="371" t="e">
        <f t="shared" si="5"/>
        <v>#VALUE!</v>
      </c>
      <c r="M100" s="371">
        <f t="shared" si="5"/>
        <v>0</v>
      </c>
      <c r="N100" s="371">
        <f t="shared" si="5"/>
        <v>0</v>
      </c>
      <c r="O100" s="372"/>
      <c r="P100" s="372"/>
      <c r="Q100" s="356"/>
      <c r="R100" s="356"/>
      <c r="S100" s="356"/>
      <c r="T100" s="356"/>
      <c r="U100" s="356"/>
      <c r="V100" s="356"/>
      <c r="W100" s="356"/>
      <c r="X100" s="356"/>
      <c r="Y100" s="356"/>
      <c r="Z100" s="356"/>
      <c r="AA100" s="356"/>
      <c r="AB100" s="356"/>
      <c r="AC100" s="356"/>
      <c r="AD100" s="356"/>
      <c r="AE100" s="356"/>
      <c r="AF100" s="356"/>
      <c r="AG100" s="356"/>
      <c r="AH100" s="356"/>
      <c r="AI100" s="356"/>
      <c r="AJ100" s="356"/>
      <c r="AK100" s="356"/>
      <c r="AL100" s="356"/>
      <c r="AM100" s="356"/>
      <c r="AN100" s="356"/>
      <c r="AO100" s="356"/>
      <c r="AP100" s="356"/>
      <c r="AQ100" s="356"/>
      <c r="AR100" s="356"/>
      <c r="AS100" s="356"/>
      <c r="AT100" s="356"/>
      <c r="AU100" s="356"/>
      <c r="AV100" s="356"/>
      <c r="AW100" s="356"/>
      <c r="AX100" s="356"/>
      <c r="AY100" s="356"/>
    </row>
    <row r="101" spans="1:51" s="358" customFormat="1" ht="20.100000000000001" customHeight="1">
      <c r="A101" s="59"/>
      <c r="B101" s="317"/>
      <c r="C101" s="316"/>
      <c r="D101" s="316"/>
      <c r="E101" s="316"/>
      <c r="F101" s="316"/>
      <c r="G101" s="316"/>
      <c r="H101" s="316"/>
      <c r="I101" s="316"/>
      <c r="J101" s="316"/>
      <c r="K101" s="371" t="s">
        <v>34</v>
      </c>
      <c r="L101" s="371" t="e">
        <f t="shared" ref="L101:N103" si="6">F55/1000000</f>
        <v>#VALUE!</v>
      </c>
      <c r="M101" s="371">
        <f t="shared" si="6"/>
        <v>0</v>
      </c>
      <c r="N101" s="371">
        <f t="shared" si="6"/>
        <v>0</v>
      </c>
      <c r="O101" s="372"/>
      <c r="P101" s="372"/>
      <c r="Q101" s="356"/>
      <c r="R101" s="356"/>
      <c r="S101" s="356"/>
      <c r="T101" s="356"/>
      <c r="U101" s="356"/>
      <c r="V101" s="356"/>
      <c r="W101" s="356"/>
      <c r="X101" s="356"/>
      <c r="Y101" s="356"/>
      <c r="Z101" s="356"/>
      <c r="AA101" s="356"/>
      <c r="AB101" s="356"/>
      <c r="AC101" s="356"/>
      <c r="AD101" s="356"/>
      <c r="AE101" s="356"/>
      <c r="AF101" s="356"/>
      <c r="AG101" s="356"/>
      <c r="AH101" s="356"/>
      <c r="AI101" s="356"/>
      <c r="AJ101" s="356"/>
      <c r="AK101" s="356"/>
      <c r="AL101" s="356"/>
      <c r="AM101" s="356"/>
      <c r="AN101" s="356"/>
      <c r="AO101" s="356"/>
      <c r="AP101" s="356"/>
      <c r="AQ101" s="356"/>
      <c r="AR101" s="356"/>
      <c r="AS101" s="356"/>
      <c r="AT101" s="356"/>
      <c r="AU101" s="356"/>
      <c r="AV101" s="356"/>
      <c r="AW101" s="356"/>
      <c r="AX101" s="356"/>
      <c r="AY101" s="356"/>
    </row>
    <row r="102" spans="1:51" s="358" customFormat="1" ht="20.100000000000001" customHeight="1">
      <c r="A102" s="59"/>
      <c r="B102" s="317"/>
      <c r="C102" s="316"/>
      <c r="D102" s="316"/>
      <c r="E102" s="316"/>
      <c r="F102" s="316"/>
      <c r="G102" s="316"/>
      <c r="H102" s="316"/>
      <c r="I102" s="316"/>
      <c r="J102" s="316"/>
      <c r="K102" s="371" t="s">
        <v>35</v>
      </c>
      <c r="L102" s="371" t="e">
        <f t="shared" si="6"/>
        <v>#VALUE!</v>
      </c>
      <c r="M102" s="371">
        <f t="shared" si="6"/>
        <v>0</v>
      </c>
      <c r="N102" s="371">
        <f t="shared" si="6"/>
        <v>0</v>
      </c>
      <c r="O102" s="372"/>
      <c r="P102" s="372"/>
      <c r="Q102" s="356"/>
      <c r="R102" s="356"/>
      <c r="S102" s="356"/>
      <c r="T102" s="356"/>
      <c r="U102" s="356"/>
      <c r="V102" s="356"/>
      <c r="W102" s="356"/>
      <c r="X102" s="356"/>
      <c r="Y102" s="356"/>
      <c r="Z102" s="356"/>
      <c r="AA102" s="356"/>
      <c r="AB102" s="356"/>
      <c r="AC102" s="356"/>
      <c r="AD102" s="356"/>
      <c r="AE102" s="356"/>
      <c r="AF102" s="356"/>
      <c r="AG102" s="356"/>
      <c r="AH102" s="356"/>
      <c r="AI102" s="356"/>
      <c r="AJ102" s="356"/>
      <c r="AK102" s="356"/>
      <c r="AL102" s="356"/>
      <c r="AM102" s="356"/>
      <c r="AN102" s="356"/>
      <c r="AO102" s="356"/>
      <c r="AP102" s="356"/>
      <c r="AQ102" s="356"/>
      <c r="AR102" s="356"/>
      <c r="AS102" s="356"/>
      <c r="AT102" s="356"/>
      <c r="AU102" s="356"/>
      <c r="AV102" s="356"/>
      <c r="AW102" s="356"/>
      <c r="AX102" s="356"/>
      <c r="AY102" s="356"/>
    </row>
    <row r="103" spans="1:51" s="358" customFormat="1" ht="20.100000000000001" customHeight="1">
      <c r="A103" s="59"/>
      <c r="B103" s="317"/>
      <c r="C103" s="1184" t="s">
        <v>791</v>
      </c>
      <c r="D103" s="1184"/>
      <c r="E103" s="1184"/>
      <c r="F103" s="1184"/>
      <c r="G103" s="1184"/>
      <c r="H103" s="1184"/>
      <c r="I103" s="1184"/>
      <c r="J103" s="316"/>
      <c r="K103" s="371" t="s">
        <v>215</v>
      </c>
      <c r="L103" s="371" t="e">
        <f t="shared" si="6"/>
        <v>#VALUE!</v>
      </c>
      <c r="M103" s="371">
        <f t="shared" si="6"/>
        <v>0</v>
      </c>
      <c r="N103" s="371">
        <f t="shared" si="6"/>
        <v>0</v>
      </c>
      <c r="O103" s="372"/>
      <c r="P103" s="372"/>
      <c r="Q103" s="356"/>
      <c r="R103" s="356"/>
      <c r="S103" s="356"/>
      <c r="T103" s="356"/>
      <c r="U103" s="356"/>
      <c r="V103" s="356"/>
      <c r="W103" s="356"/>
      <c r="X103" s="356"/>
      <c r="Y103" s="356"/>
      <c r="Z103" s="356"/>
      <c r="AA103" s="356"/>
      <c r="AB103" s="356"/>
      <c r="AC103" s="356"/>
      <c r="AD103" s="356"/>
      <c r="AE103" s="356"/>
      <c r="AF103" s="356"/>
      <c r="AG103" s="356"/>
      <c r="AH103" s="356"/>
      <c r="AI103" s="356"/>
      <c r="AJ103" s="356"/>
      <c r="AK103" s="356"/>
      <c r="AL103" s="356"/>
      <c r="AM103" s="356"/>
      <c r="AN103" s="356"/>
      <c r="AO103" s="356"/>
      <c r="AP103" s="356"/>
      <c r="AQ103" s="356"/>
      <c r="AR103" s="356"/>
      <c r="AS103" s="356"/>
      <c r="AT103" s="356"/>
      <c r="AU103" s="356"/>
      <c r="AV103" s="356"/>
      <c r="AW103" s="356"/>
      <c r="AX103" s="356"/>
      <c r="AY103" s="356"/>
    </row>
    <row r="104" spans="1:51" s="358" customFormat="1" ht="20.100000000000001" customHeight="1">
      <c r="A104" s="59"/>
      <c r="B104" s="317"/>
      <c r="C104" s="316"/>
      <c r="D104" s="316"/>
      <c r="E104" s="316"/>
      <c r="F104" s="316"/>
      <c r="G104" s="316"/>
      <c r="H104" s="316"/>
      <c r="I104" s="316"/>
      <c r="J104" s="316"/>
      <c r="K104" s="371"/>
      <c r="L104" s="371"/>
      <c r="M104" s="371"/>
      <c r="N104" s="371"/>
      <c r="O104" s="372"/>
      <c r="P104" s="372"/>
      <c r="Q104" s="356"/>
      <c r="R104" s="356"/>
      <c r="S104" s="356"/>
      <c r="T104" s="356"/>
      <c r="U104" s="356"/>
      <c r="V104" s="356"/>
      <c r="W104" s="356"/>
      <c r="X104" s="356"/>
      <c r="Y104" s="356"/>
      <c r="Z104" s="356"/>
      <c r="AA104" s="356"/>
      <c r="AB104" s="356"/>
      <c r="AC104" s="356"/>
      <c r="AD104" s="356"/>
      <c r="AE104" s="356"/>
      <c r="AF104" s="356"/>
      <c r="AG104" s="356"/>
      <c r="AH104" s="356"/>
      <c r="AI104" s="356"/>
      <c r="AJ104" s="356"/>
      <c r="AK104" s="356"/>
      <c r="AL104" s="356"/>
      <c r="AM104" s="356"/>
      <c r="AN104" s="356"/>
      <c r="AO104" s="356"/>
      <c r="AP104" s="356"/>
      <c r="AQ104" s="356"/>
      <c r="AR104" s="356"/>
      <c r="AS104" s="356"/>
      <c r="AT104" s="356"/>
      <c r="AU104" s="356"/>
      <c r="AV104" s="356"/>
      <c r="AW104" s="356"/>
      <c r="AX104" s="356"/>
      <c r="AY104" s="356"/>
    </row>
    <row r="105" spans="1:51" s="358" customFormat="1" ht="20.100000000000001" customHeight="1">
      <c r="A105" s="59"/>
      <c r="B105" s="1185" t="s">
        <v>792</v>
      </c>
      <c r="C105" s="1185"/>
      <c r="D105" s="1185"/>
      <c r="E105" s="1185"/>
      <c r="F105" s="1185"/>
      <c r="G105" s="1185"/>
      <c r="H105" s="1185"/>
      <c r="I105" s="1185"/>
      <c r="J105" s="316"/>
      <c r="K105" s="372"/>
      <c r="L105" s="372"/>
      <c r="M105" s="372"/>
      <c r="N105" s="372"/>
      <c r="O105" s="372"/>
      <c r="P105" s="372"/>
      <c r="Q105" s="356"/>
      <c r="R105" s="356"/>
      <c r="S105" s="356"/>
      <c r="T105" s="356"/>
      <c r="U105" s="356"/>
      <c r="V105" s="356"/>
      <c r="W105" s="356"/>
      <c r="X105" s="356"/>
      <c r="Y105" s="356"/>
      <c r="Z105" s="356"/>
      <c r="AA105" s="356"/>
      <c r="AB105" s="356"/>
      <c r="AC105" s="356"/>
      <c r="AD105" s="356"/>
      <c r="AE105" s="356"/>
      <c r="AF105" s="356"/>
      <c r="AG105" s="356"/>
      <c r="AH105" s="356"/>
      <c r="AI105" s="356"/>
      <c r="AJ105" s="356"/>
      <c r="AK105" s="356"/>
      <c r="AL105" s="356"/>
      <c r="AM105" s="356"/>
      <c r="AN105" s="356"/>
      <c r="AO105" s="356"/>
      <c r="AP105" s="356"/>
      <c r="AQ105" s="356"/>
      <c r="AR105" s="356"/>
      <c r="AS105" s="356"/>
      <c r="AT105" s="356"/>
      <c r="AU105" s="356"/>
      <c r="AV105" s="356"/>
      <c r="AW105" s="356"/>
      <c r="AX105" s="356"/>
      <c r="AY105" s="356"/>
    </row>
    <row r="106" spans="1:51" s="358" customFormat="1" ht="20.100000000000001" customHeight="1">
      <c r="A106" s="59"/>
      <c r="B106" s="317"/>
      <c r="C106" s="316"/>
      <c r="D106" s="316"/>
      <c r="E106" s="316"/>
      <c r="F106" s="316"/>
      <c r="G106" s="316"/>
      <c r="H106" s="316"/>
      <c r="I106" s="316"/>
      <c r="J106" s="316"/>
      <c r="K106" s="372"/>
      <c r="L106" s="372" t="s">
        <v>174</v>
      </c>
      <c r="M106" s="372" t="s">
        <v>794</v>
      </c>
      <c r="N106" s="372" t="s">
        <v>793</v>
      </c>
      <c r="O106" s="372" t="s">
        <v>776</v>
      </c>
      <c r="P106" s="372"/>
      <c r="Q106" s="356"/>
      <c r="R106" s="356"/>
      <c r="S106" s="356"/>
      <c r="T106" s="356"/>
      <c r="U106" s="356"/>
      <c r="V106" s="356"/>
      <c r="W106" s="356"/>
      <c r="X106" s="356"/>
      <c r="Y106" s="356"/>
      <c r="Z106" s="356"/>
      <c r="AA106" s="356"/>
      <c r="AB106" s="356"/>
      <c r="AC106" s="356"/>
      <c r="AD106" s="356"/>
      <c r="AE106" s="356"/>
      <c r="AF106" s="356"/>
      <c r="AG106" s="356"/>
      <c r="AH106" s="356"/>
      <c r="AI106" s="356"/>
      <c r="AJ106" s="356"/>
      <c r="AK106" s="356"/>
      <c r="AL106" s="356"/>
      <c r="AM106" s="356"/>
      <c r="AN106" s="356"/>
      <c r="AO106" s="356"/>
      <c r="AP106" s="356"/>
      <c r="AQ106" s="356"/>
      <c r="AR106" s="356"/>
      <c r="AS106" s="356"/>
      <c r="AT106" s="356"/>
      <c r="AU106" s="356"/>
      <c r="AV106" s="356"/>
      <c r="AW106" s="356"/>
      <c r="AX106" s="356"/>
      <c r="AY106" s="356"/>
    </row>
    <row r="107" spans="1:51" s="358" customFormat="1" ht="20.100000000000001" customHeight="1">
      <c r="A107" s="59"/>
      <c r="B107" s="317"/>
      <c r="C107" s="316"/>
      <c r="D107" s="316"/>
      <c r="E107" s="316"/>
      <c r="F107" s="316"/>
      <c r="G107" s="316"/>
      <c r="H107" s="316"/>
      <c r="I107" s="316"/>
      <c r="J107" s="316"/>
      <c r="K107" s="372" t="s">
        <v>1</v>
      </c>
      <c r="L107" s="371">
        <f>(E10+E12+E13)/1000000</f>
        <v>7.8271153590742593</v>
      </c>
      <c r="M107" s="371">
        <f>(E15+E16)/1000000</f>
        <v>0</v>
      </c>
      <c r="N107" s="371">
        <f>(E11+E14)/1000000</f>
        <v>9.5740783063760535</v>
      </c>
      <c r="O107" s="372"/>
      <c r="P107" s="372"/>
      <c r="Q107" s="356"/>
      <c r="R107" s="356"/>
      <c r="S107" s="356"/>
      <c r="T107" s="356"/>
      <c r="U107" s="356"/>
      <c r="V107" s="356"/>
      <c r="W107" s="356"/>
      <c r="X107" s="356"/>
      <c r="Y107" s="356"/>
      <c r="Z107" s="356"/>
      <c r="AA107" s="356"/>
      <c r="AB107" s="356"/>
      <c r="AC107" s="356"/>
      <c r="AD107" s="356"/>
      <c r="AE107" s="356"/>
      <c r="AF107" s="356"/>
      <c r="AG107" s="356"/>
      <c r="AH107" s="356"/>
      <c r="AI107" s="356"/>
      <c r="AJ107" s="356"/>
      <c r="AK107" s="356"/>
      <c r="AL107" s="356"/>
      <c r="AM107" s="356"/>
      <c r="AN107" s="356"/>
      <c r="AO107" s="356"/>
      <c r="AP107" s="356"/>
      <c r="AQ107" s="356"/>
      <c r="AR107" s="356"/>
      <c r="AS107" s="356"/>
      <c r="AT107" s="356"/>
      <c r="AU107" s="356"/>
      <c r="AV107" s="356"/>
      <c r="AW107" s="356"/>
      <c r="AX107" s="356"/>
      <c r="AY107" s="356"/>
    </row>
    <row r="108" spans="1:51" s="358" customFormat="1" ht="20.100000000000001" customHeight="1">
      <c r="A108" s="59"/>
      <c r="B108" s="317"/>
      <c r="C108" s="316"/>
      <c r="D108" s="316"/>
      <c r="E108" s="316"/>
      <c r="F108" s="316"/>
      <c r="G108" s="316"/>
      <c r="H108" s="316"/>
      <c r="I108" s="316"/>
      <c r="J108" s="316"/>
      <c r="K108" s="372" t="s">
        <v>2</v>
      </c>
      <c r="L108" s="371">
        <f>(F10+F12)/1000000</f>
        <v>3.9779553323479995</v>
      </c>
      <c r="M108" s="372"/>
      <c r="N108" s="372"/>
      <c r="O108" s="372"/>
      <c r="P108" s="372"/>
      <c r="Q108" s="356"/>
      <c r="R108" s="356"/>
      <c r="S108" s="356"/>
      <c r="T108" s="356"/>
      <c r="U108" s="356"/>
      <c r="V108" s="356"/>
      <c r="W108" s="356"/>
      <c r="X108" s="356"/>
      <c r="Y108" s="356"/>
      <c r="Z108" s="356"/>
      <c r="AA108" s="356"/>
      <c r="AB108" s="356"/>
      <c r="AC108" s="356"/>
      <c r="AD108" s="356"/>
      <c r="AE108" s="356"/>
      <c r="AF108" s="356"/>
      <c r="AG108" s="356"/>
      <c r="AH108" s="356"/>
      <c r="AI108" s="356"/>
      <c r="AJ108" s="356"/>
      <c r="AK108" s="356"/>
      <c r="AL108" s="356"/>
      <c r="AM108" s="356"/>
      <c r="AN108" s="356"/>
      <c r="AO108" s="356"/>
      <c r="AP108" s="356"/>
      <c r="AQ108" s="356"/>
      <c r="AR108" s="356"/>
      <c r="AS108" s="356"/>
      <c r="AT108" s="356"/>
      <c r="AU108" s="356"/>
      <c r="AV108" s="356"/>
      <c r="AW108" s="356"/>
      <c r="AX108" s="356"/>
      <c r="AY108" s="356"/>
    </row>
    <row r="109" spans="1:51" s="358" customFormat="1" ht="20.100000000000001" customHeight="1">
      <c r="A109" s="59"/>
      <c r="B109" s="317"/>
      <c r="C109" s="316"/>
      <c r="D109" s="316"/>
      <c r="E109" s="316"/>
      <c r="F109" s="316"/>
      <c r="G109" s="316"/>
      <c r="H109" s="316"/>
      <c r="I109" s="316"/>
      <c r="J109" s="316"/>
      <c r="K109" s="372" t="s">
        <v>3</v>
      </c>
      <c r="L109" s="371">
        <f>G13/1000000</f>
        <v>1.7262216499999998</v>
      </c>
      <c r="M109" s="371">
        <f>(G10+G12)/1000000</f>
        <v>0.53556815177182138</v>
      </c>
      <c r="N109" s="372"/>
      <c r="O109" s="371" t="e">
        <f>G17/1000000</f>
        <v>#VALUE!</v>
      </c>
      <c r="P109" s="372"/>
      <c r="Q109" s="356"/>
      <c r="R109" s="356"/>
      <c r="S109" s="356"/>
      <c r="T109" s="356"/>
      <c r="U109" s="356"/>
      <c r="V109" s="356"/>
      <c r="W109" s="356"/>
      <c r="X109" s="356"/>
      <c r="Y109" s="356"/>
      <c r="Z109" s="356"/>
      <c r="AA109" s="356"/>
      <c r="AB109" s="356"/>
      <c r="AC109" s="356"/>
      <c r="AD109" s="356"/>
      <c r="AE109" s="356"/>
      <c r="AF109" s="356"/>
      <c r="AG109" s="356"/>
      <c r="AH109" s="356"/>
      <c r="AI109" s="356"/>
      <c r="AJ109" s="356"/>
      <c r="AK109" s="356"/>
      <c r="AL109" s="356"/>
      <c r="AM109" s="356"/>
      <c r="AN109" s="356"/>
      <c r="AO109" s="356"/>
      <c r="AP109" s="356"/>
      <c r="AQ109" s="356"/>
      <c r="AR109" s="356"/>
      <c r="AS109" s="356"/>
      <c r="AT109" s="356"/>
      <c r="AU109" s="356"/>
      <c r="AV109" s="356"/>
      <c r="AW109" s="356"/>
      <c r="AX109" s="356"/>
      <c r="AY109" s="356"/>
    </row>
    <row r="110" spans="1:51" s="358" customFormat="1" ht="20.100000000000001" customHeight="1">
      <c r="A110" s="59"/>
      <c r="B110" s="317"/>
      <c r="C110" s="316"/>
      <c r="D110" s="316"/>
      <c r="E110" s="316"/>
      <c r="F110" s="316"/>
      <c r="G110" s="316"/>
      <c r="H110" s="316"/>
      <c r="I110" s="316"/>
      <c r="J110" s="316"/>
      <c r="K110" s="374"/>
      <c r="L110" s="374"/>
      <c r="M110" s="374"/>
      <c r="N110" s="374"/>
      <c r="O110" s="374"/>
      <c r="P110" s="374"/>
      <c r="Q110" s="356"/>
      <c r="R110" s="356"/>
      <c r="S110" s="356"/>
      <c r="T110" s="356"/>
      <c r="U110" s="356"/>
      <c r="V110" s="356"/>
      <c r="W110" s="356"/>
      <c r="X110" s="356"/>
      <c r="Y110" s="356"/>
      <c r="Z110" s="356"/>
      <c r="AA110" s="356"/>
      <c r="AB110" s="356"/>
      <c r="AC110" s="356"/>
      <c r="AD110" s="356"/>
      <c r="AE110" s="356"/>
      <c r="AF110" s="356"/>
      <c r="AG110" s="356"/>
      <c r="AH110" s="356"/>
      <c r="AI110" s="356"/>
      <c r="AJ110" s="356"/>
      <c r="AK110" s="356"/>
      <c r="AL110" s="356"/>
      <c r="AM110" s="356"/>
      <c r="AN110" s="356"/>
      <c r="AO110" s="356"/>
      <c r="AP110" s="356"/>
      <c r="AQ110" s="356"/>
      <c r="AR110" s="356"/>
      <c r="AS110" s="356"/>
      <c r="AT110" s="356"/>
      <c r="AU110" s="356"/>
      <c r="AV110" s="356"/>
      <c r="AW110" s="356"/>
      <c r="AX110" s="356"/>
      <c r="AY110" s="356"/>
    </row>
    <row r="111" spans="1:51" s="358" customFormat="1" ht="20.100000000000001" customHeight="1">
      <c r="A111" s="59"/>
      <c r="B111" s="317"/>
      <c r="C111" s="316"/>
      <c r="D111" s="316"/>
      <c r="E111" s="316"/>
      <c r="F111" s="316"/>
      <c r="G111" s="316"/>
      <c r="H111" s="316"/>
      <c r="I111" s="316"/>
      <c r="J111" s="316"/>
      <c r="K111" s="356"/>
      <c r="L111" s="356"/>
      <c r="M111" s="356"/>
      <c r="N111" s="356"/>
      <c r="O111" s="356"/>
      <c r="P111" s="356"/>
      <c r="Q111" s="356"/>
      <c r="R111" s="356"/>
      <c r="S111" s="356"/>
      <c r="T111" s="356"/>
      <c r="U111" s="356"/>
      <c r="V111" s="356"/>
      <c r="W111" s="356"/>
      <c r="X111" s="356"/>
      <c r="Y111" s="356"/>
      <c r="Z111" s="356"/>
      <c r="AA111" s="356"/>
      <c r="AB111" s="356"/>
      <c r="AC111" s="356"/>
      <c r="AD111" s="356"/>
      <c r="AE111" s="356"/>
      <c r="AF111" s="356"/>
      <c r="AG111" s="356"/>
      <c r="AH111" s="356"/>
      <c r="AI111" s="356"/>
      <c r="AJ111" s="356"/>
      <c r="AK111" s="356"/>
      <c r="AL111" s="356"/>
      <c r="AM111" s="356"/>
      <c r="AN111" s="356"/>
      <c r="AO111" s="356"/>
      <c r="AP111" s="356"/>
      <c r="AQ111" s="356"/>
      <c r="AR111" s="356"/>
      <c r="AS111" s="356"/>
      <c r="AT111" s="356"/>
      <c r="AU111" s="356"/>
      <c r="AV111" s="356"/>
      <c r="AW111" s="356"/>
      <c r="AX111" s="356"/>
      <c r="AY111" s="356"/>
    </row>
    <row r="112" spans="1:51" s="358" customFormat="1" ht="20.100000000000001" customHeight="1">
      <c r="A112" s="59"/>
      <c r="B112" s="317"/>
      <c r="C112" s="316"/>
      <c r="D112" s="316"/>
      <c r="E112" s="316"/>
      <c r="F112" s="316"/>
      <c r="G112" s="316"/>
      <c r="H112" s="316"/>
      <c r="I112" s="316"/>
      <c r="J112" s="316"/>
      <c r="K112" s="356"/>
      <c r="L112" s="356"/>
      <c r="M112" s="356"/>
      <c r="N112" s="356"/>
      <c r="O112" s="356"/>
      <c r="P112" s="356"/>
      <c r="Q112" s="356"/>
      <c r="R112" s="356"/>
      <c r="S112" s="356"/>
      <c r="T112" s="356"/>
      <c r="U112" s="356"/>
      <c r="V112" s="356"/>
      <c r="W112" s="356"/>
      <c r="X112" s="356"/>
      <c r="Y112" s="356"/>
      <c r="Z112" s="356"/>
      <c r="AA112" s="356"/>
      <c r="AB112" s="356"/>
      <c r="AC112" s="356"/>
      <c r="AD112" s="356"/>
      <c r="AE112" s="356"/>
      <c r="AF112" s="356"/>
      <c r="AG112" s="356"/>
      <c r="AH112" s="356"/>
      <c r="AI112" s="356"/>
      <c r="AJ112" s="356"/>
      <c r="AK112" s="356"/>
      <c r="AL112" s="356"/>
      <c r="AM112" s="356"/>
      <c r="AN112" s="356"/>
      <c r="AO112" s="356"/>
      <c r="AP112" s="356"/>
      <c r="AQ112" s="356"/>
      <c r="AR112" s="356"/>
      <c r="AS112" s="356"/>
      <c r="AT112" s="356"/>
      <c r="AU112" s="356"/>
      <c r="AV112" s="356"/>
      <c r="AW112" s="356"/>
      <c r="AX112" s="356"/>
      <c r="AY112" s="356"/>
    </row>
    <row r="113" spans="1:51" s="358" customFormat="1" ht="20.100000000000001" customHeight="1">
      <c r="A113" s="59"/>
      <c r="B113" s="317"/>
      <c r="C113" s="316"/>
      <c r="D113" s="316"/>
      <c r="E113" s="316"/>
      <c r="F113" s="316"/>
      <c r="G113" s="316"/>
      <c r="H113" s="316"/>
      <c r="I113" s="316"/>
      <c r="J113" s="316"/>
      <c r="K113" s="356"/>
      <c r="L113" s="356"/>
      <c r="M113" s="356"/>
      <c r="N113" s="356"/>
      <c r="O113" s="356"/>
      <c r="P113" s="356"/>
      <c r="Q113" s="356"/>
      <c r="R113" s="356"/>
      <c r="S113" s="356"/>
      <c r="T113" s="356"/>
      <c r="U113" s="356"/>
      <c r="V113" s="356"/>
      <c r="W113" s="356"/>
      <c r="X113" s="356"/>
      <c r="Y113" s="356"/>
      <c r="Z113" s="356"/>
      <c r="AA113" s="356"/>
      <c r="AB113" s="356"/>
      <c r="AC113" s="356"/>
      <c r="AD113" s="356"/>
      <c r="AE113" s="356"/>
      <c r="AF113" s="356"/>
      <c r="AG113" s="356"/>
      <c r="AH113" s="356"/>
      <c r="AI113" s="356"/>
      <c r="AJ113" s="356"/>
      <c r="AK113" s="356"/>
      <c r="AL113" s="356"/>
      <c r="AM113" s="356"/>
      <c r="AN113" s="356"/>
      <c r="AO113" s="356"/>
      <c r="AP113" s="356"/>
      <c r="AQ113" s="356"/>
      <c r="AR113" s="356"/>
      <c r="AS113" s="356"/>
      <c r="AT113" s="356"/>
      <c r="AU113" s="356"/>
      <c r="AV113" s="356"/>
      <c r="AW113" s="356"/>
      <c r="AX113" s="356"/>
      <c r="AY113" s="356"/>
    </row>
    <row r="114" spans="1:51" s="358" customFormat="1" ht="20.100000000000001" customHeight="1">
      <c r="A114" s="59"/>
      <c r="B114" s="317"/>
      <c r="C114" s="316"/>
      <c r="D114" s="316"/>
      <c r="E114" s="316"/>
      <c r="F114" s="316"/>
      <c r="G114" s="316"/>
      <c r="H114" s="316"/>
      <c r="I114" s="316"/>
      <c r="J114" s="316"/>
      <c r="K114" s="356"/>
      <c r="L114" s="356"/>
      <c r="M114" s="356"/>
      <c r="N114" s="356"/>
      <c r="O114" s="356"/>
      <c r="P114" s="356"/>
      <c r="Q114" s="356"/>
      <c r="R114" s="356"/>
      <c r="S114" s="356"/>
      <c r="T114" s="356"/>
      <c r="U114" s="356"/>
      <c r="V114" s="356"/>
      <c r="W114" s="356"/>
      <c r="X114" s="356"/>
      <c r="Y114" s="356"/>
      <c r="Z114" s="356"/>
      <c r="AA114" s="356"/>
      <c r="AB114" s="356"/>
      <c r="AC114" s="356"/>
      <c r="AD114" s="356"/>
      <c r="AE114" s="356"/>
      <c r="AF114" s="356"/>
      <c r="AG114" s="356"/>
      <c r="AH114" s="356"/>
      <c r="AI114" s="356"/>
      <c r="AJ114" s="356"/>
      <c r="AK114" s="356"/>
      <c r="AL114" s="356"/>
      <c r="AM114" s="356"/>
      <c r="AN114" s="356"/>
      <c r="AO114" s="356"/>
      <c r="AP114" s="356"/>
      <c r="AQ114" s="356"/>
      <c r="AR114" s="356"/>
      <c r="AS114" s="356"/>
      <c r="AT114" s="356"/>
      <c r="AU114" s="356"/>
      <c r="AV114" s="356"/>
      <c r="AW114" s="356"/>
      <c r="AX114" s="356"/>
      <c r="AY114" s="356"/>
    </row>
    <row r="115" spans="1:51" s="358" customFormat="1" ht="20.100000000000001" customHeight="1">
      <c r="A115" s="59"/>
      <c r="B115" s="317"/>
      <c r="C115" s="316"/>
      <c r="D115" s="316"/>
      <c r="E115" s="316"/>
      <c r="F115" s="316"/>
      <c r="G115" s="316"/>
      <c r="H115" s="316"/>
      <c r="I115" s="316"/>
      <c r="J115" s="316"/>
      <c r="K115" s="356"/>
      <c r="L115" s="356"/>
      <c r="M115" s="356"/>
      <c r="N115" s="356"/>
      <c r="O115" s="356"/>
      <c r="P115" s="356"/>
      <c r="Q115" s="356"/>
      <c r="R115" s="356"/>
      <c r="S115" s="356"/>
      <c r="T115" s="356"/>
      <c r="U115" s="356"/>
      <c r="V115" s="356"/>
      <c r="W115" s="356"/>
      <c r="X115" s="356"/>
      <c r="Y115" s="356"/>
      <c r="Z115" s="356"/>
      <c r="AA115" s="356"/>
      <c r="AB115" s="356"/>
      <c r="AC115" s="356"/>
      <c r="AD115" s="356"/>
      <c r="AE115" s="356"/>
      <c r="AF115" s="356"/>
      <c r="AG115" s="356"/>
      <c r="AH115" s="356"/>
      <c r="AI115" s="356"/>
      <c r="AJ115" s="356"/>
      <c r="AK115" s="356"/>
      <c r="AL115" s="356"/>
      <c r="AM115" s="356"/>
      <c r="AN115" s="356"/>
      <c r="AO115" s="356"/>
      <c r="AP115" s="356"/>
      <c r="AQ115" s="356"/>
      <c r="AR115" s="356"/>
      <c r="AS115" s="356"/>
      <c r="AT115" s="356"/>
      <c r="AU115" s="356"/>
      <c r="AV115" s="356"/>
      <c r="AW115" s="356"/>
      <c r="AX115" s="356"/>
      <c r="AY115" s="356"/>
    </row>
    <row r="116" spans="1:51" s="358" customFormat="1" ht="20.100000000000001" customHeight="1">
      <c r="A116" s="59"/>
      <c r="B116" s="317"/>
      <c r="C116" s="316"/>
      <c r="D116" s="316"/>
      <c r="E116" s="316"/>
      <c r="F116" s="316"/>
      <c r="G116" s="316"/>
      <c r="H116" s="316"/>
      <c r="I116" s="316"/>
      <c r="J116" s="316"/>
      <c r="K116" s="356"/>
      <c r="L116" s="356"/>
      <c r="M116" s="356"/>
      <c r="N116" s="356"/>
      <c r="O116" s="356"/>
      <c r="P116" s="356"/>
      <c r="Q116" s="356"/>
      <c r="R116" s="356"/>
      <c r="S116" s="356"/>
      <c r="T116" s="356"/>
      <c r="U116" s="356"/>
      <c r="V116" s="356"/>
      <c r="W116" s="356"/>
      <c r="X116" s="356"/>
      <c r="Y116" s="356"/>
      <c r="Z116" s="356"/>
      <c r="AA116" s="356"/>
      <c r="AB116" s="356"/>
      <c r="AC116" s="356"/>
      <c r="AD116" s="356"/>
      <c r="AE116" s="356"/>
      <c r="AF116" s="356"/>
      <c r="AG116" s="356"/>
      <c r="AH116" s="356"/>
      <c r="AI116" s="356"/>
      <c r="AJ116" s="356"/>
      <c r="AK116" s="356"/>
      <c r="AL116" s="356"/>
      <c r="AM116" s="356"/>
      <c r="AN116" s="356"/>
      <c r="AO116" s="356"/>
      <c r="AP116" s="356"/>
      <c r="AQ116" s="356"/>
      <c r="AR116" s="356"/>
      <c r="AS116" s="356"/>
      <c r="AT116" s="356"/>
      <c r="AU116" s="356"/>
      <c r="AV116" s="356"/>
      <c r="AW116" s="356"/>
      <c r="AX116" s="356"/>
      <c r="AY116" s="356"/>
    </row>
    <row r="117" spans="1:51" s="358" customFormat="1" ht="20.100000000000001" customHeight="1">
      <c r="A117" s="59"/>
      <c r="B117" s="317"/>
      <c r="C117" s="316"/>
      <c r="D117" s="316"/>
      <c r="E117" s="316"/>
      <c r="F117" s="316"/>
      <c r="G117" s="316"/>
      <c r="H117" s="316"/>
      <c r="I117" s="316"/>
      <c r="J117" s="316"/>
      <c r="K117" s="356"/>
      <c r="L117" s="356"/>
      <c r="M117" s="356"/>
      <c r="N117" s="356"/>
      <c r="O117" s="356"/>
      <c r="P117" s="356"/>
      <c r="Q117" s="356"/>
      <c r="R117" s="356"/>
      <c r="S117" s="356"/>
      <c r="T117" s="356"/>
      <c r="U117" s="356"/>
      <c r="V117" s="356"/>
      <c r="W117" s="356"/>
      <c r="X117" s="356"/>
      <c r="Y117" s="356"/>
      <c r="Z117" s="356"/>
      <c r="AA117" s="356"/>
      <c r="AB117" s="356"/>
      <c r="AC117" s="356"/>
      <c r="AD117" s="356"/>
      <c r="AE117" s="356"/>
      <c r="AF117" s="356"/>
      <c r="AG117" s="356"/>
      <c r="AH117" s="356"/>
      <c r="AI117" s="356"/>
      <c r="AJ117" s="356"/>
      <c r="AK117" s="356"/>
      <c r="AL117" s="356"/>
      <c r="AM117" s="356"/>
      <c r="AN117" s="356"/>
      <c r="AO117" s="356"/>
      <c r="AP117" s="356"/>
      <c r="AQ117" s="356"/>
      <c r="AR117" s="356"/>
      <c r="AS117" s="356"/>
      <c r="AT117" s="356"/>
      <c r="AU117" s="356"/>
      <c r="AV117" s="356"/>
      <c r="AW117" s="356"/>
      <c r="AX117" s="356"/>
      <c r="AY117" s="356"/>
    </row>
    <row r="118" spans="1:51" s="358" customFormat="1" ht="20.100000000000001" customHeight="1">
      <c r="A118" s="59"/>
      <c r="B118" s="317"/>
      <c r="C118" s="316"/>
      <c r="D118" s="316"/>
      <c r="E118" s="316"/>
      <c r="F118" s="316"/>
      <c r="G118" s="316"/>
      <c r="H118" s="316"/>
      <c r="I118" s="316"/>
      <c r="J118" s="316"/>
      <c r="K118" s="356"/>
      <c r="L118" s="356"/>
      <c r="M118" s="356"/>
      <c r="N118" s="356"/>
      <c r="O118" s="356"/>
      <c r="P118" s="356"/>
      <c r="Q118" s="356"/>
      <c r="R118" s="356"/>
      <c r="S118" s="356"/>
      <c r="T118" s="356"/>
      <c r="U118" s="356"/>
      <c r="V118" s="356"/>
      <c r="W118" s="356"/>
      <c r="X118" s="356"/>
      <c r="Y118" s="356"/>
      <c r="Z118" s="356"/>
      <c r="AA118" s="356"/>
      <c r="AB118" s="356"/>
      <c r="AC118" s="356"/>
      <c r="AD118" s="356"/>
      <c r="AE118" s="356"/>
      <c r="AF118" s="356"/>
      <c r="AG118" s="356"/>
      <c r="AH118" s="356"/>
      <c r="AI118" s="356"/>
      <c r="AJ118" s="356"/>
      <c r="AK118" s="356"/>
      <c r="AL118" s="356"/>
      <c r="AM118" s="356"/>
      <c r="AN118" s="356"/>
      <c r="AO118" s="356"/>
      <c r="AP118" s="356"/>
      <c r="AQ118" s="356"/>
      <c r="AR118" s="356"/>
      <c r="AS118" s="356"/>
      <c r="AT118" s="356"/>
      <c r="AU118" s="356"/>
      <c r="AV118" s="356"/>
      <c r="AW118" s="356"/>
      <c r="AX118" s="356"/>
      <c r="AY118" s="356"/>
    </row>
    <row r="119" spans="1:51" s="358" customFormat="1" ht="20.100000000000001" customHeight="1">
      <c r="A119" s="59"/>
      <c r="B119" s="317"/>
      <c r="C119" s="316"/>
      <c r="D119" s="316"/>
      <c r="E119" s="316"/>
      <c r="F119" s="316"/>
      <c r="G119" s="316"/>
      <c r="H119" s="316"/>
      <c r="I119" s="316"/>
      <c r="J119" s="316"/>
      <c r="K119" s="356"/>
      <c r="L119" s="356"/>
      <c r="M119" s="356"/>
      <c r="N119" s="356"/>
      <c r="O119" s="356"/>
      <c r="P119" s="356"/>
      <c r="Q119" s="356"/>
      <c r="R119" s="356"/>
      <c r="S119" s="356"/>
      <c r="T119" s="356"/>
      <c r="U119" s="356"/>
      <c r="V119" s="356"/>
      <c r="W119" s="356"/>
      <c r="X119" s="356"/>
      <c r="Y119" s="356"/>
      <c r="Z119" s="356"/>
      <c r="AA119" s="356"/>
      <c r="AB119" s="356"/>
      <c r="AC119" s="356"/>
      <c r="AD119" s="356"/>
      <c r="AE119" s="356"/>
      <c r="AF119" s="356"/>
      <c r="AG119" s="356"/>
      <c r="AH119" s="356"/>
      <c r="AI119" s="356"/>
      <c r="AJ119" s="356"/>
      <c r="AK119" s="356"/>
      <c r="AL119" s="356"/>
      <c r="AM119" s="356"/>
      <c r="AN119" s="356"/>
      <c r="AO119" s="356"/>
      <c r="AP119" s="356"/>
      <c r="AQ119" s="356"/>
      <c r="AR119" s="356"/>
      <c r="AS119" s="356"/>
      <c r="AT119" s="356"/>
      <c r="AU119" s="356"/>
      <c r="AV119" s="356"/>
      <c r="AW119" s="356"/>
      <c r="AX119" s="356"/>
      <c r="AY119" s="356"/>
    </row>
    <row r="120" spans="1:51" s="358" customFormat="1" ht="20.100000000000001" customHeight="1">
      <c r="A120" s="59"/>
      <c r="B120" s="317"/>
      <c r="C120" s="316"/>
      <c r="D120" s="316"/>
      <c r="E120" s="316"/>
      <c r="F120" s="316"/>
      <c r="G120" s="316"/>
      <c r="H120" s="316"/>
      <c r="I120" s="316"/>
      <c r="J120" s="316"/>
      <c r="K120" s="356"/>
      <c r="L120" s="356"/>
      <c r="M120" s="356"/>
      <c r="N120" s="356"/>
      <c r="O120" s="356"/>
      <c r="P120" s="356"/>
      <c r="Q120" s="356"/>
      <c r="R120" s="356"/>
      <c r="S120" s="356"/>
      <c r="T120" s="356"/>
      <c r="U120" s="356"/>
      <c r="V120" s="356"/>
      <c r="W120" s="356"/>
      <c r="X120" s="356"/>
      <c r="Y120" s="356"/>
      <c r="Z120" s="356"/>
      <c r="AA120" s="356"/>
      <c r="AB120" s="356"/>
      <c r="AC120" s="356"/>
      <c r="AD120" s="356"/>
      <c r="AE120" s="356"/>
      <c r="AF120" s="356"/>
      <c r="AG120" s="356"/>
      <c r="AH120" s="356"/>
      <c r="AI120" s="356"/>
      <c r="AJ120" s="356"/>
      <c r="AK120" s="356"/>
      <c r="AL120" s="356"/>
      <c r="AM120" s="356"/>
      <c r="AN120" s="356"/>
      <c r="AO120" s="356"/>
      <c r="AP120" s="356"/>
      <c r="AQ120" s="356"/>
      <c r="AR120" s="356"/>
      <c r="AS120" s="356"/>
      <c r="AT120" s="356"/>
      <c r="AU120" s="356"/>
      <c r="AV120" s="356"/>
      <c r="AW120" s="356"/>
      <c r="AX120" s="356"/>
      <c r="AY120" s="356"/>
    </row>
    <row r="121" spans="1:51" s="316" customFormat="1" ht="20.100000000000001" customHeight="1">
      <c r="A121" s="59"/>
      <c r="B121" s="317"/>
      <c r="K121" s="356"/>
      <c r="L121" s="356"/>
      <c r="M121" s="356"/>
      <c r="N121" s="356"/>
      <c r="O121" s="356"/>
      <c r="P121" s="356"/>
      <c r="Q121" s="356"/>
      <c r="R121" s="356"/>
      <c r="S121" s="356"/>
      <c r="T121" s="356"/>
      <c r="U121" s="356"/>
      <c r="V121" s="356"/>
      <c r="W121" s="356"/>
      <c r="X121" s="356"/>
      <c r="Y121" s="356"/>
      <c r="Z121" s="356"/>
      <c r="AA121" s="356"/>
      <c r="AB121" s="356"/>
      <c r="AC121" s="356"/>
      <c r="AD121" s="356"/>
      <c r="AE121" s="356"/>
      <c r="AF121" s="356"/>
      <c r="AG121" s="356"/>
      <c r="AH121" s="356"/>
      <c r="AI121" s="356"/>
      <c r="AJ121" s="356"/>
      <c r="AK121" s="356"/>
      <c r="AL121" s="356"/>
      <c r="AM121" s="356"/>
      <c r="AN121" s="356"/>
      <c r="AO121" s="356"/>
      <c r="AP121" s="356"/>
      <c r="AQ121" s="356"/>
      <c r="AR121" s="356"/>
      <c r="AS121" s="356"/>
      <c r="AT121" s="356"/>
      <c r="AU121" s="356"/>
      <c r="AV121" s="356"/>
      <c r="AW121" s="356"/>
      <c r="AX121" s="356"/>
      <c r="AY121" s="356"/>
    </row>
    <row r="122" spans="1:51" s="356" customFormat="1" ht="20.100000000000001" customHeight="1">
      <c r="B122" s="362"/>
    </row>
    <row r="123" spans="1:51" s="356" customFormat="1" ht="20.100000000000001" customHeight="1">
      <c r="B123" s="362"/>
    </row>
    <row r="124" spans="1:51" s="356" customFormat="1" ht="20.100000000000001" customHeight="1">
      <c r="B124" s="362"/>
    </row>
    <row r="125" spans="1:51" s="356" customFormat="1" ht="20.100000000000001" customHeight="1">
      <c r="B125" s="362"/>
    </row>
    <row r="126" spans="1:51" s="356" customFormat="1">
      <c r="B126" s="362"/>
    </row>
    <row r="127" spans="1:51" s="356" customFormat="1">
      <c r="B127" s="362"/>
    </row>
    <row r="128" spans="1:51" s="356" customFormat="1">
      <c r="B128" s="362"/>
    </row>
    <row r="129" spans="2:2" s="356" customFormat="1">
      <c r="B129" s="362"/>
    </row>
    <row r="130" spans="2:2" s="356" customFormat="1">
      <c r="B130" s="362"/>
    </row>
    <row r="131" spans="2:2" s="356" customFormat="1">
      <c r="B131" s="362"/>
    </row>
    <row r="132" spans="2:2" s="356" customFormat="1">
      <c r="B132" s="362"/>
    </row>
    <row r="133" spans="2:2" s="356" customFormat="1">
      <c r="B133" s="362"/>
    </row>
    <row r="134" spans="2:2" s="356" customFormat="1">
      <c r="B134" s="362"/>
    </row>
    <row r="135" spans="2:2" s="356" customFormat="1">
      <c r="B135" s="362"/>
    </row>
    <row r="136" spans="2:2" s="356" customFormat="1">
      <c r="B136" s="362"/>
    </row>
    <row r="137" spans="2:2" s="356" customFormat="1">
      <c r="B137" s="362"/>
    </row>
    <row r="138" spans="2:2" s="356" customFormat="1">
      <c r="B138" s="362"/>
    </row>
    <row r="139" spans="2:2" s="356" customFormat="1">
      <c r="B139" s="362"/>
    </row>
    <row r="140" spans="2:2" s="356" customFormat="1">
      <c r="B140" s="362"/>
    </row>
    <row r="141" spans="2:2" s="356" customFormat="1">
      <c r="B141" s="362"/>
    </row>
    <row r="142" spans="2:2" s="356" customFormat="1">
      <c r="B142" s="362"/>
    </row>
    <row r="143" spans="2:2" s="356" customFormat="1">
      <c r="B143" s="362"/>
    </row>
    <row r="144" spans="2:2" s="356" customFormat="1">
      <c r="B144" s="362"/>
    </row>
    <row r="145" spans="2:2" s="356" customFormat="1">
      <c r="B145" s="362"/>
    </row>
    <row r="146" spans="2:2" s="356" customFormat="1">
      <c r="B146" s="362"/>
    </row>
    <row r="147" spans="2:2" s="356" customFormat="1">
      <c r="B147" s="362"/>
    </row>
    <row r="148" spans="2:2" s="356" customFormat="1">
      <c r="B148" s="362"/>
    </row>
    <row r="149" spans="2:2" s="356" customFormat="1">
      <c r="B149" s="362"/>
    </row>
    <row r="150" spans="2:2" s="356" customFormat="1">
      <c r="B150" s="362"/>
    </row>
    <row r="151" spans="2:2" s="356" customFormat="1">
      <c r="B151" s="362"/>
    </row>
    <row r="152" spans="2:2" s="356" customFormat="1">
      <c r="B152" s="362"/>
    </row>
    <row r="153" spans="2:2" s="356" customFormat="1">
      <c r="B153" s="362"/>
    </row>
    <row r="154" spans="2:2" s="356" customFormat="1">
      <c r="B154" s="362"/>
    </row>
    <row r="155" spans="2:2" s="356" customFormat="1">
      <c r="B155" s="362"/>
    </row>
    <row r="156" spans="2:2" s="356" customFormat="1">
      <c r="B156" s="362"/>
    </row>
    <row r="157" spans="2:2" s="356" customFormat="1">
      <c r="B157" s="362"/>
    </row>
    <row r="158" spans="2:2" s="356" customFormat="1">
      <c r="B158" s="362"/>
    </row>
    <row r="159" spans="2:2" s="356" customFormat="1">
      <c r="B159" s="362"/>
    </row>
    <row r="160" spans="2:2" s="356" customFormat="1">
      <c r="B160" s="362"/>
    </row>
    <row r="161" spans="2:2" s="356" customFormat="1">
      <c r="B161" s="362"/>
    </row>
    <row r="162" spans="2:2" s="356" customFormat="1">
      <c r="B162" s="362"/>
    </row>
    <row r="163" spans="2:2" s="356" customFormat="1">
      <c r="B163" s="362"/>
    </row>
    <row r="164" spans="2:2" s="356" customFormat="1">
      <c r="B164" s="362"/>
    </row>
    <row r="165" spans="2:2" s="356" customFormat="1">
      <c r="B165" s="362"/>
    </row>
    <row r="166" spans="2:2" s="356" customFormat="1">
      <c r="B166" s="362"/>
    </row>
    <row r="167" spans="2:2" s="356" customFormat="1">
      <c r="B167" s="362"/>
    </row>
    <row r="168" spans="2:2" s="356" customFormat="1">
      <c r="B168" s="362"/>
    </row>
    <row r="169" spans="2:2" s="356" customFormat="1">
      <c r="B169" s="362"/>
    </row>
    <row r="170" spans="2:2" s="356" customFormat="1">
      <c r="B170" s="362"/>
    </row>
    <row r="171" spans="2:2" s="356" customFormat="1">
      <c r="B171" s="362"/>
    </row>
    <row r="172" spans="2:2" s="356" customFormat="1">
      <c r="B172" s="362"/>
    </row>
    <row r="173" spans="2:2" s="356" customFormat="1">
      <c r="B173" s="362"/>
    </row>
    <row r="174" spans="2:2" s="356" customFormat="1">
      <c r="B174" s="362"/>
    </row>
    <row r="175" spans="2:2" s="356" customFormat="1">
      <c r="B175" s="362"/>
    </row>
    <row r="176" spans="2:2" s="356" customFormat="1">
      <c r="B176" s="362"/>
    </row>
    <row r="177" spans="2:2" s="356" customFormat="1">
      <c r="B177" s="362"/>
    </row>
    <row r="178" spans="2:2" s="356" customFormat="1">
      <c r="B178" s="362"/>
    </row>
    <row r="179" spans="2:2" s="356" customFormat="1">
      <c r="B179" s="362"/>
    </row>
    <row r="180" spans="2:2" s="356" customFormat="1">
      <c r="B180" s="362"/>
    </row>
    <row r="181" spans="2:2" s="356" customFormat="1">
      <c r="B181" s="362"/>
    </row>
    <row r="182" spans="2:2" s="356" customFormat="1">
      <c r="B182" s="362"/>
    </row>
    <row r="183" spans="2:2" s="356" customFormat="1">
      <c r="B183" s="362"/>
    </row>
    <row r="184" spans="2:2" s="356" customFormat="1">
      <c r="B184" s="362"/>
    </row>
    <row r="185" spans="2:2" s="356" customFormat="1">
      <c r="B185" s="362"/>
    </row>
    <row r="186" spans="2:2" s="356" customFormat="1">
      <c r="B186" s="362"/>
    </row>
    <row r="187" spans="2:2" s="356" customFormat="1">
      <c r="B187" s="362"/>
    </row>
    <row r="188" spans="2:2" s="356" customFormat="1">
      <c r="B188" s="362"/>
    </row>
    <row r="189" spans="2:2" s="356" customFormat="1">
      <c r="B189" s="362"/>
    </row>
    <row r="190" spans="2:2" s="356" customFormat="1">
      <c r="B190" s="362"/>
    </row>
    <row r="191" spans="2:2" s="356" customFormat="1">
      <c r="B191" s="362"/>
    </row>
    <row r="192" spans="2:2" s="356" customFormat="1">
      <c r="B192" s="362"/>
    </row>
    <row r="193" spans="2:51" s="356" customFormat="1">
      <c r="B193" s="362"/>
    </row>
    <row r="194" spans="2:51" s="356" customFormat="1">
      <c r="B194" s="362"/>
    </row>
    <row r="195" spans="2:51" s="356" customFormat="1">
      <c r="B195" s="362"/>
    </row>
    <row r="196" spans="2:51" s="356" customFormat="1">
      <c r="B196" s="362"/>
    </row>
    <row r="197" spans="2:51" s="358" customFormat="1">
      <c r="B197" s="317"/>
      <c r="C197" s="316"/>
      <c r="D197" s="316"/>
      <c r="E197" s="316"/>
      <c r="F197" s="316"/>
      <c r="G197" s="316"/>
      <c r="H197" s="316"/>
      <c r="I197" s="316"/>
      <c r="Q197" s="356"/>
      <c r="R197" s="356"/>
      <c r="S197" s="356"/>
      <c r="T197" s="356"/>
      <c r="U197" s="356"/>
      <c r="V197" s="356"/>
      <c r="W197" s="356"/>
      <c r="X197" s="356"/>
      <c r="Y197" s="356"/>
      <c r="Z197" s="356"/>
      <c r="AA197" s="356"/>
      <c r="AB197" s="356"/>
      <c r="AC197" s="356"/>
      <c r="AD197" s="356"/>
      <c r="AE197" s="356"/>
      <c r="AF197" s="356"/>
      <c r="AG197" s="356"/>
      <c r="AH197" s="356"/>
      <c r="AI197" s="356"/>
      <c r="AJ197" s="356"/>
      <c r="AK197" s="356"/>
      <c r="AL197" s="356"/>
      <c r="AM197" s="356"/>
      <c r="AN197" s="356"/>
      <c r="AO197" s="356"/>
      <c r="AP197" s="356"/>
      <c r="AQ197" s="356"/>
      <c r="AR197" s="356"/>
      <c r="AS197" s="356"/>
      <c r="AT197" s="356"/>
      <c r="AU197" s="356"/>
      <c r="AV197" s="356"/>
      <c r="AW197" s="356"/>
      <c r="AX197" s="356"/>
      <c r="AY197" s="356"/>
    </row>
    <row r="198" spans="2:51" s="358" customFormat="1">
      <c r="B198" s="317"/>
      <c r="C198" s="316"/>
      <c r="D198" s="316"/>
      <c r="E198" s="316"/>
      <c r="F198" s="316"/>
      <c r="G198" s="316"/>
      <c r="H198" s="316"/>
      <c r="I198" s="316"/>
      <c r="Q198" s="356"/>
      <c r="R198" s="356"/>
      <c r="S198" s="356"/>
      <c r="T198" s="356"/>
      <c r="U198" s="356"/>
      <c r="V198" s="356"/>
      <c r="W198" s="356"/>
      <c r="X198" s="356"/>
      <c r="Y198" s="356"/>
      <c r="Z198" s="356"/>
      <c r="AA198" s="356"/>
      <c r="AB198" s="356"/>
      <c r="AC198" s="356"/>
      <c r="AD198" s="356"/>
      <c r="AE198" s="356"/>
      <c r="AF198" s="356"/>
      <c r="AG198" s="356"/>
      <c r="AH198" s="356"/>
      <c r="AI198" s="356"/>
      <c r="AJ198" s="356"/>
      <c r="AK198" s="356"/>
      <c r="AL198" s="356"/>
      <c r="AM198" s="356"/>
      <c r="AN198" s="356"/>
      <c r="AO198" s="356"/>
      <c r="AP198" s="356"/>
      <c r="AQ198" s="356"/>
      <c r="AR198" s="356"/>
      <c r="AS198" s="356"/>
      <c r="AT198" s="356"/>
      <c r="AU198" s="356"/>
      <c r="AV198" s="356"/>
      <c r="AW198" s="356"/>
      <c r="AX198" s="356"/>
      <c r="AY198" s="356"/>
    </row>
    <row r="199" spans="2:51" s="358" customFormat="1">
      <c r="B199" s="317"/>
      <c r="C199" s="316"/>
      <c r="D199" s="316"/>
      <c r="E199" s="316"/>
      <c r="F199" s="316"/>
      <c r="G199" s="316"/>
      <c r="H199" s="316"/>
      <c r="I199" s="316"/>
      <c r="Q199" s="356"/>
      <c r="R199" s="356"/>
      <c r="S199" s="356"/>
      <c r="T199" s="356"/>
      <c r="U199" s="356"/>
      <c r="V199" s="356"/>
      <c r="W199" s="356"/>
      <c r="X199" s="356"/>
      <c r="Y199" s="356"/>
      <c r="Z199" s="356"/>
      <c r="AA199" s="356"/>
      <c r="AB199" s="356"/>
      <c r="AC199" s="356"/>
      <c r="AD199" s="356"/>
      <c r="AE199" s="356"/>
      <c r="AF199" s="356"/>
      <c r="AG199" s="356"/>
      <c r="AH199" s="356"/>
      <c r="AI199" s="356"/>
      <c r="AJ199" s="356"/>
      <c r="AK199" s="356"/>
      <c r="AL199" s="356"/>
      <c r="AM199" s="356"/>
      <c r="AN199" s="356"/>
      <c r="AO199" s="356"/>
      <c r="AP199" s="356"/>
      <c r="AQ199" s="356"/>
      <c r="AR199" s="356"/>
      <c r="AS199" s="356"/>
      <c r="AT199" s="356"/>
      <c r="AU199" s="356"/>
      <c r="AV199" s="356"/>
      <c r="AW199" s="356"/>
      <c r="AX199" s="356"/>
      <c r="AY199" s="356"/>
    </row>
    <row r="200" spans="2:51" s="358" customFormat="1">
      <c r="B200" s="317"/>
      <c r="C200" s="316"/>
      <c r="D200" s="316"/>
      <c r="E200" s="316"/>
      <c r="F200" s="316"/>
      <c r="G200" s="316"/>
      <c r="H200" s="316"/>
      <c r="I200" s="316"/>
      <c r="Q200" s="356"/>
      <c r="R200" s="356"/>
      <c r="S200" s="356"/>
      <c r="T200" s="356"/>
      <c r="U200" s="356"/>
      <c r="V200" s="356"/>
      <c r="W200" s="356"/>
      <c r="X200" s="356"/>
      <c r="Y200" s="356"/>
      <c r="Z200" s="356"/>
      <c r="AA200" s="356"/>
      <c r="AB200" s="356"/>
      <c r="AC200" s="356"/>
      <c r="AD200" s="356"/>
      <c r="AE200" s="356"/>
      <c r="AF200" s="356"/>
      <c r="AG200" s="356"/>
      <c r="AH200" s="356"/>
      <c r="AI200" s="356"/>
      <c r="AJ200" s="356"/>
      <c r="AK200" s="356"/>
      <c r="AL200" s="356"/>
      <c r="AM200" s="356"/>
      <c r="AN200" s="356"/>
      <c r="AO200" s="356"/>
      <c r="AP200" s="356"/>
      <c r="AQ200" s="356"/>
      <c r="AR200" s="356"/>
      <c r="AS200" s="356"/>
      <c r="AT200" s="356"/>
      <c r="AU200" s="356"/>
      <c r="AV200" s="356"/>
      <c r="AW200" s="356"/>
      <c r="AX200" s="356"/>
      <c r="AY200" s="356"/>
    </row>
    <row r="201" spans="2:51" s="358" customFormat="1">
      <c r="B201" s="317"/>
      <c r="C201" s="316"/>
      <c r="D201" s="316"/>
      <c r="E201" s="316"/>
      <c r="F201" s="316"/>
      <c r="G201" s="316"/>
      <c r="H201" s="316"/>
      <c r="I201" s="316"/>
      <c r="Q201" s="356"/>
      <c r="R201" s="356"/>
      <c r="S201" s="356"/>
      <c r="T201" s="356"/>
      <c r="U201" s="356"/>
      <c r="V201" s="356"/>
      <c r="W201" s="356"/>
      <c r="X201" s="356"/>
      <c r="Y201" s="356"/>
      <c r="Z201" s="356"/>
      <c r="AA201" s="356"/>
      <c r="AB201" s="356"/>
      <c r="AC201" s="356"/>
      <c r="AD201" s="356"/>
      <c r="AE201" s="356"/>
      <c r="AF201" s="356"/>
      <c r="AG201" s="356"/>
      <c r="AH201" s="356"/>
      <c r="AI201" s="356"/>
      <c r="AJ201" s="356"/>
      <c r="AK201" s="356"/>
      <c r="AL201" s="356"/>
      <c r="AM201" s="356"/>
      <c r="AN201" s="356"/>
      <c r="AO201" s="356"/>
      <c r="AP201" s="356"/>
      <c r="AQ201" s="356"/>
      <c r="AR201" s="356"/>
      <c r="AS201" s="356"/>
      <c r="AT201" s="356"/>
      <c r="AU201" s="356"/>
      <c r="AV201" s="356"/>
      <c r="AW201" s="356"/>
      <c r="AX201" s="356"/>
      <c r="AY201" s="356"/>
    </row>
    <row r="202" spans="2:51" s="358" customFormat="1">
      <c r="B202" s="317"/>
      <c r="C202" s="316"/>
      <c r="D202" s="316"/>
      <c r="E202" s="316"/>
      <c r="F202" s="316"/>
      <c r="G202" s="316"/>
      <c r="H202" s="316"/>
      <c r="I202" s="316"/>
      <c r="Q202" s="356"/>
      <c r="R202" s="356"/>
      <c r="S202" s="356"/>
      <c r="T202" s="356"/>
      <c r="U202" s="356"/>
      <c r="V202" s="356"/>
      <c r="W202" s="356"/>
      <c r="X202" s="356"/>
      <c r="Y202" s="356"/>
      <c r="Z202" s="356"/>
      <c r="AA202" s="356"/>
      <c r="AB202" s="356"/>
      <c r="AC202" s="356"/>
      <c r="AD202" s="356"/>
      <c r="AE202" s="356"/>
      <c r="AF202" s="356"/>
      <c r="AG202" s="356"/>
      <c r="AH202" s="356"/>
      <c r="AI202" s="356"/>
      <c r="AJ202" s="356"/>
      <c r="AK202" s="356"/>
      <c r="AL202" s="356"/>
      <c r="AM202" s="356"/>
      <c r="AN202" s="356"/>
      <c r="AO202" s="356"/>
      <c r="AP202" s="356"/>
      <c r="AQ202" s="356"/>
      <c r="AR202" s="356"/>
      <c r="AS202" s="356"/>
      <c r="AT202" s="356"/>
      <c r="AU202" s="356"/>
      <c r="AV202" s="356"/>
      <c r="AW202" s="356"/>
      <c r="AX202" s="356"/>
      <c r="AY202" s="356"/>
    </row>
    <row r="203" spans="2:51" s="358" customFormat="1">
      <c r="B203" s="317"/>
      <c r="C203" s="316"/>
      <c r="D203" s="316"/>
      <c r="E203" s="316"/>
      <c r="F203" s="316"/>
      <c r="G203" s="316"/>
      <c r="H203" s="316"/>
      <c r="I203" s="316"/>
      <c r="Q203" s="356"/>
      <c r="R203" s="356"/>
      <c r="S203" s="356"/>
      <c r="T203" s="356"/>
      <c r="U203" s="356"/>
      <c r="V203" s="356"/>
      <c r="W203" s="356"/>
      <c r="X203" s="356"/>
      <c r="Y203" s="356"/>
      <c r="Z203" s="356"/>
      <c r="AA203" s="356"/>
      <c r="AB203" s="356"/>
      <c r="AC203" s="356"/>
      <c r="AD203" s="356"/>
      <c r="AE203" s="356"/>
      <c r="AF203" s="356"/>
      <c r="AG203" s="356"/>
      <c r="AH203" s="356"/>
      <c r="AI203" s="356"/>
      <c r="AJ203" s="356"/>
      <c r="AK203" s="356"/>
      <c r="AL203" s="356"/>
      <c r="AM203" s="356"/>
      <c r="AN203" s="356"/>
      <c r="AO203" s="356"/>
      <c r="AP203" s="356"/>
      <c r="AQ203" s="356"/>
      <c r="AR203" s="356"/>
      <c r="AS203" s="356"/>
      <c r="AT203" s="356"/>
      <c r="AU203" s="356"/>
      <c r="AV203" s="356"/>
      <c r="AW203" s="356"/>
      <c r="AX203" s="356"/>
      <c r="AY203" s="356"/>
    </row>
    <row r="204" spans="2:51" s="358" customFormat="1">
      <c r="B204" s="317"/>
      <c r="C204" s="316"/>
      <c r="D204" s="316"/>
      <c r="E204" s="316"/>
      <c r="F204" s="316"/>
      <c r="G204" s="316"/>
      <c r="H204" s="316"/>
      <c r="I204" s="316"/>
      <c r="Q204" s="356"/>
      <c r="R204" s="356"/>
      <c r="S204" s="356"/>
      <c r="T204" s="356"/>
      <c r="U204" s="356"/>
      <c r="V204" s="356"/>
      <c r="W204" s="356"/>
      <c r="X204" s="356"/>
      <c r="Y204" s="356"/>
      <c r="Z204" s="356"/>
      <c r="AA204" s="356"/>
      <c r="AB204" s="356"/>
      <c r="AC204" s="356"/>
      <c r="AD204" s="356"/>
      <c r="AE204" s="356"/>
      <c r="AF204" s="356"/>
      <c r="AG204" s="356"/>
      <c r="AH204" s="356"/>
      <c r="AI204" s="356"/>
      <c r="AJ204" s="356"/>
      <c r="AK204" s="356"/>
      <c r="AL204" s="356"/>
      <c r="AM204" s="356"/>
      <c r="AN204" s="356"/>
      <c r="AO204" s="356"/>
      <c r="AP204" s="356"/>
      <c r="AQ204" s="356"/>
      <c r="AR204" s="356"/>
      <c r="AS204" s="356"/>
      <c r="AT204" s="356"/>
      <c r="AU204" s="356"/>
      <c r="AV204" s="356"/>
      <c r="AW204" s="356"/>
      <c r="AX204" s="356"/>
      <c r="AY204" s="356"/>
    </row>
    <row r="205" spans="2:51" s="358" customFormat="1">
      <c r="B205" s="317"/>
      <c r="C205" s="316"/>
      <c r="D205" s="316"/>
      <c r="E205" s="316"/>
      <c r="F205" s="316"/>
      <c r="G205" s="316"/>
      <c r="H205" s="316"/>
      <c r="I205" s="316"/>
      <c r="Q205" s="356"/>
      <c r="R205" s="356"/>
      <c r="S205" s="356"/>
      <c r="T205" s="356"/>
      <c r="U205" s="356"/>
      <c r="V205" s="356"/>
      <c r="W205" s="356"/>
      <c r="X205" s="356"/>
      <c r="Y205" s="356"/>
      <c r="Z205" s="356"/>
      <c r="AA205" s="356"/>
      <c r="AB205" s="356"/>
      <c r="AC205" s="356"/>
      <c r="AD205" s="356"/>
      <c r="AE205" s="356"/>
      <c r="AF205" s="356"/>
      <c r="AG205" s="356"/>
      <c r="AH205" s="356"/>
      <c r="AI205" s="356"/>
      <c r="AJ205" s="356"/>
      <c r="AK205" s="356"/>
      <c r="AL205" s="356"/>
      <c r="AM205" s="356"/>
      <c r="AN205" s="356"/>
      <c r="AO205" s="356"/>
      <c r="AP205" s="356"/>
      <c r="AQ205" s="356"/>
      <c r="AR205" s="356"/>
      <c r="AS205" s="356"/>
      <c r="AT205" s="356"/>
      <c r="AU205" s="356"/>
      <c r="AV205" s="356"/>
      <c r="AW205" s="356"/>
      <c r="AX205" s="356"/>
      <c r="AY205" s="356"/>
    </row>
    <row r="206" spans="2:51" s="358" customFormat="1">
      <c r="B206" s="317"/>
      <c r="C206" s="316"/>
      <c r="D206" s="316"/>
      <c r="E206" s="316"/>
      <c r="F206" s="316"/>
      <c r="G206" s="316"/>
      <c r="H206" s="316"/>
      <c r="I206" s="316"/>
      <c r="Q206" s="356"/>
      <c r="R206" s="356"/>
      <c r="S206" s="356"/>
      <c r="T206" s="356"/>
      <c r="U206" s="356"/>
      <c r="V206" s="356"/>
      <c r="W206" s="356"/>
      <c r="X206" s="356"/>
      <c r="Y206" s="356"/>
      <c r="Z206" s="356"/>
      <c r="AA206" s="356"/>
      <c r="AB206" s="356"/>
      <c r="AC206" s="356"/>
      <c r="AD206" s="356"/>
      <c r="AE206" s="356"/>
      <c r="AF206" s="356"/>
      <c r="AG206" s="356"/>
      <c r="AH206" s="356"/>
      <c r="AI206" s="356"/>
      <c r="AJ206" s="356"/>
      <c r="AK206" s="356"/>
      <c r="AL206" s="356"/>
      <c r="AM206" s="356"/>
      <c r="AN206" s="356"/>
      <c r="AO206" s="356"/>
      <c r="AP206" s="356"/>
      <c r="AQ206" s="356"/>
      <c r="AR206" s="356"/>
      <c r="AS206" s="356"/>
      <c r="AT206" s="356"/>
      <c r="AU206" s="356"/>
      <c r="AV206" s="356"/>
      <c r="AW206" s="356"/>
      <c r="AX206" s="356"/>
      <c r="AY206" s="356"/>
    </row>
    <row r="207" spans="2:51" s="358" customFormat="1">
      <c r="B207" s="317"/>
      <c r="C207" s="316"/>
      <c r="D207" s="316"/>
      <c r="E207" s="316"/>
      <c r="F207" s="316"/>
      <c r="G207" s="316"/>
      <c r="H207" s="316"/>
      <c r="I207" s="316"/>
      <c r="Q207" s="356"/>
      <c r="R207" s="356"/>
      <c r="S207" s="356"/>
      <c r="T207" s="356"/>
      <c r="U207" s="356"/>
      <c r="V207" s="356"/>
      <c r="W207" s="356"/>
      <c r="X207" s="356"/>
      <c r="Y207" s="356"/>
      <c r="Z207" s="356"/>
      <c r="AA207" s="356"/>
      <c r="AB207" s="356"/>
      <c r="AC207" s="356"/>
      <c r="AD207" s="356"/>
      <c r="AE207" s="356"/>
      <c r="AF207" s="356"/>
      <c r="AG207" s="356"/>
      <c r="AH207" s="356"/>
      <c r="AI207" s="356"/>
      <c r="AJ207" s="356"/>
      <c r="AK207" s="356"/>
      <c r="AL207" s="356"/>
      <c r="AM207" s="356"/>
      <c r="AN207" s="356"/>
      <c r="AO207" s="356"/>
      <c r="AP207" s="356"/>
      <c r="AQ207" s="356"/>
      <c r="AR207" s="356"/>
      <c r="AS207" s="356"/>
      <c r="AT207" s="356"/>
      <c r="AU207" s="356"/>
      <c r="AV207" s="356"/>
      <c r="AW207" s="356"/>
      <c r="AX207" s="356"/>
      <c r="AY207" s="356"/>
    </row>
    <row r="208" spans="2:51" s="358" customFormat="1">
      <c r="B208" s="317"/>
      <c r="C208" s="316"/>
      <c r="D208" s="316"/>
      <c r="E208" s="316"/>
      <c r="F208" s="316"/>
      <c r="G208" s="316"/>
      <c r="H208" s="316"/>
      <c r="I208" s="316"/>
      <c r="Q208" s="356"/>
      <c r="R208" s="356"/>
      <c r="S208" s="356"/>
      <c r="T208" s="356"/>
      <c r="U208" s="356"/>
      <c r="V208" s="356"/>
      <c r="W208" s="356"/>
      <c r="X208" s="356"/>
      <c r="Y208" s="356"/>
      <c r="Z208" s="356"/>
      <c r="AA208" s="356"/>
      <c r="AB208" s="356"/>
      <c r="AC208" s="356"/>
      <c r="AD208" s="356"/>
      <c r="AE208" s="356"/>
      <c r="AF208" s="356"/>
      <c r="AG208" s="356"/>
      <c r="AH208" s="356"/>
      <c r="AI208" s="356"/>
      <c r="AJ208" s="356"/>
      <c r="AK208" s="356"/>
      <c r="AL208" s="356"/>
      <c r="AM208" s="356"/>
      <c r="AN208" s="356"/>
      <c r="AO208" s="356"/>
      <c r="AP208" s="356"/>
      <c r="AQ208" s="356"/>
      <c r="AR208" s="356"/>
      <c r="AS208" s="356"/>
      <c r="AT208" s="356"/>
      <c r="AU208" s="356"/>
      <c r="AV208" s="356"/>
      <c r="AW208" s="356"/>
      <c r="AX208" s="356"/>
      <c r="AY208" s="356"/>
    </row>
    <row r="209" spans="2:51" s="358" customFormat="1">
      <c r="B209" s="317"/>
      <c r="C209" s="316"/>
      <c r="D209" s="316"/>
      <c r="E209" s="316"/>
      <c r="F209" s="316"/>
      <c r="G209" s="316"/>
      <c r="H209" s="316"/>
      <c r="I209" s="316"/>
      <c r="Q209" s="356"/>
      <c r="R209" s="356"/>
      <c r="S209" s="356"/>
      <c r="T209" s="356"/>
      <c r="U209" s="356"/>
      <c r="V209" s="356"/>
      <c r="W209" s="356"/>
      <c r="X209" s="356"/>
      <c r="Y209" s="356"/>
      <c r="Z209" s="356"/>
      <c r="AA209" s="356"/>
      <c r="AB209" s="356"/>
      <c r="AC209" s="356"/>
      <c r="AD209" s="356"/>
      <c r="AE209" s="356"/>
      <c r="AF209" s="356"/>
      <c r="AG209" s="356"/>
      <c r="AH209" s="356"/>
      <c r="AI209" s="356"/>
      <c r="AJ209" s="356"/>
      <c r="AK209" s="356"/>
      <c r="AL209" s="356"/>
      <c r="AM209" s="356"/>
      <c r="AN209" s="356"/>
      <c r="AO209" s="356"/>
      <c r="AP209" s="356"/>
      <c r="AQ209" s="356"/>
      <c r="AR209" s="356"/>
      <c r="AS209" s="356"/>
      <c r="AT209" s="356"/>
      <c r="AU209" s="356"/>
      <c r="AV209" s="356"/>
      <c r="AW209" s="356"/>
      <c r="AX209" s="356"/>
      <c r="AY209" s="356"/>
    </row>
    <row r="210" spans="2:51" s="358" customFormat="1">
      <c r="B210" s="317"/>
      <c r="C210" s="316"/>
      <c r="D210" s="316"/>
      <c r="E210" s="316"/>
      <c r="F210" s="316"/>
      <c r="G210" s="316"/>
      <c r="H210" s="316"/>
      <c r="I210" s="316"/>
      <c r="Q210" s="356"/>
      <c r="R210" s="356"/>
      <c r="S210" s="356"/>
      <c r="T210" s="356"/>
      <c r="U210" s="356"/>
      <c r="V210" s="356"/>
      <c r="W210" s="356"/>
      <c r="X210" s="356"/>
      <c r="Y210" s="356"/>
      <c r="Z210" s="356"/>
      <c r="AA210" s="356"/>
      <c r="AB210" s="356"/>
      <c r="AC210" s="356"/>
      <c r="AD210" s="356"/>
      <c r="AE210" s="356"/>
      <c r="AF210" s="356"/>
      <c r="AG210" s="356"/>
      <c r="AH210" s="356"/>
      <c r="AI210" s="356"/>
      <c r="AJ210" s="356"/>
      <c r="AK210" s="356"/>
      <c r="AL210" s="356"/>
      <c r="AM210" s="356"/>
      <c r="AN210" s="356"/>
      <c r="AO210" s="356"/>
      <c r="AP210" s="356"/>
      <c r="AQ210" s="356"/>
      <c r="AR210" s="356"/>
      <c r="AS210" s="356"/>
      <c r="AT210" s="356"/>
      <c r="AU210" s="356"/>
      <c r="AV210" s="356"/>
      <c r="AW210" s="356"/>
      <c r="AX210" s="356"/>
      <c r="AY210" s="356"/>
    </row>
    <row r="211" spans="2:51" s="358" customFormat="1">
      <c r="B211" s="317"/>
      <c r="C211" s="316"/>
      <c r="D211" s="316"/>
      <c r="E211" s="316"/>
      <c r="F211" s="316"/>
      <c r="G211" s="316"/>
      <c r="H211" s="316"/>
      <c r="I211" s="316"/>
      <c r="Q211" s="356"/>
      <c r="R211" s="356"/>
      <c r="S211" s="356"/>
      <c r="T211" s="356"/>
      <c r="U211" s="356"/>
      <c r="V211" s="356"/>
      <c r="W211" s="356"/>
      <c r="X211" s="356"/>
      <c r="Y211" s="356"/>
      <c r="Z211" s="356"/>
      <c r="AA211" s="356"/>
      <c r="AB211" s="356"/>
      <c r="AC211" s="356"/>
      <c r="AD211" s="356"/>
      <c r="AE211" s="356"/>
      <c r="AF211" s="356"/>
      <c r="AG211" s="356"/>
      <c r="AH211" s="356"/>
      <c r="AI211" s="356"/>
      <c r="AJ211" s="356"/>
      <c r="AK211" s="356"/>
      <c r="AL211" s="356"/>
      <c r="AM211" s="356"/>
      <c r="AN211" s="356"/>
      <c r="AO211" s="356"/>
      <c r="AP211" s="356"/>
      <c r="AQ211" s="356"/>
      <c r="AR211" s="356"/>
      <c r="AS211" s="356"/>
      <c r="AT211" s="356"/>
      <c r="AU211" s="356"/>
      <c r="AV211" s="356"/>
      <c r="AW211" s="356"/>
      <c r="AX211" s="356"/>
      <c r="AY211" s="356"/>
    </row>
    <row r="212" spans="2:51" s="358" customFormat="1">
      <c r="B212" s="317"/>
      <c r="C212" s="316"/>
      <c r="D212" s="316"/>
      <c r="E212" s="316"/>
      <c r="F212" s="316"/>
      <c r="G212" s="316"/>
      <c r="H212" s="316"/>
      <c r="I212" s="316"/>
      <c r="Q212" s="356"/>
      <c r="R212" s="356"/>
      <c r="S212" s="356"/>
      <c r="T212" s="356"/>
      <c r="U212" s="356"/>
      <c r="V212" s="356"/>
      <c r="W212" s="356"/>
      <c r="X212" s="356"/>
      <c r="Y212" s="356"/>
      <c r="Z212" s="356"/>
      <c r="AA212" s="356"/>
      <c r="AB212" s="356"/>
      <c r="AC212" s="356"/>
      <c r="AD212" s="356"/>
      <c r="AE212" s="356"/>
      <c r="AF212" s="356"/>
      <c r="AG212" s="356"/>
      <c r="AH212" s="356"/>
      <c r="AI212" s="356"/>
      <c r="AJ212" s="356"/>
      <c r="AK212" s="356"/>
      <c r="AL212" s="356"/>
      <c r="AM212" s="356"/>
      <c r="AN212" s="356"/>
      <c r="AO212" s="356"/>
      <c r="AP212" s="356"/>
      <c r="AQ212" s="356"/>
      <c r="AR212" s="356"/>
      <c r="AS212" s="356"/>
      <c r="AT212" s="356"/>
      <c r="AU212" s="356"/>
      <c r="AV212" s="356"/>
      <c r="AW212" s="356"/>
      <c r="AX212" s="356"/>
      <c r="AY212" s="356"/>
    </row>
    <row r="213" spans="2:51" s="358" customFormat="1">
      <c r="B213" s="317"/>
      <c r="C213" s="316"/>
      <c r="D213" s="316"/>
      <c r="E213" s="316"/>
      <c r="F213" s="316"/>
      <c r="G213" s="316"/>
      <c r="H213" s="316"/>
      <c r="I213" s="316"/>
      <c r="Q213" s="356"/>
      <c r="R213" s="356"/>
      <c r="S213" s="356"/>
      <c r="T213" s="356"/>
      <c r="U213" s="356"/>
      <c r="V213" s="356"/>
      <c r="W213" s="356"/>
      <c r="X213" s="356"/>
      <c r="Y213" s="356"/>
      <c r="Z213" s="356"/>
      <c r="AA213" s="356"/>
      <c r="AB213" s="356"/>
      <c r="AC213" s="356"/>
      <c r="AD213" s="356"/>
      <c r="AE213" s="356"/>
      <c r="AF213" s="356"/>
      <c r="AG213" s="356"/>
      <c r="AH213" s="356"/>
      <c r="AI213" s="356"/>
      <c r="AJ213" s="356"/>
      <c r="AK213" s="356"/>
      <c r="AL213" s="356"/>
      <c r="AM213" s="356"/>
      <c r="AN213" s="356"/>
      <c r="AO213" s="356"/>
      <c r="AP213" s="356"/>
      <c r="AQ213" s="356"/>
      <c r="AR213" s="356"/>
      <c r="AS213" s="356"/>
      <c r="AT213" s="356"/>
      <c r="AU213" s="356"/>
      <c r="AV213" s="356"/>
      <c r="AW213" s="356"/>
      <c r="AX213" s="356"/>
      <c r="AY213" s="356"/>
    </row>
    <row r="214" spans="2:51" s="358" customFormat="1">
      <c r="B214" s="317"/>
      <c r="C214" s="316"/>
      <c r="D214" s="316"/>
      <c r="E214" s="316"/>
      <c r="F214" s="316"/>
      <c r="G214" s="316"/>
      <c r="H214" s="316"/>
      <c r="I214" s="316"/>
      <c r="Q214" s="356"/>
      <c r="R214" s="356"/>
      <c r="S214" s="356"/>
      <c r="T214" s="356"/>
      <c r="U214" s="356"/>
      <c r="V214" s="356"/>
      <c r="W214" s="356"/>
      <c r="X214" s="356"/>
      <c r="Y214" s="356"/>
      <c r="Z214" s="356"/>
      <c r="AA214" s="356"/>
      <c r="AB214" s="356"/>
      <c r="AC214" s="356"/>
      <c r="AD214" s="356"/>
      <c r="AE214" s="356"/>
      <c r="AF214" s="356"/>
      <c r="AG214" s="356"/>
      <c r="AH214" s="356"/>
      <c r="AI214" s="356"/>
      <c r="AJ214" s="356"/>
      <c r="AK214" s="356"/>
      <c r="AL214" s="356"/>
      <c r="AM214" s="356"/>
      <c r="AN214" s="356"/>
      <c r="AO214" s="356"/>
      <c r="AP214" s="356"/>
      <c r="AQ214" s="356"/>
      <c r="AR214" s="356"/>
      <c r="AS214" s="356"/>
      <c r="AT214" s="356"/>
      <c r="AU214" s="356"/>
      <c r="AV214" s="356"/>
      <c r="AW214" s="356"/>
      <c r="AX214" s="356"/>
      <c r="AY214" s="356"/>
    </row>
    <row r="215" spans="2:51" s="358" customFormat="1">
      <c r="B215" s="317"/>
      <c r="C215" s="316"/>
      <c r="D215" s="316"/>
      <c r="E215" s="316"/>
      <c r="F215" s="316"/>
      <c r="G215" s="316"/>
      <c r="H215" s="316"/>
      <c r="I215" s="316"/>
      <c r="Q215" s="356"/>
      <c r="R215" s="356"/>
      <c r="S215" s="356"/>
      <c r="T215" s="356"/>
      <c r="U215" s="356"/>
      <c r="V215" s="356"/>
      <c r="W215" s="356"/>
      <c r="X215" s="356"/>
      <c r="Y215" s="356"/>
      <c r="Z215" s="356"/>
      <c r="AA215" s="356"/>
      <c r="AB215" s="356"/>
      <c r="AC215" s="356"/>
      <c r="AD215" s="356"/>
      <c r="AE215" s="356"/>
      <c r="AF215" s="356"/>
      <c r="AG215" s="356"/>
      <c r="AH215" s="356"/>
      <c r="AI215" s="356"/>
      <c r="AJ215" s="356"/>
      <c r="AK215" s="356"/>
      <c r="AL215" s="356"/>
      <c r="AM215" s="356"/>
      <c r="AN215" s="356"/>
      <c r="AO215" s="356"/>
      <c r="AP215" s="356"/>
      <c r="AQ215" s="356"/>
      <c r="AR215" s="356"/>
      <c r="AS215" s="356"/>
      <c r="AT215" s="356"/>
      <c r="AU215" s="356"/>
      <c r="AV215" s="356"/>
      <c r="AW215" s="356"/>
      <c r="AX215" s="356"/>
      <c r="AY215" s="356"/>
    </row>
    <row r="216" spans="2:51" s="358" customFormat="1">
      <c r="B216" s="317"/>
      <c r="C216" s="316"/>
      <c r="D216" s="316"/>
      <c r="E216" s="316"/>
      <c r="F216" s="316"/>
      <c r="G216" s="316"/>
      <c r="H216" s="316"/>
      <c r="I216" s="316"/>
      <c r="Q216" s="356"/>
      <c r="R216" s="356"/>
      <c r="S216" s="356"/>
      <c r="T216" s="356"/>
      <c r="U216" s="356"/>
      <c r="V216" s="356"/>
      <c r="W216" s="356"/>
      <c r="X216" s="356"/>
      <c r="Y216" s="356"/>
      <c r="Z216" s="356"/>
      <c r="AA216" s="356"/>
      <c r="AB216" s="356"/>
      <c r="AC216" s="356"/>
      <c r="AD216" s="356"/>
      <c r="AE216" s="356"/>
      <c r="AF216" s="356"/>
      <c r="AG216" s="356"/>
      <c r="AH216" s="356"/>
      <c r="AI216" s="356"/>
      <c r="AJ216" s="356"/>
      <c r="AK216" s="356"/>
      <c r="AL216" s="356"/>
      <c r="AM216" s="356"/>
      <c r="AN216" s="356"/>
      <c r="AO216" s="356"/>
      <c r="AP216" s="356"/>
      <c r="AQ216" s="356"/>
      <c r="AR216" s="356"/>
      <c r="AS216" s="356"/>
      <c r="AT216" s="356"/>
      <c r="AU216" s="356"/>
      <c r="AV216" s="356"/>
      <c r="AW216" s="356"/>
      <c r="AX216" s="356"/>
      <c r="AY216" s="356"/>
    </row>
    <row r="217" spans="2:51" s="358" customFormat="1">
      <c r="B217" s="317"/>
      <c r="C217" s="316"/>
      <c r="D217" s="316"/>
      <c r="E217" s="316"/>
      <c r="F217" s="316"/>
      <c r="G217" s="316"/>
      <c r="H217" s="316"/>
      <c r="I217" s="316"/>
      <c r="Q217" s="356"/>
      <c r="R217" s="356"/>
      <c r="S217" s="356"/>
      <c r="T217" s="356"/>
      <c r="U217" s="356"/>
      <c r="V217" s="356"/>
      <c r="W217" s="356"/>
      <c r="X217" s="356"/>
      <c r="Y217" s="356"/>
      <c r="Z217" s="356"/>
      <c r="AA217" s="356"/>
      <c r="AB217" s="356"/>
      <c r="AC217" s="356"/>
      <c r="AD217" s="356"/>
      <c r="AE217" s="356"/>
      <c r="AF217" s="356"/>
      <c r="AG217" s="356"/>
      <c r="AH217" s="356"/>
      <c r="AI217" s="356"/>
      <c r="AJ217" s="356"/>
      <c r="AK217" s="356"/>
      <c r="AL217" s="356"/>
      <c r="AM217" s="356"/>
      <c r="AN217" s="356"/>
      <c r="AO217" s="356"/>
      <c r="AP217" s="356"/>
      <c r="AQ217" s="356"/>
      <c r="AR217" s="356"/>
      <c r="AS217" s="356"/>
      <c r="AT217" s="356"/>
      <c r="AU217" s="356"/>
      <c r="AV217" s="356"/>
      <c r="AW217" s="356"/>
      <c r="AX217" s="356"/>
      <c r="AY217" s="356"/>
    </row>
    <row r="218" spans="2:51" s="358" customFormat="1">
      <c r="B218" s="317"/>
      <c r="C218" s="316"/>
      <c r="D218" s="316"/>
      <c r="E218" s="316"/>
      <c r="F218" s="316"/>
      <c r="G218" s="316"/>
      <c r="H218" s="316"/>
      <c r="I218" s="316"/>
      <c r="Q218" s="356"/>
      <c r="R218" s="356"/>
      <c r="S218" s="356"/>
      <c r="T218" s="356"/>
      <c r="U218" s="356"/>
      <c r="V218" s="356"/>
      <c r="W218" s="356"/>
      <c r="X218" s="356"/>
      <c r="Y218" s="356"/>
      <c r="Z218" s="356"/>
      <c r="AA218" s="356"/>
      <c r="AB218" s="356"/>
      <c r="AC218" s="356"/>
      <c r="AD218" s="356"/>
      <c r="AE218" s="356"/>
      <c r="AF218" s="356"/>
      <c r="AG218" s="356"/>
      <c r="AH218" s="356"/>
      <c r="AI218" s="356"/>
      <c r="AJ218" s="356"/>
      <c r="AK218" s="356"/>
      <c r="AL218" s="356"/>
      <c r="AM218" s="356"/>
      <c r="AN218" s="356"/>
      <c r="AO218" s="356"/>
      <c r="AP218" s="356"/>
      <c r="AQ218" s="356"/>
      <c r="AR218" s="356"/>
      <c r="AS218" s="356"/>
      <c r="AT218" s="356"/>
      <c r="AU218" s="356"/>
      <c r="AV218" s="356"/>
      <c r="AW218" s="356"/>
      <c r="AX218" s="356"/>
      <c r="AY218" s="356"/>
    </row>
    <row r="219" spans="2:51" s="358" customFormat="1">
      <c r="B219" s="317"/>
      <c r="C219" s="316"/>
      <c r="D219" s="316"/>
      <c r="E219" s="316"/>
      <c r="F219" s="316"/>
      <c r="G219" s="316"/>
      <c r="H219" s="316"/>
      <c r="I219" s="316"/>
      <c r="Q219" s="356"/>
      <c r="R219" s="356"/>
      <c r="S219" s="356"/>
      <c r="T219" s="356"/>
      <c r="U219" s="356"/>
      <c r="V219" s="356"/>
      <c r="W219" s="356"/>
      <c r="X219" s="356"/>
      <c r="Y219" s="356"/>
      <c r="Z219" s="356"/>
      <c r="AA219" s="356"/>
      <c r="AB219" s="356"/>
      <c r="AC219" s="356"/>
      <c r="AD219" s="356"/>
      <c r="AE219" s="356"/>
      <c r="AF219" s="356"/>
      <c r="AG219" s="356"/>
      <c r="AH219" s="356"/>
      <c r="AI219" s="356"/>
      <c r="AJ219" s="356"/>
      <c r="AK219" s="356"/>
      <c r="AL219" s="356"/>
      <c r="AM219" s="356"/>
      <c r="AN219" s="356"/>
      <c r="AO219" s="356"/>
      <c r="AP219" s="356"/>
      <c r="AQ219" s="356"/>
      <c r="AR219" s="356"/>
      <c r="AS219" s="356"/>
      <c r="AT219" s="356"/>
      <c r="AU219" s="356"/>
      <c r="AV219" s="356"/>
      <c r="AW219" s="356"/>
      <c r="AX219" s="356"/>
      <c r="AY219" s="356"/>
    </row>
    <row r="220" spans="2:51" s="358" customFormat="1">
      <c r="B220" s="317"/>
      <c r="C220" s="316"/>
      <c r="D220" s="316"/>
      <c r="E220" s="316"/>
      <c r="F220" s="316"/>
      <c r="G220" s="316"/>
      <c r="H220" s="316"/>
      <c r="I220" s="316"/>
      <c r="Q220" s="356"/>
      <c r="R220" s="356"/>
      <c r="S220" s="356"/>
      <c r="T220" s="356"/>
      <c r="U220" s="356"/>
      <c r="V220" s="356"/>
      <c r="W220" s="356"/>
      <c r="X220" s="356"/>
      <c r="Y220" s="356"/>
      <c r="Z220" s="356"/>
      <c r="AA220" s="356"/>
      <c r="AB220" s="356"/>
      <c r="AC220" s="356"/>
      <c r="AD220" s="356"/>
      <c r="AE220" s="356"/>
      <c r="AF220" s="356"/>
      <c r="AG220" s="356"/>
      <c r="AH220" s="356"/>
      <c r="AI220" s="356"/>
      <c r="AJ220" s="356"/>
      <c r="AK220" s="356"/>
      <c r="AL220" s="356"/>
      <c r="AM220" s="356"/>
      <c r="AN220" s="356"/>
      <c r="AO220" s="356"/>
      <c r="AP220" s="356"/>
      <c r="AQ220" s="356"/>
      <c r="AR220" s="356"/>
      <c r="AS220" s="356"/>
      <c r="AT220" s="356"/>
      <c r="AU220" s="356"/>
      <c r="AV220" s="356"/>
      <c r="AW220" s="356"/>
      <c r="AX220" s="356"/>
      <c r="AY220" s="356"/>
    </row>
    <row r="221" spans="2:51" s="358" customFormat="1">
      <c r="B221" s="317"/>
      <c r="C221" s="316"/>
      <c r="D221" s="316"/>
      <c r="E221" s="316"/>
      <c r="F221" s="316"/>
      <c r="G221" s="316"/>
      <c r="H221" s="316"/>
      <c r="I221" s="316"/>
      <c r="Q221" s="356"/>
      <c r="R221" s="356"/>
      <c r="S221" s="356"/>
      <c r="T221" s="356"/>
      <c r="U221" s="356"/>
      <c r="V221" s="356"/>
      <c r="W221" s="356"/>
      <c r="X221" s="356"/>
      <c r="Y221" s="356"/>
      <c r="Z221" s="356"/>
      <c r="AA221" s="356"/>
      <c r="AB221" s="356"/>
      <c r="AC221" s="356"/>
      <c r="AD221" s="356"/>
      <c r="AE221" s="356"/>
      <c r="AF221" s="356"/>
      <c r="AG221" s="356"/>
      <c r="AH221" s="356"/>
      <c r="AI221" s="356"/>
      <c r="AJ221" s="356"/>
      <c r="AK221" s="356"/>
      <c r="AL221" s="356"/>
      <c r="AM221" s="356"/>
      <c r="AN221" s="356"/>
      <c r="AO221" s="356"/>
      <c r="AP221" s="356"/>
      <c r="AQ221" s="356"/>
      <c r="AR221" s="356"/>
      <c r="AS221" s="356"/>
      <c r="AT221" s="356"/>
      <c r="AU221" s="356"/>
      <c r="AV221" s="356"/>
      <c r="AW221" s="356"/>
      <c r="AX221" s="356"/>
      <c r="AY221" s="356"/>
    </row>
    <row r="222" spans="2:51" s="358" customFormat="1">
      <c r="B222" s="317"/>
      <c r="C222" s="316"/>
      <c r="D222" s="316"/>
      <c r="E222" s="316"/>
      <c r="F222" s="316"/>
      <c r="G222" s="316"/>
      <c r="H222" s="316"/>
      <c r="I222" s="316"/>
      <c r="Q222" s="356"/>
      <c r="R222" s="356"/>
      <c r="S222" s="356"/>
      <c r="T222" s="356"/>
      <c r="U222" s="356"/>
      <c r="V222" s="356"/>
      <c r="W222" s="356"/>
      <c r="X222" s="356"/>
      <c r="Y222" s="356"/>
      <c r="Z222" s="356"/>
      <c r="AA222" s="356"/>
      <c r="AB222" s="356"/>
      <c r="AC222" s="356"/>
      <c r="AD222" s="356"/>
      <c r="AE222" s="356"/>
      <c r="AF222" s="356"/>
      <c r="AG222" s="356"/>
      <c r="AH222" s="356"/>
      <c r="AI222" s="356"/>
      <c r="AJ222" s="356"/>
      <c r="AK222" s="356"/>
      <c r="AL222" s="356"/>
      <c r="AM222" s="356"/>
      <c r="AN222" s="356"/>
      <c r="AO222" s="356"/>
      <c r="AP222" s="356"/>
      <c r="AQ222" s="356"/>
      <c r="AR222" s="356"/>
      <c r="AS222" s="356"/>
      <c r="AT222" s="356"/>
      <c r="AU222" s="356"/>
      <c r="AV222" s="356"/>
      <c r="AW222" s="356"/>
      <c r="AX222" s="356"/>
      <c r="AY222" s="356"/>
    </row>
    <row r="223" spans="2:51" s="358" customFormat="1">
      <c r="B223" s="317"/>
      <c r="C223" s="316"/>
      <c r="D223" s="316"/>
      <c r="E223" s="316"/>
      <c r="F223" s="316"/>
      <c r="G223" s="316"/>
      <c r="H223" s="316"/>
      <c r="I223" s="316"/>
      <c r="Q223" s="356"/>
      <c r="R223" s="356"/>
      <c r="S223" s="356"/>
      <c r="T223" s="356"/>
      <c r="U223" s="356"/>
      <c r="V223" s="356"/>
      <c r="W223" s="356"/>
      <c r="X223" s="356"/>
      <c r="Y223" s="356"/>
      <c r="Z223" s="356"/>
      <c r="AA223" s="356"/>
      <c r="AB223" s="356"/>
      <c r="AC223" s="356"/>
      <c r="AD223" s="356"/>
      <c r="AE223" s="356"/>
      <c r="AF223" s="356"/>
      <c r="AG223" s="356"/>
      <c r="AH223" s="356"/>
      <c r="AI223" s="356"/>
      <c r="AJ223" s="356"/>
      <c r="AK223" s="356"/>
      <c r="AL223" s="356"/>
      <c r="AM223" s="356"/>
      <c r="AN223" s="356"/>
      <c r="AO223" s="356"/>
      <c r="AP223" s="356"/>
      <c r="AQ223" s="356"/>
      <c r="AR223" s="356"/>
      <c r="AS223" s="356"/>
      <c r="AT223" s="356"/>
      <c r="AU223" s="356"/>
      <c r="AV223" s="356"/>
      <c r="AW223" s="356"/>
      <c r="AX223" s="356"/>
      <c r="AY223" s="356"/>
    </row>
    <row r="224" spans="2:51" s="358" customFormat="1">
      <c r="B224" s="317"/>
      <c r="C224" s="316"/>
      <c r="D224" s="316"/>
      <c r="E224" s="316"/>
      <c r="F224" s="316"/>
      <c r="G224" s="316"/>
      <c r="H224" s="316"/>
      <c r="I224" s="316"/>
      <c r="Q224" s="356"/>
      <c r="R224" s="356"/>
      <c r="S224" s="356"/>
      <c r="T224" s="356"/>
      <c r="U224" s="356"/>
      <c r="V224" s="356"/>
      <c r="W224" s="356"/>
      <c r="X224" s="356"/>
      <c r="Y224" s="356"/>
      <c r="Z224" s="356"/>
      <c r="AA224" s="356"/>
      <c r="AB224" s="356"/>
      <c r="AC224" s="356"/>
      <c r="AD224" s="356"/>
      <c r="AE224" s="356"/>
      <c r="AF224" s="356"/>
      <c r="AG224" s="356"/>
      <c r="AH224" s="356"/>
      <c r="AI224" s="356"/>
      <c r="AJ224" s="356"/>
      <c r="AK224" s="356"/>
      <c r="AL224" s="356"/>
      <c r="AM224" s="356"/>
      <c r="AN224" s="356"/>
      <c r="AO224" s="356"/>
      <c r="AP224" s="356"/>
      <c r="AQ224" s="356"/>
      <c r="AR224" s="356"/>
      <c r="AS224" s="356"/>
      <c r="AT224" s="356"/>
      <c r="AU224" s="356"/>
      <c r="AV224" s="356"/>
      <c r="AW224" s="356"/>
      <c r="AX224" s="356"/>
      <c r="AY224" s="356"/>
    </row>
    <row r="225" spans="2:51" s="358" customFormat="1">
      <c r="B225" s="317"/>
      <c r="C225" s="316"/>
      <c r="D225" s="316"/>
      <c r="E225" s="316"/>
      <c r="F225" s="316"/>
      <c r="G225" s="316"/>
      <c r="H225" s="316"/>
      <c r="I225" s="316"/>
      <c r="Q225" s="356"/>
      <c r="R225" s="356"/>
      <c r="S225" s="356"/>
      <c r="T225" s="356"/>
      <c r="U225" s="356"/>
      <c r="V225" s="356"/>
      <c r="W225" s="356"/>
      <c r="X225" s="356"/>
      <c r="Y225" s="356"/>
      <c r="Z225" s="356"/>
      <c r="AA225" s="356"/>
      <c r="AB225" s="356"/>
      <c r="AC225" s="356"/>
      <c r="AD225" s="356"/>
      <c r="AE225" s="356"/>
      <c r="AF225" s="356"/>
      <c r="AG225" s="356"/>
      <c r="AH225" s="356"/>
      <c r="AI225" s="356"/>
      <c r="AJ225" s="356"/>
      <c r="AK225" s="356"/>
      <c r="AL225" s="356"/>
      <c r="AM225" s="356"/>
      <c r="AN225" s="356"/>
      <c r="AO225" s="356"/>
      <c r="AP225" s="356"/>
      <c r="AQ225" s="356"/>
      <c r="AR225" s="356"/>
      <c r="AS225" s="356"/>
      <c r="AT225" s="356"/>
      <c r="AU225" s="356"/>
      <c r="AV225" s="356"/>
      <c r="AW225" s="356"/>
      <c r="AX225" s="356"/>
      <c r="AY225" s="356"/>
    </row>
    <row r="226" spans="2:51" s="358" customFormat="1">
      <c r="B226" s="317"/>
      <c r="C226" s="316"/>
      <c r="D226" s="316"/>
      <c r="E226" s="316"/>
      <c r="F226" s="316"/>
      <c r="G226" s="316"/>
      <c r="H226" s="316"/>
      <c r="I226" s="316"/>
      <c r="Q226" s="356"/>
      <c r="R226" s="356"/>
      <c r="S226" s="356"/>
      <c r="T226" s="356"/>
      <c r="U226" s="356"/>
      <c r="V226" s="356"/>
      <c r="W226" s="356"/>
      <c r="X226" s="356"/>
      <c r="Y226" s="356"/>
      <c r="Z226" s="356"/>
      <c r="AA226" s="356"/>
      <c r="AB226" s="356"/>
      <c r="AC226" s="356"/>
      <c r="AD226" s="356"/>
      <c r="AE226" s="356"/>
      <c r="AF226" s="356"/>
      <c r="AG226" s="356"/>
      <c r="AH226" s="356"/>
      <c r="AI226" s="356"/>
      <c r="AJ226" s="356"/>
      <c r="AK226" s="356"/>
      <c r="AL226" s="356"/>
      <c r="AM226" s="356"/>
      <c r="AN226" s="356"/>
      <c r="AO226" s="356"/>
      <c r="AP226" s="356"/>
      <c r="AQ226" s="356"/>
      <c r="AR226" s="356"/>
      <c r="AS226" s="356"/>
      <c r="AT226" s="356"/>
      <c r="AU226" s="356"/>
      <c r="AV226" s="356"/>
      <c r="AW226" s="356"/>
      <c r="AX226" s="356"/>
      <c r="AY226" s="356"/>
    </row>
    <row r="227" spans="2:51" s="358" customFormat="1">
      <c r="B227" s="317"/>
      <c r="C227" s="316"/>
      <c r="D227" s="316"/>
      <c r="E227" s="316"/>
      <c r="F227" s="316"/>
      <c r="G227" s="316"/>
      <c r="H227" s="316"/>
      <c r="I227" s="316"/>
      <c r="Q227" s="356"/>
      <c r="R227" s="356"/>
      <c r="S227" s="356"/>
      <c r="T227" s="356"/>
      <c r="U227" s="356"/>
      <c r="V227" s="356"/>
      <c r="W227" s="356"/>
      <c r="X227" s="356"/>
      <c r="Y227" s="356"/>
      <c r="Z227" s="356"/>
      <c r="AA227" s="356"/>
      <c r="AB227" s="356"/>
      <c r="AC227" s="356"/>
      <c r="AD227" s="356"/>
      <c r="AE227" s="356"/>
      <c r="AF227" s="356"/>
      <c r="AG227" s="356"/>
      <c r="AH227" s="356"/>
      <c r="AI227" s="356"/>
      <c r="AJ227" s="356"/>
      <c r="AK227" s="356"/>
      <c r="AL227" s="356"/>
      <c r="AM227" s="356"/>
      <c r="AN227" s="356"/>
      <c r="AO227" s="356"/>
      <c r="AP227" s="356"/>
      <c r="AQ227" s="356"/>
      <c r="AR227" s="356"/>
      <c r="AS227" s="356"/>
      <c r="AT227" s="356"/>
      <c r="AU227" s="356"/>
      <c r="AV227" s="356"/>
      <c r="AW227" s="356"/>
      <c r="AX227" s="356"/>
      <c r="AY227" s="356"/>
    </row>
    <row r="228" spans="2:51" s="358" customFormat="1">
      <c r="B228" s="317"/>
      <c r="C228" s="316"/>
      <c r="D228" s="316"/>
      <c r="E228" s="316"/>
      <c r="F228" s="316"/>
      <c r="G228" s="316"/>
      <c r="H228" s="316"/>
      <c r="I228" s="316"/>
      <c r="Q228" s="356"/>
      <c r="R228" s="356"/>
      <c r="S228" s="356"/>
      <c r="T228" s="356"/>
      <c r="U228" s="356"/>
      <c r="V228" s="356"/>
      <c r="W228" s="356"/>
      <c r="X228" s="356"/>
      <c r="Y228" s="356"/>
      <c r="Z228" s="356"/>
      <c r="AA228" s="356"/>
      <c r="AB228" s="356"/>
      <c r="AC228" s="356"/>
      <c r="AD228" s="356"/>
      <c r="AE228" s="356"/>
      <c r="AF228" s="356"/>
      <c r="AG228" s="356"/>
      <c r="AH228" s="356"/>
      <c r="AI228" s="356"/>
      <c r="AJ228" s="356"/>
      <c r="AK228" s="356"/>
      <c r="AL228" s="356"/>
      <c r="AM228" s="356"/>
      <c r="AN228" s="356"/>
      <c r="AO228" s="356"/>
      <c r="AP228" s="356"/>
      <c r="AQ228" s="356"/>
      <c r="AR228" s="356"/>
      <c r="AS228" s="356"/>
      <c r="AT228" s="356"/>
      <c r="AU228" s="356"/>
      <c r="AV228" s="356"/>
      <c r="AW228" s="356"/>
      <c r="AX228" s="356"/>
      <c r="AY228" s="356"/>
    </row>
    <row r="229" spans="2:51" s="358" customFormat="1">
      <c r="B229" s="317"/>
      <c r="C229" s="316"/>
      <c r="D229" s="316"/>
      <c r="E229" s="316"/>
      <c r="F229" s="316"/>
      <c r="G229" s="316"/>
      <c r="H229" s="316"/>
      <c r="I229" s="316"/>
      <c r="Q229" s="356"/>
      <c r="R229" s="356"/>
      <c r="S229" s="356"/>
      <c r="T229" s="356"/>
      <c r="U229" s="356"/>
      <c r="V229" s="356"/>
      <c r="W229" s="356"/>
      <c r="X229" s="356"/>
      <c r="Y229" s="356"/>
      <c r="Z229" s="356"/>
      <c r="AA229" s="356"/>
      <c r="AB229" s="356"/>
      <c r="AC229" s="356"/>
      <c r="AD229" s="356"/>
      <c r="AE229" s="356"/>
      <c r="AF229" s="356"/>
      <c r="AG229" s="356"/>
      <c r="AH229" s="356"/>
      <c r="AI229" s="356"/>
      <c r="AJ229" s="356"/>
      <c r="AK229" s="356"/>
      <c r="AL229" s="356"/>
      <c r="AM229" s="356"/>
      <c r="AN229" s="356"/>
      <c r="AO229" s="356"/>
      <c r="AP229" s="356"/>
      <c r="AQ229" s="356"/>
      <c r="AR229" s="356"/>
      <c r="AS229" s="356"/>
      <c r="AT229" s="356"/>
      <c r="AU229" s="356"/>
      <c r="AV229" s="356"/>
      <c r="AW229" s="356"/>
      <c r="AX229" s="356"/>
      <c r="AY229" s="356"/>
    </row>
    <row r="230" spans="2:51" s="358" customFormat="1">
      <c r="B230" s="317"/>
      <c r="C230" s="316"/>
      <c r="D230" s="316"/>
      <c r="E230" s="316"/>
      <c r="F230" s="316"/>
      <c r="G230" s="316"/>
      <c r="H230" s="316"/>
      <c r="I230" s="316"/>
      <c r="Q230" s="356"/>
      <c r="R230" s="356"/>
      <c r="S230" s="356"/>
      <c r="T230" s="356"/>
      <c r="U230" s="356"/>
      <c r="V230" s="356"/>
      <c r="W230" s="356"/>
      <c r="X230" s="356"/>
      <c r="Y230" s="356"/>
      <c r="Z230" s="356"/>
      <c r="AA230" s="356"/>
      <c r="AB230" s="356"/>
      <c r="AC230" s="356"/>
      <c r="AD230" s="356"/>
      <c r="AE230" s="356"/>
      <c r="AF230" s="356"/>
      <c r="AG230" s="356"/>
      <c r="AH230" s="356"/>
      <c r="AI230" s="356"/>
      <c r="AJ230" s="356"/>
      <c r="AK230" s="356"/>
      <c r="AL230" s="356"/>
      <c r="AM230" s="356"/>
      <c r="AN230" s="356"/>
      <c r="AO230" s="356"/>
      <c r="AP230" s="356"/>
      <c r="AQ230" s="356"/>
      <c r="AR230" s="356"/>
      <c r="AS230" s="356"/>
      <c r="AT230" s="356"/>
      <c r="AU230" s="356"/>
      <c r="AV230" s="356"/>
      <c r="AW230" s="356"/>
      <c r="AX230" s="356"/>
      <c r="AY230" s="356"/>
    </row>
    <row r="231" spans="2:51" s="358" customFormat="1">
      <c r="B231" s="317"/>
      <c r="C231" s="316"/>
      <c r="D231" s="316"/>
      <c r="E231" s="316"/>
      <c r="F231" s="316"/>
      <c r="G231" s="316"/>
      <c r="H231" s="316"/>
      <c r="I231" s="316"/>
      <c r="Q231" s="356"/>
      <c r="R231" s="356"/>
      <c r="S231" s="356"/>
      <c r="T231" s="356"/>
      <c r="U231" s="356"/>
      <c r="V231" s="356"/>
      <c r="W231" s="356"/>
      <c r="X231" s="356"/>
      <c r="Y231" s="356"/>
      <c r="Z231" s="356"/>
      <c r="AA231" s="356"/>
      <c r="AB231" s="356"/>
      <c r="AC231" s="356"/>
      <c r="AD231" s="356"/>
      <c r="AE231" s="356"/>
      <c r="AF231" s="356"/>
      <c r="AG231" s="356"/>
      <c r="AH231" s="356"/>
      <c r="AI231" s="356"/>
      <c r="AJ231" s="356"/>
      <c r="AK231" s="356"/>
      <c r="AL231" s="356"/>
      <c r="AM231" s="356"/>
      <c r="AN231" s="356"/>
      <c r="AO231" s="356"/>
      <c r="AP231" s="356"/>
      <c r="AQ231" s="356"/>
      <c r="AR231" s="356"/>
      <c r="AS231" s="356"/>
      <c r="AT231" s="356"/>
      <c r="AU231" s="356"/>
      <c r="AV231" s="356"/>
      <c r="AW231" s="356"/>
      <c r="AX231" s="356"/>
      <c r="AY231" s="356"/>
    </row>
    <row r="232" spans="2:51" s="358" customFormat="1">
      <c r="B232" s="317"/>
      <c r="C232" s="316"/>
      <c r="D232" s="316"/>
      <c r="E232" s="316"/>
      <c r="F232" s="316"/>
      <c r="G232" s="316"/>
      <c r="H232" s="316"/>
      <c r="I232" s="316"/>
      <c r="Q232" s="356"/>
      <c r="R232" s="356"/>
      <c r="S232" s="356"/>
      <c r="T232" s="356"/>
      <c r="U232" s="356"/>
      <c r="V232" s="356"/>
      <c r="W232" s="356"/>
      <c r="X232" s="356"/>
      <c r="Y232" s="356"/>
      <c r="Z232" s="356"/>
      <c r="AA232" s="356"/>
      <c r="AB232" s="356"/>
      <c r="AC232" s="356"/>
      <c r="AD232" s="356"/>
      <c r="AE232" s="356"/>
      <c r="AF232" s="356"/>
      <c r="AG232" s="356"/>
      <c r="AH232" s="356"/>
      <c r="AI232" s="356"/>
      <c r="AJ232" s="356"/>
      <c r="AK232" s="356"/>
      <c r="AL232" s="356"/>
      <c r="AM232" s="356"/>
      <c r="AN232" s="356"/>
      <c r="AO232" s="356"/>
      <c r="AP232" s="356"/>
      <c r="AQ232" s="356"/>
      <c r="AR232" s="356"/>
      <c r="AS232" s="356"/>
      <c r="AT232" s="356"/>
      <c r="AU232" s="356"/>
      <c r="AV232" s="356"/>
      <c r="AW232" s="356"/>
      <c r="AX232" s="356"/>
      <c r="AY232" s="356"/>
    </row>
    <row r="233" spans="2:51" s="358" customFormat="1">
      <c r="B233" s="317"/>
      <c r="C233" s="316"/>
      <c r="D233" s="316"/>
      <c r="E233" s="316"/>
      <c r="F233" s="316"/>
      <c r="G233" s="316"/>
      <c r="H233" s="316"/>
      <c r="I233" s="316"/>
      <c r="Q233" s="356"/>
      <c r="R233" s="356"/>
      <c r="S233" s="356"/>
      <c r="T233" s="356"/>
      <c r="U233" s="356"/>
      <c r="V233" s="356"/>
      <c r="W233" s="356"/>
      <c r="X233" s="356"/>
      <c r="Y233" s="356"/>
      <c r="Z233" s="356"/>
      <c r="AA233" s="356"/>
      <c r="AB233" s="356"/>
      <c r="AC233" s="356"/>
      <c r="AD233" s="356"/>
      <c r="AE233" s="356"/>
      <c r="AF233" s="356"/>
      <c r="AG233" s="356"/>
      <c r="AH233" s="356"/>
      <c r="AI233" s="356"/>
      <c r="AJ233" s="356"/>
      <c r="AK233" s="356"/>
      <c r="AL233" s="356"/>
      <c r="AM233" s="356"/>
      <c r="AN233" s="356"/>
      <c r="AO233" s="356"/>
      <c r="AP233" s="356"/>
      <c r="AQ233" s="356"/>
      <c r="AR233" s="356"/>
      <c r="AS233" s="356"/>
      <c r="AT233" s="356"/>
      <c r="AU233" s="356"/>
      <c r="AV233" s="356"/>
      <c r="AW233" s="356"/>
      <c r="AX233" s="356"/>
      <c r="AY233" s="356"/>
    </row>
    <row r="234" spans="2:51" s="358" customFormat="1">
      <c r="B234" s="317"/>
      <c r="C234" s="316"/>
      <c r="D234" s="316"/>
      <c r="E234" s="316"/>
      <c r="F234" s="316"/>
      <c r="G234" s="316"/>
      <c r="H234" s="316"/>
      <c r="I234" s="316"/>
      <c r="Q234" s="356"/>
      <c r="R234" s="356"/>
      <c r="S234" s="356"/>
      <c r="T234" s="356"/>
      <c r="U234" s="356"/>
      <c r="V234" s="356"/>
      <c r="W234" s="356"/>
      <c r="X234" s="356"/>
      <c r="Y234" s="356"/>
      <c r="Z234" s="356"/>
      <c r="AA234" s="356"/>
      <c r="AB234" s="356"/>
      <c r="AC234" s="356"/>
      <c r="AD234" s="356"/>
      <c r="AE234" s="356"/>
      <c r="AF234" s="356"/>
      <c r="AG234" s="356"/>
      <c r="AH234" s="356"/>
      <c r="AI234" s="356"/>
      <c r="AJ234" s="356"/>
      <c r="AK234" s="356"/>
      <c r="AL234" s="356"/>
      <c r="AM234" s="356"/>
      <c r="AN234" s="356"/>
      <c r="AO234" s="356"/>
      <c r="AP234" s="356"/>
      <c r="AQ234" s="356"/>
      <c r="AR234" s="356"/>
      <c r="AS234" s="356"/>
      <c r="AT234" s="356"/>
      <c r="AU234" s="356"/>
      <c r="AV234" s="356"/>
      <c r="AW234" s="356"/>
      <c r="AX234" s="356"/>
      <c r="AY234" s="356"/>
    </row>
    <row r="235" spans="2:51" s="358" customFormat="1">
      <c r="B235" s="317"/>
      <c r="C235" s="316"/>
      <c r="D235" s="316"/>
      <c r="E235" s="316"/>
      <c r="F235" s="316"/>
      <c r="G235" s="316"/>
      <c r="H235" s="316"/>
      <c r="I235" s="316"/>
      <c r="Q235" s="356"/>
      <c r="R235" s="356"/>
      <c r="S235" s="356"/>
      <c r="T235" s="356"/>
      <c r="U235" s="356"/>
      <c r="V235" s="356"/>
      <c r="W235" s="356"/>
      <c r="X235" s="356"/>
      <c r="Y235" s="356"/>
      <c r="Z235" s="356"/>
      <c r="AA235" s="356"/>
      <c r="AB235" s="356"/>
      <c r="AC235" s="356"/>
      <c r="AD235" s="356"/>
      <c r="AE235" s="356"/>
      <c r="AF235" s="356"/>
      <c r="AG235" s="356"/>
      <c r="AH235" s="356"/>
      <c r="AI235" s="356"/>
      <c r="AJ235" s="356"/>
      <c r="AK235" s="356"/>
      <c r="AL235" s="356"/>
      <c r="AM235" s="356"/>
      <c r="AN235" s="356"/>
      <c r="AO235" s="356"/>
      <c r="AP235" s="356"/>
      <c r="AQ235" s="356"/>
      <c r="AR235" s="356"/>
      <c r="AS235" s="356"/>
      <c r="AT235" s="356"/>
      <c r="AU235" s="356"/>
      <c r="AV235" s="356"/>
      <c r="AW235" s="356"/>
      <c r="AX235" s="356"/>
      <c r="AY235" s="356"/>
    </row>
    <row r="236" spans="2:51" s="358" customFormat="1">
      <c r="B236" s="317"/>
      <c r="C236" s="316"/>
      <c r="D236" s="316"/>
      <c r="E236" s="316"/>
      <c r="F236" s="316"/>
      <c r="G236" s="316"/>
      <c r="H236" s="316"/>
      <c r="I236" s="316"/>
      <c r="Q236" s="356"/>
      <c r="R236" s="356"/>
      <c r="S236" s="356"/>
      <c r="T236" s="356"/>
      <c r="U236" s="356"/>
      <c r="V236" s="356"/>
      <c r="W236" s="356"/>
      <c r="X236" s="356"/>
      <c r="Y236" s="356"/>
      <c r="Z236" s="356"/>
      <c r="AA236" s="356"/>
      <c r="AB236" s="356"/>
      <c r="AC236" s="356"/>
      <c r="AD236" s="356"/>
      <c r="AE236" s="356"/>
      <c r="AF236" s="356"/>
      <c r="AG236" s="356"/>
      <c r="AH236" s="356"/>
      <c r="AI236" s="356"/>
      <c r="AJ236" s="356"/>
      <c r="AK236" s="356"/>
      <c r="AL236" s="356"/>
      <c r="AM236" s="356"/>
      <c r="AN236" s="356"/>
      <c r="AO236" s="356"/>
      <c r="AP236" s="356"/>
      <c r="AQ236" s="356"/>
      <c r="AR236" s="356"/>
      <c r="AS236" s="356"/>
      <c r="AT236" s="356"/>
      <c r="AU236" s="356"/>
      <c r="AV236" s="356"/>
      <c r="AW236" s="356"/>
      <c r="AX236" s="356"/>
      <c r="AY236" s="356"/>
    </row>
    <row r="237" spans="2:51" s="358" customFormat="1">
      <c r="B237" s="317"/>
      <c r="C237" s="316"/>
      <c r="D237" s="316"/>
      <c r="E237" s="316"/>
      <c r="F237" s="316"/>
      <c r="G237" s="316"/>
      <c r="H237" s="316"/>
      <c r="I237" s="316"/>
      <c r="Q237" s="356"/>
      <c r="R237" s="356"/>
      <c r="S237" s="356"/>
      <c r="T237" s="356"/>
      <c r="U237" s="356"/>
      <c r="V237" s="356"/>
      <c r="W237" s="356"/>
      <c r="X237" s="356"/>
      <c r="Y237" s="356"/>
      <c r="Z237" s="356"/>
      <c r="AA237" s="356"/>
      <c r="AB237" s="356"/>
      <c r="AC237" s="356"/>
      <c r="AD237" s="356"/>
      <c r="AE237" s="356"/>
      <c r="AF237" s="356"/>
      <c r="AG237" s="356"/>
      <c r="AH237" s="356"/>
      <c r="AI237" s="356"/>
      <c r="AJ237" s="356"/>
      <c r="AK237" s="356"/>
      <c r="AL237" s="356"/>
      <c r="AM237" s="356"/>
      <c r="AN237" s="356"/>
      <c r="AO237" s="356"/>
      <c r="AP237" s="356"/>
      <c r="AQ237" s="356"/>
      <c r="AR237" s="356"/>
      <c r="AS237" s="356"/>
      <c r="AT237" s="356"/>
      <c r="AU237" s="356"/>
      <c r="AV237" s="356"/>
      <c r="AW237" s="356"/>
      <c r="AX237" s="356"/>
      <c r="AY237" s="356"/>
    </row>
    <row r="238" spans="2:51" s="358" customFormat="1">
      <c r="B238" s="317"/>
      <c r="C238" s="316"/>
      <c r="D238" s="316"/>
      <c r="E238" s="316"/>
      <c r="F238" s="316"/>
      <c r="G238" s="316"/>
      <c r="H238" s="316"/>
      <c r="I238" s="316"/>
      <c r="Q238" s="356"/>
      <c r="R238" s="356"/>
      <c r="S238" s="356"/>
      <c r="T238" s="356"/>
      <c r="U238" s="356"/>
      <c r="V238" s="356"/>
      <c r="W238" s="356"/>
      <c r="X238" s="356"/>
      <c r="Y238" s="356"/>
      <c r="Z238" s="356"/>
      <c r="AA238" s="356"/>
      <c r="AB238" s="356"/>
      <c r="AC238" s="356"/>
      <c r="AD238" s="356"/>
      <c r="AE238" s="356"/>
      <c r="AF238" s="356"/>
      <c r="AG238" s="356"/>
      <c r="AH238" s="356"/>
      <c r="AI238" s="356"/>
      <c r="AJ238" s="356"/>
      <c r="AK238" s="356"/>
      <c r="AL238" s="356"/>
      <c r="AM238" s="356"/>
      <c r="AN238" s="356"/>
      <c r="AO238" s="356"/>
      <c r="AP238" s="356"/>
      <c r="AQ238" s="356"/>
      <c r="AR238" s="356"/>
      <c r="AS238" s="356"/>
      <c r="AT238" s="356"/>
      <c r="AU238" s="356"/>
      <c r="AV238" s="356"/>
      <c r="AW238" s="356"/>
      <c r="AX238" s="356"/>
      <c r="AY238" s="356"/>
    </row>
    <row r="239" spans="2:51" s="358" customFormat="1">
      <c r="B239" s="317"/>
      <c r="C239" s="316"/>
      <c r="D239" s="316"/>
      <c r="E239" s="316"/>
      <c r="F239" s="316"/>
      <c r="G239" s="316"/>
      <c r="H239" s="316"/>
      <c r="I239" s="316"/>
      <c r="Q239" s="356"/>
      <c r="R239" s="356"/>
      <c r="S239" s="356"/>
      <c r="T239" s="356"/>
      <c r="U239" s="356"/>
      <c r="V239" s="356"/>
      <c r="W239" s="356"/>
      <c r="X239" s="356"/>
      <c r="Y239" s="356"/>
      <c r="Z239" s="356"/>
      <c r="AA239" s="356"/>
      <c r="AB239" s="356"/>
      <c r="AC239" s="356"/>
      <c r="AD239" s="356"/>
      <c r="AE239" s="356"/>
      <c r="AF239" s="356"/>
      <c r="AG239" s="356"/>
      <c r="AH239" s="356"/>
      <c r="AI239" s="356"/>
      <c r="AJ239" s="356"/>
      <c r="AK239" s="356"/>
      <c r="AL239" s="356"/>
      <c r="AM239" s="356"/>
      <c r="AN239" s="356"/>
      <c r="AO239" s="356"/>
      <c r="AP239" s="356"/>
      <c r="AQ239" s="356"/>
      <c r="AR239" s="356"/>
      <c r="AS239" s="356"/>
      <c r="AT239" s="356"/>
      <c r="AU239" s="356"/>
      <c r="AV239" s="356"/>
      <c r="AW239" s="356"/>
      <c r="AX239" s="356"/>
      <c r="AY239" s="356"/>
    </row>
    <row r="240" spans="2:51" s="358" customFormat="1">
      <c r="B240" s="317"/>
      <c r="C240" s="316"/>
      <c r="D240" s="316"/>
      <c r="E240" s="316"/>
      <c r="F240" s="316"/>
      <c r="G240" s="316"/>
      <c r="H240" s="316"/>
      <c r="I240" s="316"/>
      <c r="Q240" s="356"/>
      <c r="R240" s="356"/>
      <c r="S240" s="356"/>
      <c r="T240" s="356"/>
      <c r="U240" s="356"/>
      <c r="V240" s="356"/>
      <c r="W240" s="356"/>
      <c r="X240" s="356"/>
      <c r="Y240" s="356"/>
      <c r="Z240" s="356"/>
      <c r="AA240" s="356"/>
      <c r="AB240" s="356"/>
      <c r="AC240" s="356"/>
      <c r="AD240" s="356"/>
      <c r="AE240" s="356"/>
      <c r="AF240" s="356"/>
      <c r="AG240" s="356"/>
      <c r="AH240" s="356"/>
      <c r="AI240" s="356"/>
      <c r="AJ240" s="356"/>
      <c r="AK240" s="356"/>
      <c r="AL240" s="356"/>
      <c r="AM240" s="356"/>
      <c r="AN240" s="356"/>
      <c r="AO240" s="356"/>
      <c r="AP240" s="356"/>
      <c r="AQ240" s="356"/>
      <c r="AR240" s="356"/>
      <c r="AS240" s="356"/>
      <c r="AT240" s="356"/>
      <c r="AU240" s="356"/>
      <c r="AV240" s="356"/>
      <c r="AW240" s="356"/>
      <c r="AX240" s="356"/>
      <c r="AY240" s="356"/>
    </row>
    <row r="241" spans="2:51" s="358" customFormat="1">
      <c r="B241" s="317"/>
      <c r="C241" s="316"/>
      <c r="D241" s="316"/>
      <c r="E241" s="316"/>
      <c r="F241" s="316"/>
      <c r="G241" s="316"/>
      <c r="H241" s="316"/>
      <c r="I241" s="316"/>
      <c r="Q241" s="356"/>
      <c r="R241" s="356"/>
      <c r="S241" s="356"/>
      <c r="T241" s="356"/>
      <c r="U241" s="356"/>
      <c r="V241" s="356"/>
      <c r="W241" s="356"/>
      <c r="X241" s="356"/>
      <c r="Y241" s="356"/>
      <c r="Z241" s="356"/>
      <c r="AA241" s="356"/>
      <c r="AB241" s="356"/>
      <c r="AC241" s="356"/>
      <c r="AD241" s="356"/>
      <c r="AE241" s="356"/>
      <c r="AF241" s="356"/>
      <c r="AG241" s="356"/>
      <c r="AH241" s="356"/>
      <c r="AI241" s="356"/>
      <c r="AJ241" s="356"/>
      <c r="AK241" s="356"/>
      <c r="AL241" s="356"/>
      <c r="AM241" s="356"/>
      <c r="AN241" s="356"/>
      <c r="AO241" s="356"/>
      <c r="AP241" s="356"/>
      <c r="AQ241" s="356"/>
      <c r="AR241" s="356"/>
      <c r="AS241" s="356"/>
      <c r="AT241" s="356"/>
      <c r="AU241" s="356"/>
      <c r="AV241" s="356"/>
      <c r="AW241" s="356"/>
      <c r="AX241" s="356"/>
      <c r="AY241" s="356"/>
    </row>
    <row r="242" spans="2:51" s="358" customFormat="1">
      <c r="B242" s="317"/>
      <c r="C242" s="316"/>
      <c r="D242" s="316"/>
      <c r="E242" s="316"/>
      <c r="F242" s="316"/>
      <c r="G242" s="316"/>
      <c r="H242" s="316"/>
      <c r="I242" s="316"/>
      <c r="Q242" s="356"/>
      <c r="R242" s="356"/>
      <c r="S242" s="356"/>
      <c r="T242" s="356"/>
      <c r="U242" s="356"/>
      <c r="V242" s="356"/>
      <c r="W242" s="356"/>
      <c r="X242" s="356"/>
      <c r="Y242" s="356"/>
      <c r="Z242" s="356"/>
      <c r="AA242" s="356"/>
      <c r="AB242" s="356"/>
      <c r="AC242" s="356"/>
      <c r="AD242" s="356"/>
      <c r="AE242" s="356"/>
      <c r="AF242" s="356"/>
      <c r="AG242" s="356"/>
      <c r="AH242" s="356"/>
      <c r="AI242" s="356"/>
      <c r="AJ242" s="356"/>
      <c r="AK242" s="356"/>
      <c r="AL242" s="356"/>
      <c r="AM242" s="356"/>
      <c r="AN242" s="356"/>
      <c r="AO242" s="356"/>
      <c r="AP242" s="356"/>
      <c r="AQ242" s="356"/>
      <c r="AR242" s="356"/>
      <c r="AS242" s="356"/>
      <c r="AT242" s="356"/>
      <c r="AU242" s="356"/>
      <c r="AV242" s="356"/>
      <c r="AW242" s="356"/>
      <c r="AX242" s="356"/>
      <c r="AY242" s="356"/>
    </row>
    <row r="243" spans="2:51" s="358" customFormat="1">
      <c r="B243" s="317"/>
      <c r="C243" s="316"/>
      <c r="D243" s="316"/>
      <c r="E243" s="316"/>
      <c r="F243" s="316"/>
      <c r="G243" s="316"/>
      <c r="H243" s="316"/>
      <c r="I243" s="316"/>
      <c r="Q243" s="356"/>
      <c r="R243" s="356"/>
      <c r="S243" s="356"/>
      <c r="T243" s="356"/>
      <c r="U243" s="356"/>
      <c r="V243" s="356"/>
      <c r="W243" s="356"/>
      <c r="X243" s="356"/>
      <c r="Y243" s="356"/>
      <c r="Z243" s="356"/>
      <c r="AA243" s="356"/>
      <c r="AB243" s="356"/>
      <c r="AC243" s="356"/>
      <c r="AD243" s="356"/>
      <c r="AE243" s="356"/>
      <c r="AF243" s="356"/>
      <c r="AG243" s="356"/>
      <c r="AH243" s="356"/>
      <c r="AI243" s="356"/>
      <c r="AJ243" s="356"/>
      <c r="AK243" s="356"/>
      <c r="AL243" s="356"/>
      <c r="AM243" s="356"/>
      <c r="AN243" s="356"/>
      <c r="AO243" s="356"/>
      <c r="AP243" s="356"/>
      <c r="AQ243" s="356"/>
      <c r="AR243" s="356"/>
      <c r="AS243" s="356"/>
      <c r="AT243" s="356"/>
      <c r="AU243" s="356"/>
      <c r="AV243" s="356"/>
      <c r="AW243" s="356"/>
      <c r="AX243" s="356"/>
      <c r="AY243" s="356"/>
    </row>
    <row r="244" spans="2:51" s="358" customFormat="1">
      <c r="B244" s="317"/>
      <c r="C244" s="316"/>
      <c r="D244" s="316"/>
      <c r="E244" s="316"/>
      <c r="F244" s="316"/>
      <c r="G244" s="316"/>
      <c r="H244" s="316"/>
      <c r="I244" s="316"/>
      <c r="Q244" s="356"/>
      <c r="R244" s="356"/>
      <c r="S244" s="356"/>
      <c r="T244" s="356"/>
      <c r="U244" s="356"/>
      <c r="V244" s="356"/>
      <c r="W244" s="356"/>
      <c r="X244" s="356"/>
      <c r="Y244" s="356"/>
      <c r="Z244" s="356"/>
      <c r="AA244" s="356"/>
      <c r="AB244" s="356"/>
      <c r="AC244" s="356"/>
      <c r="AD244" s="356"/>
      <c r="AE244" s="356"/>
      <c r="AF244" s="356"/>
      <c r="AG244" s="356"/>
      <c r="AH244" s="356"/>
      <c r="AI244" s="356"/>
      <c r="AJ244" s="356"/>
      <c r="AK244" s="356"/>
      <c r="AL244" s="356"/>
      <c r="AM244" s="356"/>
      <c r="AN244" s="356"/>
      <c r="AO244" s="356"/>
      <c r="AP244" s="356"/>
      <c r="AQ244" s="356"/>
      <c r="AR244" s="356"/>
      <c r="AS244" s="356"/>
      <c r="AT244" s="356"/>
      <c r="AU244" s="356"/>
      <c r="AV244" s="356"/>
      <c r="AW244" s="356"/>
      <c r="AX244" s="356"/>
      <c r="AY244" s="356"/>
    </row>
    <row r="245" spans="2:51" s="358" customFormat="1">
      <c r="B245" s="317"/>
      <c r="C245" s="316"/>
      <c r="D245" s="316"/>
      <c r="E245" s="316"/>
      <c r="F245" s="316"/>
      <c r="G245" s="316"/>
      <c r="H245" s="316"/>
      <c r="I245" s="316"/>
      <c r="Q245" s="356"/>
      <c r="R245" s="356"/>
      <c r="S245" s="356"/>
      <c r="T245" s="356"/>
      <c r="U245" s="356"/>
      <c r="V245" s="356"/>
      <c r="W245" s="356"/>
      <c r="X245" s="356"/>
      <c r="Y245" s="356"/>
      <c r="Z245" s="356"/>
      <c r="AA245" s="356"/>
      <c r="AB245" s="356"/>
      <c r="AC245" s="356"/>
      <c r="AD245" s="356"/>
      <c r="AE245" s="356"/>
      <c r="AF245" s="356"/>
      <c r="AG245" s="356"/>
      <c r="AH245" s="356"/>
      <c r="AI245" s="356"/>
      <c r="AJ245" s="356"/>
      <c r="AK245" s="356"/>
      <c r="AL245" s="356"/>
      <c r="AM245" s="356"/>
      <c r="AN245" s="356"/>
      <c r="AO245" s="356"/>
      <c r="AP245" s="356"/>
      <c r="AQ245" s="356"/>
      <c r="AR245" s="356"/>
      <c r="AS245" s="356"/>
      <c r="AT245" s="356"/>
      <c r="AU245" s="356"/>
      <c r="AV245" s="356"/>
      <c r="AW245" s="356"/>
      <c r="AX245" s="356"/>
      <c r="AY245" s="356"/>
    </row>
    <row r="246" spans="2:51" s="358" customFormat="1">
      <c r="B246" s="317"/>
      <c r="C246" s="316"/>
      <c r="D246" s="316"/>
      <c r="E246" s="316"/>
      <c r="F246" s="316"/>
      <c r="G246" s="316"/>
      <c r="H246" s="316"/>
      <c r="I246" s="316"/>
      <c r="Q246" s="356"/>
      <c r="R246" s="356"/>
      <c r="S246" s="356"/>
      <c r="T246" s="356"/>
      <c r="U246" s="356"/>
      <c r="V246" s="356"/>
      <c r="W246" s="356"/>
      <c r="X246" s="356"/>
      <c r="Y246" s="356"/>
      <c r="Z246" s="356"/>
      <c r="AA246" s="356"/>
      <c r="AB246" s="356"/>
      <c r="AC246" s="356"/>
      <c r="AD246" s="356"/>
      <c r="AE246" s="356"/>
      <c r="AF246" s="356"/>
      <c r="AG246" s="356"/>
      <c r="AH246" s="356"/>
      <c r="AI246" s="356"/>
      <c r="AJ246" s="356"/>
      <c r="AK246" s="356"/>
      <c r="AL246" s="356"/>
      <c r="AM246" s="356"/>
      <c r="AN246" s="356"/>
      <c r="AO246" s="356"/>
      <c r="AP246" s="356"/>
      <c r="AQ246" s="356"/>
      <c r="AR246" s="356"/>
      <c r="AS246" s="356"/>
      <c r="AT246" s="356"/>
      <c r="AU246" s="356"/>
      <c r="AV246" s="356"/>
      <c r="AW246" s="356"/>
      <c r="AX246" s="356"/>
      <c r="AY246" s="356"/>
    </row>
    <row r="247" spans="2:51" s="358" customFormat="1">
      <c r="B247" s="317"/>
      <c r="C247" s="316"/>
      <c r="D247" s="316"/>
      <c r="E247" s="316"/>
      <c r="F247" s="316"/>
      <c r="G247" s="316"/>
      <c r="H247" s="316"/>
      <c r="I247" s="316"/>
      <c r="Q247" s="356"/>
      <c r="R247" s="356"/>
      <c r="S247" s="356"/>
      <c r="T247" s="356"/>
      <c r="U247" s="356"/>
      <c r="V247" s="356"/>
      <c r="W247" s="356"/>
      <c r="X247" s="356"/>
      <c r="Y247" s="356"/>
      <c r="Z247" s="356"/>
      <c r="AA247" s="356"/>
      <c r="AB247" s="356"/>
      <c r="AC247" s="356"/>
      <c r="AD247" s="356"/>
      <c r="AE247" s="356"/>
      <c r="AF247" s="356"/>
      <c r="AG247" s="356"/>
      <c r="AH247" s="356"/>
      <c r="AI247" s="356"/>
      <c r="AJ247" s="356"/>
      <c r="AK247" s="356"/>
      <c r="AL247" s="356"/>
      <c r="AM247" s="356"/>
      <c r="AN247" s="356"/>
      <c r="AO247" s="356"/>
      <c r="AP247" s="356"/>
      <c r="AQ247" s="356"/>
      <c r="AR247" s="356"/>
      <c r="AS247" s="356"/>
      <c r="AT247" s="356"/>
      <c r="AU247" s="356"/>
      <c r="AV247" s="356"/>
      <c r="AW247" s="356"/>
      <c r="AX247" s="356"/>
      <c r="AY247" s="356"/>
    </row>
    <row r="248" spans="2:51" s="358" customFormat="1">
      <c r="B248" s="317"/>
      <c r="C248" s="316"/>
      <c r="D248" s="316"/>
      <c r="E248" s="316"/>
      <c r="F248" s="316"/>
      <c r="G248" s="316"/>
      <c r="H248" s="316"/>
      <c r="I248" s="316"/>
      <c r="Q248" s="356"/>
      <c r="R248" s="356"/>
      <c r="S248" s="356"/>
      <c r="T248" s="356"/>
      <c r="U248" s="356"/>
      <c r="V248" s="356"/>
      <c r="W248" s="356"/>
      <c r="X248" s="356"/>
      <c r="Y248" s="356"/>
      <c r="Z248" s="356"/>
      <c r="AA248" s="356"/>
      <c r="AB248" s="356"/>
      <c r="AC248" s="356"/>
      <c r="AD248" s="356"/>
      <c r="AE248" s="356"/>
      <c r="AF248" s="356"/>
      <c r="AG248" s="356"/>
      <c r="AH248" s="356"/>
      <c r="AI248" s="356"/>
      <c r="AJ248" s="356"/>
      <c r="AK248" s="356"/>
      <c r="AL248" s="356"/>
      <c r="AM248" s="356"/>
      <c r="AN248" s="356"/>
      <c r="AO248" s="356"/>
      <c r="AP248" s="356"/>
      <c r="AQ248" s="356"/>
      <c r="AR248" s="356"/>
      <c r="AS248" s="356"/>
      <c r="AT248" s="356"/>
      <c r="AU248" s="356"/>
      <c r="AV248" s="356"/>
      <c r="AW248" s="356"/>
      <c r="AX248" s="356"/>
      <c r="AY248" s="356"/>
    </row>
    <row r="249" spans="2:51" s="358" customFormat="1">
      <c r="B249" s="317"/>
      <c r="C249" s="316"/>
      <c r="D249" s="316"/>
      <c r="E249" s="316"/>
      <c r="F249" s="316"/>
      <c r="G249" s="316"/>
      <c r="H249" s="316"/>
      <c r="I249" s="316"/>
      <c r="Q249" s="356"/>
      <c r="R249" s="356"/>
      <c r="S249" s="356"/>
      <c r="T249" s="356"/>
      <c r="U249" s="356"/>
      <c r="V249" s="356"/>
      <c r="W249" s="356"/>
      <c r="X249" s="356"/>
      <c r="Y249" s="356"/>
      <c r="Z249" s="356"/>
      <c r="AA249" s="356"/>
      <c r="AB249" s="356"/>
      <c r="AC249" s="356"/>
      <c r="AD249" s="356"/>
      <c r="AE249" s="356"/>
      <c r="AF249" s="356"/>
      <c r="AG249" s="356"/>
      <c r="AH249" s="356"/>
      <c r="AI249" s="356"/>
      <c r="AJ249" s="356"/>
      <c r="AK249" s="356"/>
      <c r="AL249" s="356"/>
      <c r="AM249" s="356"/>
      <c r="AN249" s="356"/>
      <c r="AO249" s="356"/>
      <c r="AP249" s="356"/>
      <c r="AQ249" s="356"/>
      <c r="AR249" s="356"/>
      <c r="AS249" s="356"/>
      <c r="AT249" s="356"/>
      <c r="AU249" s="356"/>
      <c r="AV249" s="356"/>
      <c r="AW249" s="356"/>
      <c r="AX249" s="356"/>
      <c r="AY249" s="356"/>
    </row>
    <row r="250" spans="2:51" s="358" customFormat="1">
      <c r="B250" s="317"/>
      <c r="C250" s="316"/>
      <c r="D250" s="316"/>
      <c r="E250" s="316"/>
      <c r="F250" s="316"/>
      <c r="G250" s="316"/>
      <c r="H250" s="316"/>
      <c r="I250" s="316"/>
      <c r="Q250" s="356"/>
      <c r="R250" s="356"/>
      <c r="S250" s="356"/>
      <c r="T250" s="356"/>
      <c r="U250" s="356"/>
      <c r="V250" s="356"/>
      <c r="W250" s="356"/>
      <c r="X250" s="356"/>
      <c r="Y250" s="356"/>
      <c r="Z250" s="356"/>
      <c r="AA250" s="356"/>
      <c r="AB250" s="356"/>
      <c r="AC250" s="356"/>
      <c r="AD250" s="356"/>
      <c r="AE250" s="356"/>
      <c r="AF250" s="356"/>
      <c r="AG250" s="356"/>
      <c r="AH250" s="356"/>
      <c r="AI250" s="356"/>
      <c r="AJ250" s="356"/>
      <c r="AK250" s="356"/>
      <c r="AL250" s="356"/>
      <c r="AM250" s="356"/>
      <c r="AN250" s="356"/>
      <c r="AO250" s="356"/>
      <c r="AP250" s="356"/>
      <c r="AQ250" s="356"/>
      <c r="AR250" s="356"/>
      <c r="AS250" s="356"/>
      <c r="AT250" s="356"/>
      <c r="AU250" s="356"/>
      <c r="AV250" s="356"/>
      <c r="AW250" s="356"/>
      <c r="AX250" s="356"/>
      <c r="AY250" s="356"/>
    </row>
    <row r="251" spans="2:51" s="358" customFormat="1">
      <c r="B251" s="317"/>
      <c r="C251" s="316"/>
      <c r="D251" s="316"/>
      <c r="E251" s="316"/>
      <c r="F251" s="316"/>
      <c r="G251" s="316"/>
      <c r="H251" s="316"/>
      <c r="I251" s="316"/>
      <c r="Q251" s="356"/>
      <c r="R251" s="356"/>
      <c r="S251" s="356"/>
      <c r="T251" s="356"/>
      <c r="U251" s="356"/>
      <c r="V251" s="356"/>
      <c r="W251" s="356"/>
      <c r="X251" s="356"/>
      <c r="Y251" s="356"/>
      <c r="Z251" s="356"/>
      <c r="AA251" s="356"/>
      <c r="AB251" s="356"/>
      <c r="AC251" s="356"/>
      <c r="AD251" s="356"/>
      <c r="AE251" s="356"/>
      <c r="AF251" s="356"/>
      <c r="AG251" s="356"/>
      <c r="AH251" s="356"/>
      <c r="AI251" s="356"/>
      <c r="AJ251" s="356"/>
      <c r="AK251" s="356"/>
      <c r="AL251" s="356"/>
      <c r="AM251" s="356"/>
      <c r="AN251" s="356"/>
      <c r="AO251" s="356"/>
      <c r="AP251" s="356"/>
      <c r="AQ251" s="356"/>
      <c r="AR251" s="356"/>
      <c r="AS251" s="356"/>
      <c r="AT251" s="356"/>
      <c r="AU251" s="356"/>
      <c r="AV251" s="356"/>
      <c r="AW251" s="356"/>
      <c r="AX251" s="356"/>
      <c r="AY251" s="356"/>
    </row>
    <row r="252" spans="2:51" s="358" customFormat="1">
      <c r="B252" s="317"/>
      <c r="C252" s="316"/>
      <c r="D252" s="316"/>
      <c r="E252" s="316"/>
      <c r="F252" s="316"/>
      <c r="G252" s="316"/>
      <c r="H252" s="316"/>
      <c r="I252" s="316"/>
      <c r="Q252" s="356"/>
      <c r="R252" s="356"/>
      <c r="S252" s="356"/>
      <c r="T252" s="356"/>
      <c r="U252" s="356"/>
      <c r="V252" s="356"/>
      <c r="W252" s="356"/>
      <c r="X252" s="356"/>
      <c r="Y252" s="356"/>
      <c r="Z252" s="356"/>
      <c r="AA252" s="356"/>
      <c r="AB252" s="356"/>
      <c r="AC252" s="356"/>
      <c r="AD252" s="356"/>
      <c r="AE252" s="356"/>
      <c r="AF252" s="356"/>
      <c r="AG252" s="356"/>
      <c r="AH252" s="356"/>
      <c r="AI252" s="356"/>
      <c r="AJ252" s="356"/>
      <c r="AK252" s="356"/>
      <c r="AL252" s="356"/>
      <c r="AM252" s="356"/>
      <c r="AN252" s="356"/>
      <c r="AO252" s="356"/>
      <c r="AP252" s="356"/>
      <c r="AQ252" s="356"/>
      <c r="AR252" s="356"/>
      <c r="AS252" s="356"/>
      <c r="AT252" s="356"/>
      <c r="AU252" s="356"/>
      <c r="AV252" s="356"/>
      <c r="AW252" s="356"/>
      <c r="AX252" s="356"/>
      <c r="AY252" s="356"/>
    </row>
    <row r="253" spans="2:51" s="358" customFormat="1">
      <c r="B253" s="317"/>
      <c r="C253" s="316"/>
      <c r="D253" s="316"/>
      <c r="E253" s="316"/>
      <c r="F253" s="316"/>
      <c r="G253" s="316"/>
      <c r="H253" s="316"/>
      <c r="I253" s="316"/>
      <c r="Q253" s="356"/>
      <c r="R253" s="356"/>
      <c r="S253" s="356"/>
      <c r="T253" s="356"/>
      <c r="U253" s="356"/>
      <c r="V253" s="356"/>
      <c r="W253" s="356"/>
      <c r="X253" s="356"/>
      <c r="Y253" s="356"/>
      <c r="Z253" s="356"/>
      <c r="AA253" s="356"/>
      <c r="AB253" s="356"/>
      <c r="AC253" s="356"/>
      <c r="AD253" s="356"/>
      <c r="AE253" s="356"/>
      <c r="AF253" s="356"/>
      <c r="AG253" s="356"/>
      <c r="AH253" s="356"/>
      <c r="AI253" s="356"/>
      <c r="AJ253" s="356"/>
      <c r="AK253" s="356"/>
      <c r="AL253" s="356"/>
      <c r="AM253" s="356"/>
      <c r="AN253" s="356"/>
      <c r="AO253" s="356"/>
      <c r="AP253" s="356"/>
      <c r="AQ253" s="356"/>
      <c r="AR253" s="356"/>
      <c r="AS253" s="356"/>
      <c r="AT253" s="356"/>
      <c r="AU253" s="356"/>
      <c r="AV253" s="356"/>
      <c r="AW253" s="356"/>
      <c r="AX253" s="356"/>
      <c r="AY253" s="356"/>
    </row>
    <row r="254" spans="2:51" s="358" customFormat="1">
      <c r="B254" s="317"/>
      <c r="C254" s="316"/>
      <c r="D254" s="316"/>
      <c r="E254" s="316"/>
      <c r="F254" s="316"/>
      <c r="G254" s="316"/>
      <c r="H254" s="316"/>
      <c r="I254" s="316"/>
      <c r="Q254" s="356"/>
      <c r="R254" s="356"/>
      <c r="S254" s="356"/>
      <c r="T254" s="356"/>
      <c r="U254" s="356"/>
      <c r="V254" s="356"/>
      <c r="W254" s="356"/>
      <c r="X254" s="356"/>
      <c r="Y254" s="356"/>
      <c r="Z254" s="356"/>
      <c r="AA254" s="356"/>
      <c r="AB254" s="356"/>
      <c r="AC254" s="356"/>
      <c r="AD254" s="356"/>
      <c r="AE254" s="356"/>
      <c r="AF254" s="356"/>
      <c r="AG254" s="356"/>
      <c r="AH254" s="356"/>
      <c r="AI254" s="356"/>
      <c r="AJ254" s="356"/>
      <c r="AK254" s="356"/>
      <c r="AL254" s="356"/>
      <c r="AM254" s="356"/>
      <c r="AN254" s="356"/>
      <c r="AO254" s="356"/>
      <c r="AP254" s="356"/>
      <c r="AQ254" s="356"/>
      <c r="AR254" s="356"/>
      <c r="AS254" s="356"/>
      <c r="AT254" s="356"/>
      <c r="AU254" s="356"/>
      <c r="AV254" s="356"/>
      <c r="AW254" s="356"/>
      <c r="AX254" s="356"/>
      <c r="AY254" s="356"/>
    </row>
    <row r="255" spans="2:51" s="358" customFormat="1">
      <c r="B255" s="317"/>
      <c r="C255" s="316"/>
      <c r="D255" s="316"/>
      <c r="E255" s="316"/>
      <c r="F255" s="316"/>
      <c r="G255" s="316"/>
      <c r="H255" s="316"/>
      <c r="I255" s="316"/>
      <c r="Q255" s="356"/>
      <c r="R255" s="356"/>
      <c r="S255" s="356"/>
      <c r="T255" s="356"/>
      <c r="U255" s="356"/>
      <c r="V255" s="356"/>
      <c r="W255" s="356"/>
      <c r="X255" s="356"/>
      <c r="Y255" s="356"/>
      <c r="Z255" s="356"/>
      <c r="AA255" s="356"/>
      <c r="AB255" s="356"/>
      <c r="AC255" s="356"/>
      <c r="AD255" s="356"/>
      <c r="AE255" s="356"/>
      <c r="AF255" s="356"/>
      <c r="AG255" s="356"/>
      <c r="AH255" s="356"/>
      <c r="AI255" s="356"/>
      <c r="AJ255" s="356"/>
      <c r="AK255" s="356"/>
      <c r="AL255" s="356"/>
      <c r="AM255" s="356"/>
      <c r="AN255" s="356"/>
      <c r="AO255" s="356"/>
      <c r="AP255" s="356"/>
      <c r="AQ255" s="356"/>
      <c r="AR255" s="356"/>
      <c r="AS255" s="356"/>
      <c r="AT255" s="356"/>
      <c r="AU255" s="356"/>
      <c r="AV255" s="356"/>
      <c r="AW255" s="356"/>
      <c r="AX255" s="356"/>
      <c r="AY255" s="356"/>
    </row>
    <row r="256" spans="2:51" s="358" customFormat="1">
      <c r="B256" s="317"/>
      <c r="C256" s="316"/>
      <c r="D256" s="316"/>
      <c r="E256" s="316"/>
      <c r="F256" s="316"/>
      <c r="G256" s="316"/>
      <c r="H256" s="316"/>
      <c r="I256" s="316"/>
      <c r="Q256" s="356"/>
      <c r="R256" s="356"/>
      <c r="S256" s="356"/>
      <c r="T256" s="356"/>
      <c r="U256" s="356"/>
      <c r="V256" s="356"/>
      <c r="W256" s="356"/>
      <c r="X256" s="356"/>
      <c r="Y256" s="356"/>
      <c r="Z256" s="356"/>
      <c r="AA256" s="356"/>
      <c r="AB256" s="356"/>
      <c r="AC256" s="356"/>
      <c r="AD256" s="356"/>
      <c r="AE256" s="356"/>
      <c r="AF256" s="356"/>
      <c r="AG256" s="356"/>
      <c r="AH256" s="356"/>
      <c r="AI256" s="356"/>
      <c r="AJ256" s="356"/>
      <c r="AK256" s="356"/>
      <c r="AL256" s="356"/>
      <c r="AM256" s="356"/>
      <c r="AN256" s="356"/>
      <c r="AO256" s="356"/>
      <c r="AP256" s="356"/>
      <c r="AQ256" s="356"/>
      <c r="AR256" s="356"/>
      <c r="AS256" s="356"/>
      <c r="AT256" s="356"/>
      <c r="AU256" s="356"/>
      <c r="AV256" s="356"/>
      <c r="AW256" s="356"/>
      <c r="AX256" s="356"/>
      <c r="AY256" s="356"/>
    </row>
    <row r="257" spans="2:51" s="358" customFormat="1">
      <c r="B257" s="317"/>
      <c r="C257" s="316"/>
      <c r="D257" s="316"/>
      <c r="E257" s="316"/>
      <c r="F257" s="316"/>
      <c r="G257" s="316"/>
      <c r="H257" s="316"/>
      <c r="I257" s="316"/>
      <c r="Q257" s="356"/>
      <c r="R257" s="356"/>
      <c r="S257" s="356"/>
      <c r="T257" s="356"/>
      <c r="U257" s="356"/>
      <c r="V257" s="356"/>
      <c r="W257" s="356"/>
      <c r="X257" s="356"/>
      <c r="Y257" s="356"/>
      <c r="Z257" s="356"/>
      <c r="AA257" s="356"/>
      <c r="AB257" s="356"/>
      <c r="AC257" s="356"/>
      <c r="AD257" s="356"/>
      <c r="AE257" s="356"/>
      <c r="AF257" s="356"/>
      <c r="AG257" s="356"/>
      <c r="AH257" s="356"/>
      <c r="AI257" s="356"/>
      <c r="AJ257" s="356"/>
      <c r="AK257" s="356"/>
      <c r="AL257" s="356"/>
      <c r="AM257" s="356"/>
      <c r="AN257" s="356"/>
      <c r="AO257" s="356"/>
      <c r="AP257" s="356"/>
      <c r="AQ257" s="356"/>
      <c r="AR257" s="356"/>
      <c r="AS257" s="356"/>
      <c r="AT257" s="356"/>
      <c r="AU257" s="356"/>
      <c r="AV257" s="356"/>
      <c r="AW257" s="356"/>
      <c r="AX257" s="356"/>
      <c r="AY257" s="356"/>
    </row>
    <row r="258" spans="2:51" s="358" customFormat="1">
      <c r="B258" s="317"/>
      <c r="C258" s="316"/>
      <c r="D258" s="316"/>
      <c r="E258" s="316"/>
      <c r="F258" s="316"/>
      <c r="G258" s="316"/>
      <c r="H258" s="316"/>
      <c r="I258" s="316"/>
      <c r="Q258" s="356"/>
      <c r="R258" s="356"/>
      <c r="S258" s="356"/>
      <c r="T258" s="356"/>
      <c r="U258" s="356"/>
      <c r="V258" s="356"/>
      <c r="W258" s="356"/>
      <c r="X258" s="356"/>
      <c r="Y258" s="356"/>
      <c r="Z258" s="356"/>
      <c r="AA258" s="356"/>
      <c r="AB258" s="356"/>
      <c r="AC258" s="356"/>
      <c r="AD258" s="356"/>
      <c r="AE258" s="356"/>
      <c r="AF258" s="356"/>
      <c r="AG258" s="356"/>
      <c r="AH258" s="356"/>
      <c r="AI258" s="356"/>
      <c r="AJ258" s="356"/>
      <c r="AK258" s="356"/>
      <c r="AL258" s="356"/>
      <c r="AM258" s="356"/>
      <c r="AN258" s="356"/>
      <c r="AO258" s="356"/>
      <c r="AP258" s="356"/>
      <c r="AQ258" s="356"/>
      <c r="AR258" s="356"/>
      <c r="AS258" s="356"/>
      <c r="AT258" s="356"/>
      <c r="AU258" s="356"/>
      <c r="AV258" s="356"/>
      <c r="AW258" s="356"/>
      <c r="AX258" s="356"/>
      <c r="AY258" s="356"/>
    </row>
    <row r="259" spans="2:51" s="358" customFormat="1">
      <c r="B259" s="317"/>
      <c r="C259" s="316"/>
      <c r="D259" s="316"/>
      <c r="E259" s="316"/>
      <c r="F259" s="316"/>
      <c r="G259" s="316"/>
      <c r="H259" s="316"/>
      <c r="I259" s="316"/>
      <c r="Q259" s="356"/>
      <c r="R259" s="356"/>
      <c r="S259" s="356"/>
      <c r="T259" s="356"/>
      <c r="U259" s="356"/>
      <c r="V259" s="356"/>
      <c r="W259" s="356"/>
      <c r="X259" s="356"/>
      <c r="Y259" s="356"/>
      <c r="Z259" s="356"/>
      <c r="AA259" s="356"/>
      <c r="AB259" s="356"/>
      <c r="AC259" s="356"/>
      <c r="AD259" s="356"/>
      <c r="AE259" s="356"/>
      <c r="AF259" s="356"/>
      <c r="AG259" s="356"/>
      <c r="AH259" s="356"/>
      <c r="AI259" s="356"/>
      <c r="AJ259" s="356"/>
      <c r="AK259" s="356"/>
      <c r="AL259" s="356"/>
      <c r="AM259" s="356"/>
      <c r="AN259" s="356"/>
      <c r="AO259" s="356"/>
      <c r="AP259" s="356"/>
      <c r="AQ259" s="356"/>
      <c r="AR259" s="356"/>
      <c r="AS259" s="356"/>
      <c r="AT259" s="356"/>
      <c r="AU259" s="356"/>
      <c r="AV259" s="356"/>
      <c r="AW259" s="356"/>
      <c r="AX259" s="356"/>
      <c r="AY259" s="356"/>
    </row>
    <row r="260" spans="2:51" s="358" customFormat="1">
      <c r="B260" s="317"/>
      <c r="C260" s="316"/>
      <c r="D260" s="316"/>
      <c r="E260" s="316"/>
      <c r="F260" s="316"/>
      <c r="G260" s="316"/>
      <c r="H260" s="316"/>
      <c r="I260" s="316"/>
      <c r="Q260" s="356"/>
      <c r="R260" s="356"/>
      <c r="S260" s="356"/>
      <c r="T260" s="356"/>
      <c r="U260" s="356"/>
      <c r="V260" s="356"/>
      <c r="W260" s="356"/>
      <c r="X260" s="356"/>
      <c r="Y260" s="356"/>
      <c r="Z260" s="356"/>
      <c r="AA260" s="356"/>
      <c r="AB260" s="356"/>
      <c r="AC260" s="356"/>
      <c r="AD260" s="356"/>
      <c r="AE260" s="356"/>
      <c r="AF260" s="356"/>
      <c r="AG260" s="356"/>
      <c r="AH260" s="356"/>
      <c r="AI260" s="356"/>
      <c r="AJ260" s="356"/>
      <c r="AK260" s="356"/>
      <c r="AL260" s="356"/>
      <c r="AM260" s="356"/>
      <c r="AN260" s="356"/>
      <c r="AO260" s="356"/>
      <c r="AP260" s="356"/>
      <c r="AQ260" s="356"/>
      <c r="AR260" s="356"/>
      <c r="AS260" s="356"/>
      <c r="AT260" s="356"/>
      <c r="AU260" s="356"/>
      <c r="AV260" s="356"/>
      <c r="AW260" s="356"/>
      <c r="AX260" s="356"/>
      <c r="AY260" s="356"/>
    </row>
    <row r="261" spans="2:51" s="358" customFormat="1">
      <c r="B261" s="317"/>
      <c r="C261" s="316"/>
      <c r="D261" s="316"/>
      <c r="E261" s="316"/>
      <c r="F261" s="316"/>
      <c r="G261" s="316"/>
      <c r="H261" s="316"/>
      <c r="I261" s="316"/>
      <c r="Q261" s="356"/>
      <c r="R261" s="356"/>
      <c r="S261" s="356"/>
      <c r="T261" s="356"/>
      <c r="U261" s="356"/>
      <c r="V261" s="356"/>
      <c r="W261" s="356"/>
      <c r="X261" s="356"/>
      <c r="Y261" s="356"/>
      <c r="Z261" s="356"/>
      <c r="AA261" s="356"/>
      <c r="AB261" s="356"/>
      <c r="AC261" s="356"/>
      <c r="AD261" s="356"/>
      <c r="AE261" s="356"/>
      <c r="AF261" s="356"/>
      <c r="AG261" s="356"/>
      <c r="AH261" s="356"/>
      <c r="AI261" s="356"/>
      <c r="AJ261" s="356"/>
      <c r="AK261" s="356"/>
      <c r="AL261" s="356"/>
      <c r="AM261" s="356"/>
      <c r="AN261" s="356"/>
      <c r="AO261" s="356"/>
      <c r="AP261" s="356"/>
      <c r="AQ261" s="356"/>
      <c r="AR261" s="356"/>
      <c r="AS261" s="356"/>
      <c r="AT261" s="356"/>
      <c r="AU261" s="356"/>
      <c r="AV261" s="356"/>
      <c r="AW261" s="356"/>
      <c r="AX261" s="356"/>
      <c r="AY261" s="356"/>
    </row>
  </sheetData>
  <sheetProtection password="CD9E" sheet="1" objects="1" scenarios="1" selectLockedCells="1"/>
  <mergeCells count="24">
    <mergeCell ref="F20:I20"/>
    <mergeCell ref="B8:D9"/>
    <mergeCell ref="E8:I8"/>
    <mergeCell ref="B10:C11"/>
    <mergeCell ref="B12:C12"/>
    <mergeCell ref="B13:C14"/>
    <mergeCell ref="B15:C15"/>
    <mergeCell ref="C54:D54"/>
    <mergeCell ref="C59:D59"/>
    <mergeCell ref="B16:C16"/>
    <mergeCell ref="B17:C17"/>
    <mergeCell ref="B18:D18"/>
    <mergeCell ref="B20:B21"/>
    <mergeCell ref="C20:E21"/>
    <mergeCell ref="C32:E32"/>
    <mergeCell ref="C22:D22"/>
    <mergeCell ref="C33:D33"/>
    <mergeCell ref="C40:D40"/>
    <mergeCell ref="C50:D50"/>
    <mergeCell ref="B66:I66"/>
    <mergeCell ref="B67:I67"/>
    <mergeCell ref="B80:I80"/>
    <mergeCell ref="C103:I103"/>
    <mergeCell ref="B105:I105"/>
  </mergeCells>
  <phoneticPr fontId="10" type="noConversion"/>
  <printOptions horizontalCentered="1" verticalCentered="1"/>
  <pageMargins left="0.16" right="0.16" top="0.2" bottom="0.08" header="0.19" footer="0.12000000000000001"/>
  <pageSetup paperSize="9" scale="66" fitToHeight="2" orientation="portrait" horizontalDpi="4294967292" verticalDpi="429496729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tint="0.499984740745262"/>
  </sheetPr>
  <dimension ref="A1:BD60"/>
  <sheetViews>
    <sheetView topLeftCell="AU1" workbookViewId="0">
      <selection activeCell="AZ16" sqref="AZ16"/>
    </sheetView>
  </sheetViews>
  <sheetFormatPr defaultColWidth="10.875" defaultRowHeight="15.75"/>
  <cols>
    <col min="1" max="10" width="18.875" style="209" customWidth="1"/>
    <col min="11" max="14" width="18.875" style="206" customWidth="1"/>
    <col min="15" max="17" width="23.625" style="207" customWidth="1"/>
    <col min="18" max="18" width="9.5" style="208" customWidth="1"/>
    <col min="19" max="19" width="23.625" style="209" customWidth="1"/>
    <col min="20" max="20" width="9.5" style="208" customWidth="1"/>
    <col min="21" max="21" width="23.625" style="209" customWidth="1"/>
    <col min="22" max="22" width="9.5" style="208" customWidth="1"/>
    <col min="23" max="23" width="23.625" style="207" customWidth="1"/>
    <col min="24" max="24" width="23.625" style="209" customWidth="1"/>
    <col min="25" max="25" width="9.5" style="208" customWidth="1"/>
    <col min="26" max="26" width="23.625" style="209" customWidth="1"/>
    <col min="27" max="27" width="9.5" style="208" customWidth="1"/>
    <col min="28" max="28" width="23.625" style="209" customWidth="1"/>
    <col min="29" max="29" width="9.5" style="208" customWidth="1"/>
    <col min="30" max="30" width="23.625" style="209" customWidth="1"/>
    <col min="31" max="31" width="9.375" style="208" customWidth="1"/>
    <col min="32" max="32" width="23.625" style="209" customWidth="1"/>
    <col min="33" max="33" width="9.5" style="210" customWidth="1"/>
    <col min="34" max="34" width="23.625" style="209" customWidth="1"/>
    <col min="35" max="35" width="9.5" style="210" customWidth="1"/>
    <col min="36" max="36" width="23.625" style="209" customWidth="1"/>
    <col min="37" max="37" width="9.5" style="210" customWidth="1"/>
    <col min="38" max="38" width="23.625" style="209" customWidth="1"/>
    <col min="39" max="39" width="9.5" style="210" customWidth="1"/>
    <col min="40" max="40" width="23.625" style="209" customWidth="1"/>
    <col min="41" max="41" width="23.625" style="207" customWidth="1"/>
    <col min="42" max="42" width="23.625" style="209" customWidth="1"/>
    <col min="43" max="43" width="9.5" style="210" customWidth="1"/>
    <col min="44" max="44" width="23.625" style="209" customWidth="1"/>
    <col min="45" max="45" width="9.5" style="210" customWidth="1"/>
    <col min="46" max="46" width="23.625" style="209" customWidth="1"/>
    <col min="47" max="47" width="9.5" style="210" customWidth="1"/>
    <col min="48" max="48" width="23.625" style="209" customWidth="1"/>
    <col min="49" max="49" width="9.5" style="210" customWidth="1"/>
    <col min="50" max="50" width="23.625" style="209" customWidth="1"/>
    <col min="51" max="51" width="9.5" style="210" customWidth="1"/>
    <col min="52" max="52" width="23.625" style="209" customWidth="1"/>
    <col min="53" max="55" width="18.875" style="206" customWidth="1"/>
    <col min="56" max="56" width="23.625" style="209" customWidth="1"/>
    <col min="57" max="16384" width="10.875" style="209"/>
  </cols>
  <sheetData>
    <row r="1" spans="1:56" s="218" customFormat="1" ht="30" customHeight="1">
      <c r="A1" s="1217" t="s">
        <v>291</v>
      </c>
      <c r="B1" s="1218" t="s">
        <v>291</v>
      </c>
      <c r="C1" s="1219"/>
      <c r="D1" s="1217" t="s">
        <v>803</v>
      </c>
      <c r="E1" s="1218"/>
      <c r="F1" s="1218"/>
      <c r="G1" s="1219"/>
      <c r="H1" s="409" t="s">
        <v>741</v>
      </c>
      <c r="I1" s="514"/>
      <c r="J1" s="514"/>
      <c r="K1" s="516" t="s">
        <v>804</v>
      </c>
      <c r="L1" s="1217" t="s">
        <v>865</v>
      </c>
      <c r="M1" s="1218" t="s">
        <v>291</v>
      </c>
      <c r="N1" s="1219"/>
      <c r="O1" s="1217" t="s">
        <v>4</v>
      </c>
      <c r="P1" s="1218"/>
      <c r="Q1" s="1218"/>
      <c r="R1" s="1218"/>
      <c r="S1" s="1218"/>
      <c r="T1" s="1218"/>
      <c r="U1" s="1218"/>
      <c r="V1" s="1219"/>
      <c r="W1" s="1217" t="s">
        <v>209</v>
      </c>
      <c r="X1" s="1218"/>
      <c r="Y1" s="1218"/>
      <c r="Z1" s="1218"/>
      <c r="AA1" s="1218"/>
      <c r="AB1" s="1218"/>
      <c r="AC1" s="1218"/>
      <c r="AD1" s="1218"/>
      <c r="AE1" s="1219"/>
      <c r="AF1" s="1217" t="s">
        <v>21</v>
      </c>
      <c r="AG1" s="1218"/>
      <c r="AH1" s="1218"/>
      <c r="AI1" s="1218"/>
      <c r="AJ1" s="1218"/>
      <c r="AK1" s="1218"/>
      <c r="AL1" s="1218"/>
      <c r="AM1" s="1218"/>
      <c r="AN1" s="1218"/>
      <c r="AO1" s="1219"/>
      <c r="AP1" s="1217" t="s">
        <v>210</v>
      </c>
      <c r="AQ1" s="1218"/>
      <c r="AR1" s="1218"/>
      <c r="AS1" s="1218"/>
      <c r="AT1" s="1217" t="s">
        <v>211</v>
      </c>
      <c r="AU1" s="1218"/>
      <c r="AV1" s="1218"/>
      <c r="AW1" s="1218"/>
      <c r="AX1" s="1218"/>
      <c r="AY1" s="1219"/>
      <c r="AZ1" s="236" t="s">
        <v>37</v>
      </c>
      <c r="BA1" s="1217" t="s">
        <v>732</v>
      </c>
      <c r="BB1" s="1218"/>
      <c r="BC1" s="1219"/>
      <c r="BD1" s="236" t="s">
        <v>1056</v>
      </c>
    </row>
    <row r="2" spans="1:56" s="223" customFormat="1" ht="44.1" customHeight="1">
      <c r="A2" s="219" t="s">
        <v>691</v>
      </c>
      <c r="B2" s="219" t="s">
        <v>692</v>
      </c>
      <c r="C2" s="219" t="s">
        <v>625</v>
      </c>
      <c r="D2" s="219" t="s">
        <v>802</v>
      </c>
      <c r="E2" s="219" t="s">
        <v>304</v>
      </c>
      <c r="F2" s="219" t="s">
        <v>796</v>
      </c>
      <c r="G2" s="219" t="s">
        <v>806</v>
      </c>
      <c r="H2" s="219" t="s">
        <v>870</v>
      </c>
      <c r="I2" s="513" t="s">
        <v>957</v>
      </c>
      <c r="J2" s="513" t="s">
        <v>963</v>
      </c>
      <c r="K2" s="219" t="s">
        <v>42</v>
      </c>
      <c r="L2" s="219" t="s">
        <v>180</v>
      </c>
      <c r="M2" s="219" t="s">
        <v>800</v>
      </c>
      <c r="N2" s="219" t="s">
        <v>304</v>
      </c>
      <c r="O2" s="219" t="s">
        <v>273</v>
      </c>
      <c r="P2" s="219" t="s">
        <v>274</v>
      </c>
      <c r="Q2" s="219" t="s">
        <v>603</v>
      </c>
      <c r="R2" s="220" t="s">
        <v>606</v>
      </c>
      <c r="S2" s="221" t="s">
        <v>288</v>
      </c>
      <c r="T2" s="220" t="s">
        <v>474</v>
      </c>
      <c r="U2" s="221" t="s">
        <v>289</v>
      </c>
      <c r="V2" s="220" t="s">
        <v>475</v>
      </c>
      <c r="W2" s="221" t="s">
        <v>257</v>
      </c>
      <c r="X2" s="221" t="s">
        <v>269</v>
      </c>
      <c r="Y2" s="220" t="s">
        <v>468</v>
      </c>
      <c r="Z2" s="219" t="s">
        <v>270</v>
      </c>
      <c r="AA2" s="220" t="s">
        <v>469</v>
      </c>
      <c r="AB2" s="219" t="s">
        <v>271</v>
      </c>
      <c r="AC2" s="220" t="s">
        <v>470</v>
      </c>
      <c r="AD2" s="219" t="s">
        <v>272</v>
      </c>
      <c r="AE2" s="220" t="s">
        <v>471</v>
      </c>
      <c r="AF2" s="219" t="s">
        <v>123</v>
      </c>
      <c r="AG2" s="222" t="s">
        <v>388</v>
      </c>
      <c r="AH2" s="219" t="s">
        <v>397</v>
      </c>
      <c r="AI2" s="222" t="s">
        <v>398</v>
      </c>
      <c r="AJ2" s="219" t="s">
        <v>399</v>
      </c>
      <c r="AK2" s="222" t="s">
        <v>400</v>
      </c>
      <c r="AL2" s="219" t="s">
        <v>143</v>
      </c>
      <c r="AM2" s="222" t="s">
        <v>403</v>
      </c>
      <c r="AN2" s="221" t="s">
        <v>406</v>
      </c>
      <c r="AO2" s="221" t="s">
        <v>407</v>
      </c>
      <c r="AP2" s="221" t="s">
        <v>31</v>
      </c>
      <c r="AQ2" s="222" t="s">
        <v>410</v>
      </c>
      <c r="AR2" s="219" t="s">
        <v>32</v>
      </c>
      <c r="AS2" s="222" t="s">
        <v>382</v>
      </c>
      <c r="AT2" s="221" t="s">
        <v>34</v>
      </c>
      <c r="AU2" s="220" t="s">
        <v>412</v>
      </c>
      <c r="AV2" s="221" t="s">
        <v>35</v>
      </c>
      <c r="AW2" s="220" t="s">
        <v>413</v>
      </c>
      <c r="AX2" s="221" t="s">
        <v>215</v>
      </c>
      <c r="AY2" s="220" t="s">
        <v>329</v>
      </c>
      <c r="AZ2" s="237" t="s">
        <v>3</v>
      </c>
      <c r="BA2" s="219" t="s">
        <v>744</v>
      </c>
      <c r="BB2" s="219" t="s">
        <v>736</v>
      </c>
      <c r="BC2" s="219" t="s">
        <v>742</v>
      </c>
      <c r="BD2" s="237" t="s">
        <v>733</v>
      </c>
    </row>
    <row r="3" spans="1:56">
      <c r="B3" s="569"/>
      <c r="C3" s="569"/>
      <c r="E3" s="569"/>
      <c r="F3" s="569"/>
      <c r="G3" s="569"/>
      <c r="H3" s="569"/>
      <c r="I3" s="569"/>
      <c r="J3" s="569"/>
      <c r="AJ3" s="209" t="s">
        <v>285</v>
      </c>
      <c r="AZ3" s="207"/>
      <c r="BD3" s="207"/>
    </row>
    <row r="4" spans="1:56">
      <c r="A4" s="256" t="s">
        <v>184</v>
      </c>
      <c r="B4" s="570" t="s">
        <v>184</v>
      </c>
      <c r="C4" s="570" t="s">
        <v>184</v>
      </c>
      <c r="D4" s="256" t="s">
        <v>184</v>
      </c>
      <c r="E4" s="570" t="s">
        <v>184</v>
      </c>
      <c r="F4" s="570" t="s">
        <v>184</v>
      </c>
      <c r="G4" s="570" t="s">
        <v>184</v>
      </c>
      <c r="H4" s="570" t="s">
        <v>184</v>
      </c>
      <c r="I4" s="570" t="s">
        <v>184</v>
      </c>
      <c r="J4" s="570" t="s">
        <v>184</v>
      </c>
      <c r="K4" s="211" t="s">
        <v>177</v>
      </c>
      <c r="L4" s="211" t="s">
        <v>181</v>
      </c>
      <c r="M4" s="211">
        <v>1000000</v>
      </c>
      <c r="N4" s="211" t="s">
        <v>306</v>
      </c>
      <c r="O4" s="212" t="s">
        <v>184</v>
      </c>
      <c r="P4" s="212" t="s">
        <v>184</v>
      </c>
      <c r="Q4" s="212" t="s">
        <v>184</v>
      </c>
      <c r="R4" s="213"/>
      <c r="S4" s="214" t="s">
        <v>184</v>
      </c>
      <c r="T4" s="213"/>
      <c r="U4" s="214" t="s">
        <v>184</v>
      </c>
      <c r="V4" s="213"/>
      <c r="W4" s="212" t="s">
        <v>184</v>
      </c>
      <c r="X4" s="214" t="s">
        <v>184</v>
      </c>
      <c r="Y4" s="213"/>
      <c r="Z4" s="214" t="s">
        <v>184</v>
      </c>
      <c r="AA4" s="213"/>
      <c r="AB4" s="214" t="s">
        <v>184</v>
      </c>
      <c r="AC4" s="213"/>
      <c r="AD4" s="214" t="s">
        <v>184</v>
      </c>
      <c r="AE4" s="213"/>
      <c r="AF4" s="214" t="s">
        <v>184</v>
      </c>
      <c r="AH4" s="214" t="s">
        <v>184</v>
      </c>
      <c r="AJ4" s="214" t="s">
        <v>184</v>
      </c>
      <c r="AL4" s="214" t="s">
        <v>184</v>
      </c>
      <c r="AN4" s="214" t="s">
        <v>184</v>
      </c>
      <c r="AO4" s="212" t="s">
        <v>184</v>
      </c>
      <c r="AP4" s="214" t="s">
        <v>184</v>
      </c>
      <c r="AR4" s="214" t="s">
        <v>184</v>
      </c>
      <c r="AS4" s="210" t="s">
        <v>382</v>
      </c>
      <c r="AT4" s="214" t="s">
        <v>184</v>
      </c>
      <c r="AV4" s="214" t="s">
        <v>184</v>
      </c>
      <c r="AX4" s="214" t="s">
        <v>184</v>
      </c>
      <c r="AZ4" s="212" t="s">
        <v>184</v>
      </c>
      <c r="BA4" s="570" t="s">
        <v>184</v>
      </c>
      <c r="BB4" s="570" t="s">
        <v>184</v>
      </c>
      <c r="BC4" s="570" t="s">
        <v>184</v>
      </c>
      <c r="BD4" s="672" t="s">
        <v>1057</v>
      </c>
    </row>
    <row r="5" spans="1:56">
      <c r="A5" s="251" t="s">
        <v>693</v>
      </c>
      <c r="B5" s="569" t="s">
        <v>696</v>
      </c>
      <c r="C5" s="569" t="s">
        <v>699</v>
      </c>
      <c r="D5" s="209" t="s">
        <v>174</v>
      </c>
      <c r="E5" s="569" t="s">
        <v>306</v>
      </c>
      <c r="F5" s="569" t="s">
        <v>817</v>
      </c>
      <c r="G5" s="569" t="s">
        <v>814</v>
      </c>
      <c r="H5" s="569" t="s">
        <v>866</v>
      </c>
      <c r="I5" s="569" t="s">
        <v>961</v>
      </c>
      <c r="J5" s="569" t="s">
        <v>801</v>
      </c>
      <c r="K5" s="211" t="s">
        <v>178</v>
      </c>
      <c r="L5" s="211" t="s">
        <v>182</v>
      </c>
      <c r="M5" s="211">
        <v>100000</v>
      </c>
      <c r="N5" s="206" t="s">
        <v>307</v>
      </c>
      <c r="O5" s="207" t="s">
        <v>596</v>
      </c>
      <c r="P5" s="207" t="s">
        <v>185</v>
      </c>
      <c r="Q5" s="207" t="s">
        <v>604</v>
      </c>
      <c r="R5" s="208" t="s">
        <v>605</v>
      </c>
      <c r="S5" s="209" t="s">
        <v>286</v>
      </c>
      <c r="T5" s="208" t="s">
        <v>474</v>
      </c>
      <c r="U5" s="209" t="s">
        <v>286</v>
      </c>
      <c r="V5" s="208" t="s">
        <v>475</v>
      </c>
      <c r="W5" s="207" t="s">
        <v>258</v>
      </c>
      <c r="X5" s="215" t="s">
        <v>616</v>
      </c>
      <c r="Z5" s="209" t="s">
        <v>611</v>
      </c>
      <c r="AB5" s="209" t="s">
        <v>616</v>
      </c>
      <c r="AD5" s="209" t="s">
        <v>192</v>
      </c>
      <c r="AF5" s="209" t="s">
        <v>394</v>
      </c>
      <c r="AG5" s="210" t="s">
        <v>393</v>
      </c>
      <c r="AH5" s="209" t="s">
        <v>216</v>
      </c>
      <c r="AJ5" s="209" t="s">
        <v>409</v>
      </c>
      <c r="AK5" s="210" t="s">
        <v>401</v>
      </c>
      <c r="AL5" s="209" t="s">
        <v>214</v>
      </c>
      <c r="AM5" s="210" t="s">
        <v>403</v>
      </c>
      <c r="AN5" s="209" t="s">
        <v>277</v>
      </c>
      <c r="AO5" s="207" t="s">
        <v>216</v>
      </c>
      <c r="AP5" s="215" t="s">
        <v>578</v>
      </c>
      <c r="AQ5" s="210" t="s">
        <v>410</v>
      </c>
      <c r="AR5" s="215" t="s">
        <v>577</v>
      </c>
      <c r="AS5" s="210" t="s">
        <v>505</v>
      </c>
      <c r="AT5" s="209" t="s">
        <v>575</v>
      </c>
      <c r="AU5" s="210" t="s">
        <v>412</v>
      </c>
      <c r="AV5" s="215" t="s">
        <v>576</v>
      </c>
      <c r="AW5" s="210" t="s">
        <v>413</v>
      </c>
      <c r="AX5" s="209" t="s">
        <v>324</v>
      </c>
      <c r="AY5" s="210" t="s">
        <v>330</v>
      </c>
      <c r="AZ5" s="207" t="s">
        <v>634</v>
      </c>
      <c r="BA5" s="569" t="s">
        <v>760</v>
      </c>
      <c r="BB5" s="569" t="s">
        <v>745</v>
      </c>
      <c r="BC5" s="569" t="s">
        <v>752</v>
      </c>
      <c r="BD5" s="207"/>
    </row>
    <row r="6" spans="1:56">
      <c r="A6" s="251" t="s">
        <v>694</v>
      </c>
      <c r="B6" s="569" t="s">
        <v>698</v>
      </c>
      <c r="C6" s="569" t="s">
        <v>700</v>
      </c>
      <c r="D6" s="209" t="s">
        <v>175</v>
      </c>
      <c r="E6" s="569" t="s">
        <v>312</v>
      </c>
      <c r="F6" s="569" t="s">
        <v>820</v>
      </c>
      <c r="G6" s="569" t="s">
        <v>815</v>
      </c>
      <c r="H6" s="569" t="s">
        <v>867</v>
      </c>
      <c r="I6" s="569" t="s">
        <v>960</v>
      </c>
      <c r="J6" s="569" t="s">
        <v>927</v>
      </c>
      <c r="K6" s="211" t="s">
        <v>179</v>
      </c>
      <c r="L6" s="211" t="s">
        <v>183</v>
      </c>
      <c r="M6" s="211">
        <v>10000</v>
      </c>
      <c r="N6" s="206" t="s">
        <v>308</v>
      </c>
      <c r="O6" s="207" t="s">
        <v>616</v>
      </c>
      <c r="P6" s="207" t="s">
        <v>598</v>
      </c>
      <c r="Q6" s="207" t="s">
        <v>610</v>
      </c>
      <c r="R6" s="208" t="s">
        <v>608</v>
      </c>
      <c r="S6" s="252" t="s">
        <v>675</v>
      </c>
      <c r="T6" s="208" t="s">
        <v>674</v>
      </c>
      <c r="U6" s="209" t="s">
        <v>638</v>
      </c>
      <c r="V6" s="208" t="s">
        <v>639</v>
      </c>
      <c r="W6" s="207" t="s">
        <v>259</v>
      </c>
      <c r="X6" s="215" t="s">
        <v>618</v>
      </c>
      <c r="Z6" s="209" t="s">
        <v>185</v>
      </c>
      <c r="AB6" s="216" t="s">
        <v>618</v>
      </c>
      <c r="AD6" s="209" t="s">
        <v>579</v>
      </c>
      <c r="AF6" s="209" t="s">
        <v>395</v>
      </c>
      <c r="AG6" s="210" t="s">
        <v>393</v>
      </c>
      <c r="AH6" s="209" t="s">
        <v>281</v>
      </c>
      <c r="AJ6" s="209" t="s">
        <v>408</v>
      </c>
      <c r="AK6" s="210" t="s">
        <v>402</v>
      </c>
      <c r="AL6" s="209" t="s">
        <v>212</v>
      </c>
      <c r="AM6" s="210" t="s">
        <v>404</v>
      </c>
      <c r="AN6" s="209" t="s">
        <v>278</v>
      </c>
      <c r="AO6" s="207" t="s">
        <v>284</v>
      </c>
      <c r="AP6" s="215" t="s">
        <v>477</v>
      </c>
      <c r="AQ6" s="210" t="s">
        <v>476</v>
      </c>
      <c r="AR6" s="215" t="s">
        <v>527</v>
      </c>
      <c r="AS6" s="210" t="s">
        <v>505</v>
      </c>
      <c r="AT6" s="215" t="s">
        <v>200</v>
      </c>
      <c r="AU6" s="210" t="s">
        <v>458</v>
      </c>
      <c r="AV6" s="215" t="s">
        <v>414</v>
      </c>
      <c r="AW6" s="210" t="s">
        <v>415</v>
      </c>
      <c r="AX6" s="209" t="s">
        <v>529</v>
      </c>
      <c r="AY6" s="210" t="s">
        <v>331</v>
      </c>
      <c r="AZ6" s="207" t="s">
        <v>636</v>
      </c>
      <c r="BA6" s="569" t="s">
        <v>759</v>
      </c>
      <c r="BB6" s="569" t="s">
        <v>746</v>
      </c>
      <c r="BC6" s="381" t="s">
        <v>753</v>
      </c>
      <c r="BD6" s="207"/>
    </row>
    <row r="7" spans="1:56">
      <c r="A7" s="251" t="s">
        <v>695</v>
      </c>
      <c r="B7" s="569" t="s">
        <v>697</v>
      </c>
      <c r="C7" s="569" t="s">
        <v>701</v>
      </c>
      <c r="D7" s="209" t="s">
        <v>778</v>
      </c>
      <c r="E7" s="569" t="s">
        <v>322</v>
      </c>
      <c r="F7" s="569" t="s">
        <v>819</v>
      </c>
      <c r="G7" s="569" t="s">
        <v>816</v>
      </c>
      <c r="H7" s="569" t="s">
        <v>868</v>
      </c>
      <c r="I7" s="569"/>
      <c r="J7" s="569" t="s">
        <v>928</v>
      </c>
      <c r="K7" s="211" t="s">
        <v>217</v>
      </c>
      <c r="L7" s="211"/>
      <c r="M7" s="211">
        <v>1000</v>
      </c>
      <c r="N7" s="206" t="s">
        <v>309</v>
      </c>
      <c r="O7" s="207" t="s">
        <v>620</v>
      </c>
      <c r="P7" s="207" t="s">
        <v>186</v>
      </c>
      <c r="Q7" s="207" t="s">
        <v>607</v>
      </c>
      <c r="R7" s="208" t="s">
        <v>609</v>
      </c>
      <c r="S7" s="252" t="s">
        <v>676</v>
      </c>
      <c r="T7" s="208" t="s">
        <v>673</v>
      </c>
      <c r="U7" s="209" t="s">
        <v>640</v>
      </c>
      <c r="V7" s="208" t="s">
        <v>642</v>
      </c>
      <c r="W7" s="207" t="s">
        <v>834</v>
      </c>
      <c r="X7" s="215" t="s">
        <v>611</v>
      </c>
      <c r="Z7" s="209" t="s">
        <v>265</v>
      </c>
      <c r="AB7" s="209" t="s">
        <v>611</v>
      </c>
      <c r="AD7" s="209" t="s">
        <v>193</v>
      </c>
      <c r="AF7" s="209" t="s">
        <v>396</v>
      </c>
      <c r="AG7" s="210" t="s">
        <v>393</v>
      </c>
      <c r="AH7" s="209" t="s">
        <v>282</v>
      </c>
      <c r="AL7" s="209" t="s">
        <v>213</v>
      </c>
      <c r="AM7" s="210" t="s">
        <v>405</v>
      </c>
      <c r="AN7" s="209" t="s">
        <v>279</v>
      </c>
      <c r="AO7" s="207" t="s">
        <v>283</v>
      </c>
      <c r="AP7" s="215" t="s">
        <v>478</v>
      </c>
      <c r="AQ7" s="210" t="s">
        <v>349</v>
      </c>
      <c r="AR7" s="215" t="s">
        <v>501</v>
      </c>
      <c r="AS7" s="210" t="s">
        <v>368</v>
      </c>
      <c r="AT7" s="215" t="s">
        <v>201</v>
      </c>
      <c r="AU7" s="210" t="s">
        <v>459</v>
      </c>
      <c r="AV7" s="215" t="s">
        <v>533</v>
      </c>
      <c r="AW7" s="210" t="s">
        <v>426</v>
      </c>
      <c r="AX7" s="209" t="s">
        <v>530</v>
      </c>
      <c r="AY7" s="210" t="s">
        <v>332</v>
      </c>
      <c r="AZ7" s="207" t="s">
        <v>637</v>
      </c>
      <c r="BA7" s="381" t="s">
        <v>323</v>
      </c>
      <c r="BB7" s="569" t="s">
        <v>747</v>
      </c>
      <c r="BC7" s="381" t="s">
        <v>754</v>
      </c>
      <c r="BD7" s="207"/>
    </row>
    <row r="8" spans="1:56">
      <c r="A8" s="251" t="s">
        <v>323</v>
      </c>
      <c r="B8" s="569" t="s">
        <v>323</v>
      </c>
      <c r="C8" s="569" t="s">
        <v>702</v>
      </c>
      <c r="E8" s="569"/>
      <c r="F8" s="569" t="s">
        <v>818</v>
      </c>
      <c r="G8" s="569"/>
      <c r="H8" s="569" t="s">
        <v>869</v>
      </c>
      <c r="I8" s="569"/>
      <c r="J8" s="569" t="s">
        <v>929</v>
      </c>
      <c r="M8" s="206">
        <v>100</v>
      </c>
      <c r="N8" s="206" t="s">
        <v>310</v>
      </c>
      <c r="O8" s="207" t="s">
        <v>618</v>
      </c>
      <c r="P8" s="207" t="s">
        <v>599</v>
      </c>
      <c r="Q8" s="207" t="s">
        <v>323</v>
      </c>
      <c r="S8" s="252" t="s">
        <v>677</v>
      </c>
      <c r="T8" s="208" t="s">
        <v>670</v>
      </c>
      <c r="U8" s="209" t="s">
        <v>641</v>
      </c>
      <c r="V8" s="208" t="s">
        <v>643</v>
      </c>
      <c r="W8" s="207" t="s">
        <v>260</v>
      </c>
      <c r="X8" s="215" t="s">
        <v>191</v>
      </c>
      <c r="Z8" s="209" t="s">
        <v>266</v>
      </c>
      <c r="AB8" s="209" t="s">
        <v>191</v>
      </c>
      <c r="AD8" s="209" t="s">
        <v>185</v>
      </c>
      <c r="AF8" s="209" t="s">
        <v>389</v>
      </c>
      <c r="AG8" s="210" t="s">
        <v>390</v>
      </c>
      <c r="AH8" s="217" t="s">
        <v>323</v>
      </c>
      <c r="AN8" s="209" t="s">
        <v>280</v>
      </c>
      <c r="AO8" s="207" t="s">
        <v>279</v>
      </c>
      <c r="AP8" s="215" t="s">
        <v>479</v>
      </c>
      <c r="AQ8" s="210" t="s">
        <v>349</v>
      </c>
      <c r="AR8" s="215" t="s">
        <v>502</v>
      </c>
      <c r="AS8" s="210" t="s">
        <v>369</v>
      </c>
      <c r="AT8" s="215" t="s">
        <v>202</v>
      </c>
      <c r="AU8" s="210" t="s">
        <v>460</v>
      </c>
      <c r="AV8" s="215" t="s">
        <v>534</v>
      </c>
      <c r="AW8" s="210" t="s">
        <v>427</v>
      </c>
      <c r="AX8" s="209" t="s">
        <v>531</v>
      </c>
      <c r="AY8" s="210" t="s">
        <v>333</v>
      </c>
      <c r="AZ8" s="207" t="s">
        <v>635</v>
      </c>
      <c r="BA8" s="381"/>
      <c r="BB8" s="569" t="s">
        <v>748</v>
      </c>
      <c r="BC8" s="381" t="s">
        <v>755</v>
      </c>
      <c r="BD8" s="207"/>
    </row>
    <row r="9" spans="1:56">
      <c r="B9" s="569"/>
      <c r="C9" s="569" t="s">
        <v>716</v>
      </c>
      <c r="E9" s="569"/>
      <c r="F9" s="569"/>
      <c r="G9" s="569"/>
      <c r="H9" s="569"/>
      <c r="I9" s="569"/>
      <c r="J9" s="569" t="s">
        <v>930</v>
      </c>
      <c r="M9" s="206">
        <v>10</v>
      </c>
      <c r="N9" s="206" t="s">
        <v>311</v>
      </c>
      <c r="O9" s="207" t="s">
        <v>619</v>
      </c>
      <c r="P9" s="207" t="s">
        <v>187</v>
      </c>
      <c r="S9" s="252" t="s">
        <v>678</v>
      </c>
      <c r="T9" s="208" t="s">
        <v>679</v>
      </c>
      <c r="U9" s="252" t="s">
        <v>648</v>
      </c>
      <c r="V9" s="208" t="s">
        <v>655</v>
      </c>
      <c r="X9" s="215" t="s">
        <v>194</v>
      </c>
      <c r="Z9" s="209" t="s">
        <v>267</v>
      </c>
      <c r="AB9" s="209" t="s">
        <v>194</v>
      </c>
      <c r="AD9" s="209" t="s">
        <v>265</v>
      </c>
      <c r="AF9" s="209" t="s">
        <v>391</v>
      </c>
      <c r="AG9" s="210" t="s">
        <v>392</v>
      </c>
      <c r="AN9" s="209" t="s">
        <v>323</v>
      </c>
      <c r="AO9" s="207" t="s">
        <v>323</v>
      </c>
      <c r="AP9" s="215" t="s">
        <v>483</v>
      </c>
      <c r="AQ9" s="210" t="s">
        <v>350</v>
      </c>
      <c r="AR9" s="215" t="s">
        <v>503</v>
      </c>
      <c r="AS9" s="210" t="s">
        <v>370</v>
      </c>
      <c r="AT9" s="215" t="s">
        <v>203</v>
      </c>
      <c r="AU9" s="210" t="s">
        <v>461</v>
      </c>
      <c r="AV9" s="215" t="s">
        <v>535</v>
      </c>
      <c r="AW9" s="210" t="s">
        <v>428</v>
      </c>
      <c r="AX9" s="209" t="s">
        <v>532</v>
      </c>
      <c r="AY9" s="210" t="s">
        <v>334</v>
      </c>
      <c r="AZ9" s="207" t="s">
        <v>323</v>
      </c>
      <c r="BA9" s="381"/>
      <c r="BB9" s="381" t="s">
        <v>749</v>
      </c>
      <c r="BC9" s="381" t="s">
        <v>756</v>
      </c>
      <c r="BD9" s="207"/>
    </row>
    <row r="10" spans="1:56">
      <c r="B10" s="569"/>
      <c r="C10" s="569" t="s">
        <v>717</v>
      </c>
      <c r="E10" s="569"/>
      <c r="F10" s="569"/>
      <c r="G10" s="569"/>
      <c r="H10" s="569"/>
      <c r="I10" s="569"/>
      <c r="J10" s="569" t="s">
        <v>323</v>
      </c>
      <c r="M10" s="206">
        <v>1</v>
      </c>
      <c r="N10" s="206" t="s">
        <v>312</v>
      </c>
      <c r="O10" s="207" t="s">
        <v>191</v>
      </c>
      <c r="P10" s="207" t="s">
        <v>600</v>
      </c>
      <c r="S10" s="252" t="s">
        <v>686</v>
      </c>
      <c r="T10" s="208" t="s">
        <v>472</v>
      </c>
      <c r="U10" s="252" t="s">
        <v>649</v>
      </c>
      <c r="V10" s="208" t="s">
        <v>656</v>
      </c>
      <c r="X10" s="216" t="s">
        <v>595</v>
      </c>
      <c r="Z10" s="209" t="s">
        <v>275</v>
      </c>
      <c r="AB10" s="216" t="s">
        <v>595</v>
      </c>
      <c r="AD10" s="209" t="s">
        <v>266</v>
      </c>
      <c r="AP10" s="216" t="s">
        <v>484</v>
      </c>
      <c r="AQ10" s="210" t="s">
        <v>360</v>
      </c>
      <c r="AR10" s="215" t="s">
        <v>514</v>
      </c>
      <c r="AS10" s="210" t="s">
        <v>504</v>
      </c>
      <c r="AT10" s="215" t="s">
        <v>204</v>
      </c>
      <c r="AU10" s="210" t="s">
        <v>462</v>
      </c>
      <c r="AV10" s="215" t="s">
        <v>536</v>
      </c>
      <c r="AW10" s="210" t="s">
        <v>430</v>
      </c>
      <c r="AX10" s="209" t="s">
        <v>325</v>
      </c>
      <c r="AY10" s="210" t="s">
        <v>335</v>
      </c>
      <c r="AZ10" s="207"/>
      <c r="BA10" s="381"/>
      <c r="BB10" s="381" t="s">
        <v>750</v>
      </c>
      <c r="BC10" s="381" t="s">
        <v>323</v>
      </c>
      <c r="BD10" s="207"/>
    </row>
    <row r="11" spans="1:56">
      <c r="B11" s="569"/>
      <c r="C11" s="569" t="s">
        <v>703</v>
      </c>
      <c r="E11" s="569"/>
      <c r="F11" s="569"/>
      <c r="G11" s="569"/>
      <c r="H11" s="569"/>
      <c r="I11" s="569"/>
      <c r="J11" s="569"/>
      <c r="M11" s="206">
        <v>0.1</v>
      </c>
      <c r="N11" s="206" t="s">
        <v>313</v>
      </c>
      <c r="O11" s="207" t="s">
        <v>580</v>
      </c>
      <c r="P11" s="207" t="s">
        <v>188</v>
      </c>
      <c r="S11" s="252" t="s">
        <v>681</v>
      </c>
      <c r="T11" s="208" t="s">
        <v>680</v>
      </c>
      <c r="U11" s="252" t="s">
        <v>650</v>
      </c>
      <c r="V11" s="208" t="s">
        <v>657</v>
      </c>
      <c r="X11" s="215" t="s">
        <v>617</v>
      </c>
      <c r="Z11" s="209" t="s">
        <v>276</v>
      </c>
      <c r="AB11" s="209" t="s">
        <v>617</v>
      </c>
      <c r="AD11" s="209" t="s">
        <v>267</v>
      </c>
      <c r="AP11" s="215" t="s">
        <v>480</v>
      </c>
      <c r="AQ11" s="210" t="s">
        <v>481</v>
      </c>
      <c r="AR11" s="215" t="s">
        <v>522</v>
      </c>
      <c r="AS11" s="210" t="s">
        <v>371</v>
      </c>
      <c r="AT11" s="215" t="s">
        <v>205</v>
      </c>
      <c r="AU11" s="210" t="s">
        <v>463</v>
      </c>
      <c r="AV11" s="215" t="s">
        <v>537</v>
      </c>
      <c r="AW11" s="210" t="s">
        <v>429</v>
      </c>
      <c r="AX11" s="209" t="s">
        <v>326</v>
      </c>
      <c r="AY11" s="210" t="s">
        <v>336</v>
      </c>
      <c r="AZ11" s="207"/>
      <c r="BA11" s="381"/>
      <c r="BB11" s="381" t="s">
        <v>751</v>
      </c>
      <c r="BC11" s="381"/>
      <c r="BD11" s="207"/>
    </row>
    <row r="12" spans="1:56">
      <c r="B12" s="569"/>
      <c r="C12" s="569" t="s">
        <v>712</v>
      </c>
      <c r="E12" s="569"/>
      <c r="F12" s="569"/>
      <c r="G12" s="569"/>
      <c r="H12" s="569"/>
      <c r="I12" s="569"/>
      <c r="J12" s="569"/>
      <c r="M12" s="206">
        <v>0.01</v>
      </c>
      <c r="N12" s="206" t="s">
        <v>314</v>
      </c>
      <c r="O12" s="207" t="s">
        <v>595</v>
      </c>
      <c r="P12" s="207" t="s">
        <v>601</v>
      </c>
      <c r="S12" s="252" t="s">
        <v>682</v>
      </c>
      <c r="T12" s="208" t="s">
        <v>672</v>
      </c>
      <c r="U12" s="252" t="s">
        <v>651</v>
      </c>
      <c r="V12" s="208" t="s">
        <v>658</v>
      </c>
      <c r="X12" s="215" t="s">
        <v>615</v>
      </c>
      <c r="Z12" s="215" t="s">
        <v>622</v>
      </c>
      <c r="AB12" s="209" t="s">
        <v>615</v>
      </c>
      <c r="AD12" s="209" t="s">
        <v>275</v>
      </c>
      <c r="AP12" s="215" t="s">
        <v>482</v>
      </c>
      <c r="AQ12" s="210" t="s">
        <v>351</v>
      </c>
      <c r="AR12" s="215" t="s">
        <v>523</v>
      </c>
      <c r="AS12" s="210" t="s">
        <v>372</v>
      </c>
      <c r="AT12" s="215" t="s">
        <v>206</v>
      </c>
      <c r="AU12" s="210" t="s">
        <v>464</v>
      </c>
      <c r="AV12" s="215" t="s">
        <v>538</v>
      </c>
      <c r="AW12" s="210" t="s">
        <v>431</v>
      </c>
      <c r="AX12" s="209" t="s">
        <v>327</v>
      </c>
      <c r="AY12" s="210" t="s">
        <v>337</v>
      </c>
      <c r="AZ12" s="207"/>
      <c r="BA12" s="381"/>
      <c r="BB12" s="381" t="s">
        <v>323</v>
      </c>
      <c r="BC12" s="381"/>
      <c r="BD12" s="207"/>
    </row>
    <row r="13" spans="1:56">
      <c r="B13" s="569"/>
      <c r="C13" s="569" t="s">
        <v>713</v>
      </c>
      <c r="E13" s="569"/>
      <c r="F13" s="569"/>
      <c r="G13" s="569"/>
      <c r="H13" s="569"/>
      <c r="I13" s="569"/>
      <c r="J13" s="569"/>
      <c r="M13" s="206">
        <v>1E-3</v>
      </c>
      <c r="N13" s="206" t="s">
        <v>315</v>
      </c>
      <c r="O13" s="207" t="s">
        <v>614</v>
      </c>
      <c r="P13" s="207" t="s">
        <v>323</v>
      </c>
      <c r="S13" s="252" t="s">
        <v>677</v>
      </c>
      <c r="T13" s="208" t="s">
        <v>671</v>
      </c>
      <c r="U13" s="252" t="s">
        <v>652</v>
      </c>
      <c r="V13" s="208" t="s">
        <v>659</v>
      </c>
      <c r="X13" s="215" t="s">
        <v>195</v>
      </c>
      <c r="Z13" s="216" t="s">
        <v>323</v>
      </c>
      <c r="AB13" s="209" t="s">
        <v>195</v>
      </c>
      <c r="AD13" s="209" t="s">
        <v>276</v>
      </c>
      <c r="AP13" s="215" t="s">
        <v>485</v>
      </c>
      <c r="AQ13" s="210" t="s">
        <v>352</v>
      </c>
      <c r="AR13" s="215" t="s">
        <v>524</v>
      </c>
      <c r="AS13" s="210" t="s">
        <v>373</v>
      </c>
      <c r="AT13" s="215" t="s">
        <v>207</v>
      </c>
      <c r="AU13" s="210" t="s">
        <v>465</v>
      </c>
      <c r="AV13" s="215" t="s">
        <v>421</v>
      </c>
      <c r="AW13" s="210" t="s">
        <v>416</v>
      </c>
      <c r="AX13" s="209" t="s">
        <v>219</v>
      </c>
      <c r="AY13" s="210" t="s">
        <v>338</v>
      </c>
      <c r="AZ13" s="207"/>
      <c r="BD13" s="207"/>
    </row>
    <row r="14" spans="1:56">
      <c r="B14" s="569"/>
      <c r="C14" s="569" t="s">
        <v>714</v>
      </c>
      <c r="E14" s="569"/>
      <c r="F14" s="569"/>
      <c r="G14" s="569"/>
      <c r="H14" s="569"/>
      <c r="I14" s="569"/>
      <c r="J14" s="569"/>
      <c r="M14" s="206">
        <v>1E-4</v>
      </c>
      <c r="N14" s="206" t="s">
        <v>316</v>
      </c>
      <c r="O14" s="207" t="s">
        <v>615</v>
      </c>
      <c r="S14" s="252" t="s">
        <v>678</v>
      </c>
      <c r="T14" s="208" t="s">
        <v>683</v>
      </c>
      <c r="U14" s="252" t="s">
        <v>653</v>
      </c>
      <c r="V14" s="208" t="s">
        <v>654</v>
      </c>
      <c r="X14" s="215" t="s">
        <v>613</v>
      </c>
      <c r="AB14" s="209" t="s">
        <v>613</v>
      </c>
      <c r="AD14" s="215" t="s">
        <v>622</v>
      </c>
      <c r="AP14" s="215" t="s">
        <v>492</v>
      </c>
      <c r="AQ14" s="210" t="s">
        <v>353</v>
      </c>
      <c r="AR14" s="215" t="s">
        <v>525</v>
      </c>
      <c r="AS14" s="210" t="s">
        <v>374</v>
      </c>
      <c r="AT14" s="215" t="s">
        <v>208</v>
      </c>
      <c r="AU14" s="210" t="s">
        <v>466</v>
      </c>
      <c r="AV14" s="215" t="s">
        <v>539</v>
      </c>
      <c r="AW14" s="210" t="s">
        <v>432</v>
      </c>
      <c r="AX14" s="209" t="s">
        <v>220</v>
      </c>
      <c r="AY14" s="210" t="s">
        <v>339</v>
      </c>
      <c r="AZ14" s="207"/>
      <c r="BD14" s="207"/>
    </row>
    <row r="15" spans="1:56">
      <c r="B15" s="569"/>
      <c r="C15" s="569" t="s">
        <v>715</v>
      </c>
      <c r="E15" s="569"/>
      <c r="F15" s="569"/>
      <c r="G15" s="569"/>
      <c r="H15" s="569"/>
      <c r="I15" s="569"/>
      <c r="J15" s="569"/>
      <c r="M15" s="206">
        <v>1.0000000000000001E-5</v>
      </c>
      <c r="N15" s="206" t="s">
        <v>317</v>
      </c>
      <c r="O15" s="207" t="s">
        <v>594</v>
      </c>
      <c r="S15" s="252" t="s">
        <v>287</v>
      </c>
      <c r="T15" s="208" t="s">
        <v>473</v>
      </c>
      <c r="U15" s="209" t="s">
        <v>644</v>
      </c>
      <c r="V15" s="208" t="s">
        <v>647</v>
      </c>
      <c r="X15" s="215" t="s">
        <v>268</v>
      </c>
      <c r="AB15" s="209" t="s">
        <v>268</v>
      </c>
      <c r="AD15" s="216" t="s">
        <v>323</v>
      </c>
      <c r="AP15" s="215" t="s">
        <v>493</v>
      </c>
      <c r="AQ15" s="210" t="s">
        <v>354</v>
      </c>
      <c r="AR15" s="215" t="s">
        <v>528</v>
      </c>
      <c r="AS15" s="210" t="s">
        <v>506</v>
      </c>
      <c r="AT15" s="215" t="s">
        <v>323</v>
      </c>
      <c r="AU15" s="210" t="s">
        <v>467</v>
      </c>
      <c r="AV15" s="215" t="s">
        <v>540</v>
      </c>
      <c r="AW15" s="210" t="s">
        <v>433</v>
      </c>
      <c r="AX15" s="209" t="s">
        <v>328</v>
      </c>
      <c r="AY15" s="210" t="s">
        <v>340</v>
      </c>
      <c r="AZ15" s="207"/>
      <c r="BD15" s="207"/>
    </row>
    <row r="16" spans="1:56">
      <c r="B16" s="569"/>
      <c r="C16" s="569" t="s">
        <v>704</v>
      </c>
      <c r="E16" s="569"/>
      <c r="F16" s="569"/>
      <c r="G16" s="569"/>
      <c r="H16" s="569"/>
      <c r="I16" s="569"/>
      <c r="J16" s="569"/>
      <c r="M16" s="206">
        <v>9.9999999999999995E-7</v>
      </c>
      <c r="N16" s="206" t="s">
        <v>318</v>
      </c>
      <c r="O16" s="207" t="s">
        <v>593</v>
      </c>
      <c r="S16" s="252" t="s">
        <v>685</v>
      </c>
      <c r="T16" s="208" t="s">
        <v>684</v>
      </c>
      <c r="U16" s="209" t="s">
        <v>640</v>
      </c>
      <c r="V16" s="208" t="s">
        <v>645</v>
      </c>
      <c r="X16" s="215" t="s">
        <v>196</v>
      </c>
      <c r="AB16" s="209" t="s">
        <v>196</v>
      </c>
      <c r="AP16" s="215" t="s">
        <v>494</v>
      </c>
      <c r="AQ16" s="210" t="s">
        <v>355</v>
      </c>
      <c r="AR16" s="215" t="s">
        <v>515</v>
      </c>
      <c r="AS16" s="210" t="s">
        <v>377</v>
      </c>
      <c r="AT16" s="215"/>
      <c r="AV16" s="215" t="s">
        <v>541</v>
      </c>
      <c r="AW16" s="210" t="s">
        <v>434</v>
      </c>
      <c r="AX16" s="216" t="s">
        <v>569</v>
      </c>
      <c r="AY16" s="210" t="s">
        <v>341</v>
      </c>
      <c r="AZ16" s="207"/>
      <c r="BD16" s="207"/>
    </row>
    <row r="17" spans="2:56">
      <c r="B17" s="569"/>
      <c r="C17" s="569" t="s">
        <v>705</v>
      </c>
      <c r="E17" s="569"/>
      <c r="F17" s="569"/>
      <c r="G17" s="569"/>
      <c r="H17" s="569"/>
      <c r="I17" s="569"/>
      <c r="J17" s="569"/>
      <c r="M17" s="206">
        <v>9.9999999999999995E-8</v>
      </c>
      <c r="N17" s="206" t="s">
        <v>319</v>
      </c>
      <c r="O17" s="207" t="s">
        <v>592</v>
      </c>
      <c r="S17" s="207" t="s">
        <v>323</v>
      </c>
      <c r="U17" s="209" t="s">
        <v>641</v>
      </c>
      <c r="V17" s="208" t="s">
        <v>646</v>
      </c>
      <c r="X17" s="215" t="s">
        <v>197</v>
      </c>
      <c r="AB17" s="209" t="s">
        <v>197</v>
      </c>
      <c r="AP17" s="215" t="s">
        <v>495</v>
      </c>
      <c r="AQ17" s="210" t="s">
        <v>356</v>
      </c>
      <c r="AR17" s="215" t="s">
        <v>516</v>
      </c>
      <c r="AS17" s="210" t="s">
        <v>376</v>
      </c>
      <c r="AT17" s="215"/>
      <c r="AV17" s="215" t="s">
        <v>542</v>
      </c>
      <c r="AW17" s="210" t="s">
        <v>436</v>
      </c>
      <c r="AX17" s="216" t="s">
        <v>570</v>
      </c>
      <c r="AY17" s="210" t="s">
        <v>342</v>
      </c>
      <c r="AZ17" s="207"/>
      <c r="BD17" s="207"/>
    </row>
    <row r="18" spans="2:56">
      <c r="B18" s="569"/>
      <c r="C18" s="569" t="s">
        <v>706</v>
      </c>
      <c r="E18" s="569"/>
      <c r="F18" s="569"/>
      <c r="G18" s="569"/>
      <c r="H18" s="569"/>
      <c r="I18" s="569"/>
      <c r="J18" s="569"/>
      <c r="M18" s="207" t="s">
        <v>323</v>
      </c>
      <c r="N18" s="206" t="s">
        <v>320</v>
      </c>
      <c r="O18" s="207" t="s">
        <v>597</v>
      </c>
      <c r="U18" s="252" t="s">
        <v>648</v>
      </c>
      <c r="V18" s="208" t="s">
        <v>660</v>
      </c>
      <c r="X18" s="215" t="s">
        <v>612</v>
      </c>
      <c r="AB18" s="209" t="s">
        <v>612</v>
      </c>
      <c r="AP18" s="215" t="s">
        <v>496</v>
      </c>
      <c r="AQ18" s="210" t="s">
        <v>357</v>
      </c>
      <c r="AR18" s="215" t="s">
        <v>517</v>
      </c>
      <c r="AS18" s="210" t="s">
        <v>375</v>
      </c>
      <c r="AT18" s="215"/>
      <c r="AV18" s="215" t="s">
        <v>543</v>
      </c>
      <c r="AW18" s="210" t="s">
        <v>435</v>
      </c>
      <c r="AX18" s="216" t="s">
        <v>571</v>
      </c>
      <c r="AY18" s="210" t="s">
        <v>343</v>
      </c>
      <c r="AZ18" s="207"/>
      <c r="BD18" s="207"/>
    </row>
    <row r="19" spans="2:56">
      <c r="B19" s="569"/>
      <c r="C19" s="569" t="s">
        <v>707</v>
      </c>
      <c r="E19" s="569"/>
      <c r="F19" s="569"/>
      <c r="G19" s="569"/>
      <c r="H19" s="569"/>
      <c r="I19" s="569"/>
      <c r="J19" s="569"/>
      <c r="N19" s="206" t="s">
        <v>321</v>
      </c>
      <c r="O19" s="207" t="s">
        <v>222</v>
      </c>
      <c r="S19" s="252"/>
      <c r="U19" s="252" t="s">
        <v>666</v>
      </c>
      <c r="V19" s="208" t="s">
        <v>661</v>
      </c>
      <c r="X19" s="215" t="s">
        <v>198</v>
      </c>
      <c r="AB19" s="209" t="s">
        <v>198</v>
      </c>
      <c r="AP19" s="215" t="s">
        <v>497</v>
      </c>
      <c r="AQ19" s="210" t="s">
        <v>358</v>
      </c>
      <c r="AR19" s="215" t="s">
        <v>518</v>
      </c>
      <c r="AS19" s="210" t="s">
        <v>378</v>
      </c>
      <c r="AT19" s="215"/>
      <c r="AV19" s="215" t="s">
        <v>544</v>
      </c>
      <c r="AW19" s="210" t="s">
        <v>437</v>
      </c>
      <c r="AX19" s="216" t="s">
        <v>572</v>
      </c>
      <c r="AY19" s="210" t="s">
        <v>344</v>
      </c>
      <c r="AZ19" s="207"/>
      <c r="BD19" s="207"/>
    </row>
    <row r="20" spans="2:56">
      <c r="B20" s="569"/>
      <c r="C20" s="569" t="s">
        <v>708</v>
      </c>
      <c r="E20" s="569"/>
      <c r="F20" s="569"/>
      <c r="G20" s="569"/>
      <c r="H20" s="569"/>
      <c r="I20" s="569"/>
      <c r="J20" s="569"/>
      <c r="N20" s="206" t="s">
        <v>322</v>
      </c>
      <c r="O20" s="207" t="s">
        <v>223</v>
      </c>
      <c r="S20" s="252"/>
      <c r="U20" s="252" t="s">
        <v>667</v>
      </c>
      <c r="V20" s="208" t="s">
        <v>662</v>
      </c>
      <c r="X20" s="215" t="s">
        <v>185</v>
      </c>
      <c r="AB20" s="209" t="s">
        <v>185</v>
      </c>
      <c r="AP20" s="215" t="s">
        <v>498</v>
      </c>
      <c r="AQ20" s="210" t="s">
        <v>359</v>
      </c>
      <c r="AR20" s="215" t="s">
        <v>519</v>
      </c>
      <c r="AS20" s="210" t="s">
        <v>379</v>
      </c>
      <c r="AT20" s="215"/>
      <c r="AV20" s="215" t="s">
        <v>422</v>
      </c>
      <c r="AW20" s="210" t="s">
        <v>417</v>
      </c>
      <c r="AX20" s="216" t="s">
        <v>573</v>
      </c>
      <c r="AY20" s="210" t="s">
        <v>345</v>
      </c>
      <c r="AZ20" s="207"/>
      <c r="BD20" s="207"/>
    </row>
    <row r="21" spans="2:56">
      <c r="B21" s="569"/>
      <c r="C21" s="569" t="s">
        <v>709</v>
      </c>
      <c r="E21" s="569"/>
      <c r="F21" s="569"/>
      <c r="G21" s="569"/>
      <c r="H21" s="569"/>
      <c r="I21" s="569"/>
      <c r="J21" s="569"/>
      <c r="O21" s="207" t="s">
        <v>221</v>
      </c>
      <c r="S21" s="252"/>
      <c r="U21" s="252" t="s">
        <v>668</v>
      </c>
      <c r="V21" s="208" t="s">
        <v>663</v>
      </c>
      <c r="X21" s="215" t="s">
        <v>265</v>
      </c>
      <c r="AB21" s="209" t="s">
        <v>265</v>
      </c>
      <c r="AP21" s="215" t="s">
        <v>486</v>
      </c>
      <c r="AQ21" s="210" t="s">
        <v>487</v>
      </c>
      <c r="AR21" s="215" t="s">
        <v>520</v>
      </c>
      <c r="AS21" s="210" t="s">
        <v>380</v>
      </c>
      <c r="AT21" s="215"/>
      <c r="AV21" s="215" t="s">
        <v>545</v>
      </c>
      <c r="AW21" s="210" t="s">
        <v>438</v>
      </c>
      <c r="AX21" s="216" t="s">
        <v>574</v>
      </c>
      <c r="AY21" s="210" t="s">
        <v>346</v>
      </c>
      <c r="AZ21" s="207"/>
      <c r="BD21" s="207"/>
    </row>
    <row r="22" spans="2:56">
      <c r="B22" s="569"/>
      <c r="C22" s="569" t="s">
        <v>710</v>
      </c>
      <c r="E22" s="569"/>
      <c r="F22" s="569"/>
      <c r="G22" s="569"/>
      <c r="H22" s="569"/>
      <c r="I22" s="569"/>
      <c r="J22" s="569"/>
      <c r="O22" s="207" t="s">
        <v>602</v>
      </c>
      <c r="S22" s="252"/>
      <c r="U22" s="252" t="s">
        <v>669</v>
      </c>
      <c r="V22" s="208" t="s">
        <v>664</v>
      </c>
      <c r="X22" s="215" t="s">
        <v>266</v>
      </c>
      <c r="AB22" s="209" t="s">
        <v>266</v>
      </c>
      <c r="AP22" s="215" t="s">
        <v>488</v>
      </c>
      <c r="AQ22" s="210" t="s">
        <v>362</v>
      </c>
      <c r="AR22" s="215" t="s">
        <v>521</v>
      </c>
      <c r="AS22" s="210" t="s">
        <v>381</v>
      </c>
      <c r="AT22" s="215"/>
      <c r="AV22" s="215" t="s">
        <v>546</v>
      </c>
      <c r="AW22" s="210" t="s">
        <v>439</v>
      </c>
      <c r="AX22" s="209" t="s">
        <v>218</v>
      </c>
      <c r="AY22" s="210" t="s">
        <v>347</v>
      </c>
      <c r="AZ22" s="207"/>
      <c r="BD22" s="207"/>
    </row>
    <row r="23" spans="2:56">
      <c r="B23" s="569"/>
      <c r="C23" s="569" t="s">
        <v>711</v>
      </c>
      <c r="E23" s="569"/>
      <c r="F23" s="569"/>
      <c r="G23" s="569"/>
      <c r="H23" s="569"/>
      <c r="I23" s="569"/>
      <c r="J23" s="569"/>
      <c r="O23" s="207" t="s">
        <v>591</v>
      </c>
      <c r="S23" s="252"/>
      <c r="U23" s="207" t="s">
        <v>323</v>
      </c>
      <c r="V23" s="208" t="s">
        <v>665</v>
      </c>
      <c r="X23" s="215" t="s">
        <v>267</v>
      </c>
      <c r="AB23" s="209" t="s">
        <v>267</v>
      </c>
      <c r="AP23" s="215" t="s">
        <v>489</v>
      </c>
      <c r="AQ23" s="210" t="s">
        <v>363</v>
      </c>
      <c r="AR23" s="215" t="s">
        <v>526</v>
      </c>
      <c r="AS23" s="210" t="s">
        <v>507</v>
      </c>
      <c r="AT23" s="215"/>
      <c r="AV23" s="215" t="s">
        <v>547</v>
      </c>
      <c r="AW23" s="210" t="s">
        <v>440</v>
      </c>
      <c r="AX23" s="209" t="s">
        <v>323</v>
      </c>
      <c r="AY23" s="210" t="s">
        <v>348</v>
      </c>
      <c r="AZ23" s="207"/>
      <c r="BD23" s="207"/>
    </row>
    <row r="24" spans="2:56">
      <c r="B24" s="569"/>
      <c r="C24" s="569"/>
      <c r="E24" s="569"/>
      <c r="F24" s="569"/>
      <c r="G24" s="569"/>
      <c r="H24" s="569"/>
      <c r="I24" s="569"/>
      <c r="J24" s="569"/>
      <c r="O24" s="207" t="s">
        <v>589</v>
      </c>
      <c r="S24" s="252"/>
      <c r="X24" s="215" t="s">
        <v>275</v>
      </c>
      <c r="AB24" s="209" t="s">
        <v>275</v>
      </c>
      <c r="AP24" s="215" t="s">
        <v>490</v>
      </c>
      <c r="AQ24" s="210" t="s">
        <v>364</v>
      </c>
      <c r="AR24" s="215" t="s">
        <v>513</v>
      </c>
      <c r="AS24" s="210" t="s">
        <v>383</v>
      </c>
      <c r="AT24" s="215"/>
      <c r="AV24" s="215" t="s">
        <v>548</v>
      </c>
      <c r="AW24" s="210" t="s">
        <v>441</v>
      </c>
      <c r="AZ24" s="207"/>
      <c r="BD24" s="207"/>
    </row>
    <row r="25" spans="2:56">
      <c r="B25" s="569"/>
      <c r="C25" s="569"/>
      <c r="E25" s="569"/>
      <c r="F25" s="569"/>
      <c r="G25" s="569"/>
      <c r="H25" s="569"/>
      <c r="I25" s="569"/>
      <c r="J25" s="569"/>
      <c r="O25" s="207" t="s">
        <v>590</v>
      </c>
      <c r="S25" s="252"/>
      <c r="X25" s="215" t="s">
        <v>276</v>
      </c>
      <c r="AB25" s="209" t="s">
        <v>276</v>
      </c>
      <c r="AP25" s="215" t="s">
        <v>491</v>
      </c>
      <c r="AQ25" s="210" t="s">
        <v>365</v>
      </c>
      <c r="AR25" s="215" t="s">
        <v>512</v>
      </c>
      <c r="AS25" s="210" t="s">
        <v>384</v>
      </c>
      <c r="AT25" s="215"/>
      <c r="AV25" s="215" t="s">
        <v>549</v>
      </c>
      <c r="AW25" s="210" t="s">
        <v>442</v>
      </c>
      <c r="AZ25" s="207"/>
      <c r="BD25" s="207"/>
    </row>
    <row r="26" spans="2:56">
      <c r="B26" s="569"/>
      <c r="C26" s="569"/>
      <c r="E26" s="569"/>
      <c r="F26" s="569"/>
      <c r="G26" s="569"/>
      <c r="H26" s="569"/>
      <c r="I26" s="569"/>
      <c r="J26" s="569"/>
      <c r="O26" s="207" t="s">
        <v>581</v>
      </c>
      <c r="S26" s="252"/>
      <c r="X26" s="215" t="s">
        <v>622</v>
      </c>
      <c r="AB26" s="215" t="s">
        <v>622</v>
      </c>
      <c r="AP26" s="215" t="s">
        <v>499</v>
      </c>
      <c r="AQ26" s="210" t="s">
        <v>366</v>
      </c>
      <c r="AR26" s="215" t="s">
        <v>511</v>
      </c>
      <c r="AS26" s="210" t="s">
        <v>385</v>
      </c>
      <c r="AT26" s="215"/>
      <c r="AV26" s="215" t="s">
        <v>550</v>
      </c>
      <c r="AW26" s="210" t="s">
        <v>443</v>
      </c>
      <c r="AZ26" s="207"/>
      <c r="BD26" s="207"/>
    </row>
    <row r="27" spans="2:56">
      <c r="B27" s="569"/>
      <c r="C27" s="569"/>
      <c r="E27" s="569"/>
      <c r="F27" s="569"/>
      <c r="G27" s="569"/>
      <c r="H27" s="569"/>
      <c r="I27" s="569"/>
      <c r="J27" s="569"/>
      <c r="O27" s="207" t="s">
        <v>582</v>
      </c>
      <c r="S27" s="252"/>
      <c r="X27" s="215" t="s">
        <v>323</v>
      </c>
      <c r="AB27" s="216" t="s">
        <v>323</v>
      </c>
      <c r="AH27" s="216"/>
      <c r="AP27" s="215" t="s">
        <v>500</v>
      </c>
      <c r="AQ27" s="210" t="s">
        <v>367</v>
      </c>
      <c r="AR27" s="215" t="s">
        <v>199</v>
      </c>
      <c r="AS27" s="210" t="s">
        <v>508</v>
      </c>
      <c r="AT27" s="215"/>
      <c r="AV27" s="215" t="s">
        <v>423</v>
      </c>
      <c r="AW27" s="210" t="s">
        <v>418</v>
      </c>
      <c r="AZ27" s="207"/>
      <c r="BD27" s="207"/>
    </row>
    <row r="28" spans="2:56">
      <c r="B28" s="569"/>
      <c r="C28" s="569"/>
      <c r="E28" s="569"/>
      <c r="F28" s="569"/>
      <c r="G28" s="569"/>
      <c r="H28" s="569"/>
      <c r="I28" s="569"/>
      <c r="J28" s="569"/>
      <c r="O28" s="207" t="s">
        <v>583</v>
      </c>
      <c r="Q28" s="209"/>
      <c r="S28" s="252"/>
      <c r="X28" s="215"/>
      <c r="AH28" s="216"/>
      <c r="AP28" s="215" t="s">
        <v>323</v>
      </c>
      <c r="AQ28" s="210" t="s">
        <v>361</v>
      </c>
      <c r="AR28" s="215" t="s">
        <v>509</v>
      </c>
      <c r="AS28" s="210" t="s">
        <v>386</v>
      </c>
      <c r="AT28" s="215"/>
      <c r="AV28" s="215" t="s">
        <v>551</v>
      </c>
      <c r="AW28" s="210" t="s">
        <v>444</v>
      </c>
      <c r="AZ28" s="207"/>
      <c r="BD28" s="207"/>
    </row>
    <row r="29" spans="2:56">
      <c r="B29" s="569"/>
      <c r="C29" s="569"/>
      <c r="E29" s="569"/>
      <c r="F29" s="569"/>
      <c r="G29" s="569"/>
      <c r="H29" s="569"/>
      <c r="I29" s="569"/>
      <c r="J29" s="569"/>
      <c r="O29" s="207" t="s">
        <v>268</v>
      </c>
      <c r="Q29" s="209"/>
      <c r="S29" s="252"/>
      <c r="X29" s="215"/>
      <c r="AH29" s="216"/>
      <c r="AP29" s="215"/>
      <c r="AR29" s="215" t="s">
        <v>510</v>
      </c>
      <c r="AS29" s="210" t="s">
        <v>387</v>
      </c>
      <c r="AT29" s="215"/>
      <c r="AV29" s="215" t="s">
        <v>552</v>
      </c>
      <c r="AW29" s="210" t="s">
        <v>457</v>
      </c>
      <c r="AZ29" s="207"/>
      <c r="BD29" s="207"/>
    </row>
    <row r="30" spans="2:56">
      <c r="B30" s="569"/>
      <c r="C30" s="569"/>
      <c r="E30" s="569"/>
      <c r="F30" s="569"/>
      <c r="G30" s="569"/>
      <c r="H30" s="569"/>
      <c r="I30" s="569"/>
      <c r="J30" s="569"/>
      <c r="O30" s="207" t="s">
        <v>196</v>
      </c>
      <c r="Q30" s="209"/>
      <c r="S30" s="252"/>
      <c r="X30" s="215"/>
      <c r="AH30" s="216"/>
      <c r="AP30" s="215"/>
      <c r="AR30" s="215" t="s">
        <v>323</v>
      </c>
      <c r="AS30" s="210" t="s">
        <v>411</v>
      </c>
      <c r="AT30" s="215"/>
      <c r="AV30" s="215" t="s">
        <v>553</v>
      </c>
      <c r="AW30" s="210" t="s">
        <v>457</v>
      </c>
      <c r="AZ30" s="207"/>
      <c r="BD30" s="207"/>
    </row>
    <row r="31" spans="2:56">
      <c r="B31" s="569"/>
      <c r="C31" s="569"/>
      <c r="E31" s="569"/>
      <c r="F31" s="569"/>
      <c r="G31" s="569"/>
      <c r="H31" s="569"/>
      <c r="I31" s="569"/>
      <c r="J31" s="569"/>
      <c r="O31" s="207" t="s">
        <v>197</v>
      </c>
      <c r="Q31" s="209"/>
      <c r="S31" s="252"/>
      <c r="X31" s="215"/>
      <c r="AH31" s="216"/>
      <c r="AP31" s="215"/>
      <c r="AR31" s="215"/>
      <c r="AT31" s="215"/>
      <c r="AV31" s="215" t="s">
        <v>554</v>
      </c>
      <c r="AW31" s="210" t="s">
        <v>457</v>
      </c>
      <c r="AZ31" s="207"/>
      <c r="BD31" s="207"/>
    </row>
    <row r="32" spans="2:56">
      <c r="B32" s="569"/>
      <c r="C32" s="569"/>
      <c r="E32" s="569"/>
      <c r="F32" s="569"/>
      <c r="G32" s="569"/>
      <c r="H32" s="569"/>
      <c r="I32" s="569"/>
      <c r="J32" s="569"/>
      <c r="O32" s="207" t="s">
        <v>584</v>
      </c>
      <c r="Q32" s="209"/>
      <c r="X32" s="215"/>
      <c r="AH32" s="216"/>
      <c r="AP32" s="215"/>
      <c r="AR32" s="215"/>
      <c r="AT32" s="215"/>
      <c r="AV32" s="215" t="s">
        <v>555</v>
      </c>
      <c r="AW32" s="210" t="s">
        <v>457</v>
      </c>
      <c r="AZ32" s="207"/>
      <c r="BD32" s="207"/>
    </row>
    <row r="33" spans="2:56">
      <c r="B33" s="569"/>
      <c r="C33" s="569"/>
      <c r="E33" s="569"/>
      <c r="F33" s="569"/>
      <c r="G33" s="569"/>
      <c r="H33" s="569"/>
      <c r="I33" s="569"/>
      <c r="J33" s="569"/>
      <c r="O33" s="207" t="s">
        <v>585</v>
      </c>
      <c r="Q33" s="209"/>
      <c r="X33" s="215"/>
      <c r="AH33" s="216"/>
      <c r="AP33" s="215"/>
      <c r="AR33" s="215"/>
      <c r="AT33" s="215"/>
      <c r="AV33" s="215" t="s">
        <v>556</v>
      </c>
      <c r="AW33" s="210" t="s">
        <v>457</v>
      </c>
      <c r="AZ33" s="207"/>
      <c r="BD33" s="207"/>
    </row>
    <row r="34" spans="2:56">
      <c r="B34" s="569"/>
      <c r="C34" s="569"/>
      <c r="E34" s="569"/>
      <c r="F34" s="569"/>
      <c r="G34" s="569"/>
      <c r="H34" s="569"/>
      <c r="I34" s="569"/>
      <c r="J34" s="569"/>
      <c r="O34" s="207" t="s">
        <v>586</v>
      </c>
      <c r="Q34" s="209"/>
      <c r="X34" s="215"/>
      <c r="AH34" s="216"/>
      <c r="AP34" s="215"/>
      <c r="AR34" s="215"/>
      <c r="AT34" s="215"/>
      <c r="AV34" s="215" t="s">
        <v>424</v>
      </c>
      <c r="AW34" s="210" t="s">
        <v>419</v>
      </c>
      <c r="AZ34" s="207"/>
      <c r="BD34" s="207"/>
    </row>
    <row r="35" spans="2:56">
      <c r="B35" s="569"/>
      <c r="C35" s="569"/>
      <c r="E35" s="569"/>
      <c r="F35" s="569"/>
      <c r="G35" s="569"/>
      <c r="H35" s="569"/>
      <c r="I35" s="569"/>
      <c r="J35" s="569"/>
      <c r="O35" s="207" t="s">
        <v>587</v>
      </c>
      <c r="Q35" s="209"/>
      <c r="X35" s="215"/>
      <c r="AH35" s="216"/>
      <c r="AP35" s="215"/>
      <c r="AR35" s="215"/>
      <c r="AT35" s="215"/>
      <c r="AV35" s="215" t="s">
        <v>557</v>
      </c>
      <c r="AW35" s="210" t="s">
        <v>448</v>
      </c>
      <c r="AZ35" s="207"/>
      <c r="BD35" s="207"/>
    </row>
    <row r="36" spans="2:56">
      <c r="B36" s="569"/>
      <c r="C36" s="569"/>
      <c r="E36" s="569"/>
      <c r="F36" s="569"/>
      <c r="G36" s="569"/>
      <c r="H36" s="569"/>
      <c r="I36" s="569"/>
      <c r="J36" s="569"/>
      <c r="O36" s="207" t="s">
        <v>588</v>
      </c>
      <c r="Q36" s="209"/>
      <c r="X36" s="215"/>
      <c r="AH36" s="216"/>
      <c r="AP36" s="215"/>
      <c r="AR36" s="215"/>
      <c r="AT36" s="215"/>
      <c r="AV36" s="215" t="s">
        <v>558</v>
      </c>
      <c r="AW36" s="210" t="s">
        <v>451</v>
      </c>
      <c r="AZ36" s="207"/>
      <c r="BD36" s="207"/>
    </row>
    <row r="37" spans="2:56">
      <c r="B37" s="569"/>
      <c r="C37" s="569"/>
      <c r="E37" s="569"/>
      <c r="F37" s="569"/>
      <c r="G37" s="569"/>
      <c r="H37" s="569"/>
      <c r="I37" s="569"/>
      <c r="J37" s="569"/>
      <c r="O37" s="207" t="s">
        <v>323</v>
      </c>
      <c r="Q37" s="209"/>
      <c r="X37" s="215"/>
      <c r="AH37" s="216"/>
      <c r="AP37" s="215"/>
      <c r="AR37" s="215"/>
      <c r="AT37" s="215"/>
      <c r="AV37" s="215" t="s">
        <v>559</v>
      </c>
      <c r="AW37" s="210" t="s">
        <v>453</v>
      </c>
      <c r="AZ37" s="207"/>
      <c r="BD37" s="207"/>
    </row>
    <row r="38" spans="2:56">
      <c r="Q38" s="209"/>
      <c r="X38" s="215"/>
      <c r="AH38" s="216"/>
      <c r="AP38" s="215"/>
      <c r="AR38" s="215"/>
      <c r="AT38" s="215"/>
      <c r="AV38" s="215" t="s">
        <v>560</v>
      </c>
      <c r="AW38" s="210" t="s">
        <v>450</v>
      </c>
      <c r="AZ38" s="207"/>
      <c r="BD38" s="207"/>
    </row>
    <row r="39" spans="2:56">
      <c r="Q39" s="209"/>
      <c r="X39" s="215"/>
      <c r="AP39" s="215"/>
      <c r="AR39" s="215"/>
      <c r="AT39" s="215"/>
      <c r="AV39" s="215" t="s">
        <v>561</v>
      </c>
      <c r="AW39" s="210" t="s">
        <v>449</v>
      </c>
      <c r="AZ39" s="207"/>
      <c r="BD39" s="207"/>
    </row>
    <row r="40" spans="2:56">
      <c r="Q40" s="209"/>
      <c r="X40" s="215"/>
      <c r="AP40" s="215"/>
      <c r="AR40" s="215"/>
      <c r="AT40" s="215"/>
      <c r="AV40" s="215" t="s">
        <v>562</v>
      </c>
      <c r="AW40" s="210" t="s">
        <v>447</v>
      </c>
      <c r="AZ40" s="207"/>
      <c r="BD40" s="207"/>
    </row>
    <row r="41" spans="2:56">
      <c r="Q41" s="209"/>
      <c r="X41" s="215"/>
      <c r="AP41" s="215"/>
      <c r="AR41" s="215"/>
      <c r="AT41" s="215"/>
      <c r="AV41" s="215" t="s">
        <v>425</v>
      </c>
      <c r="AW41" s="210" t="s">
        <v>420</v>
      </c>
      <c r="AZ41" s="207"/>
      <c r="BD41" s="207"/>
    </row>
    <row r="42" spans="2:56">
      <c r="Q42" s="209"/>
      <c r="X42" s="215"/>
      <c r="AP42" s="215"/>
      <c r="AR42" s="215"/>
      <c r="AT42" s="215"/>
      <c r="AV42" s="215" t="s">
        <v>563</v>
      </c>
      <c r="AW42" s="210" t="s">
        <v>445</v>
      </c>
      <c r="AZ42" s="207"/>
      <c r="BD42" s="207"/>
    </row>
    <row r="43" spans="2:56">
      <c r="Q43" s="209"/>
      <c r="X43" s="215"/>
      <c r="AP43" s="215"/>
      <c r="AR43" s="215"/>
      <c r="AT43" s="215"/>
      <c r="AV43" s="215" t="s">
        <v>564</v>
      </c>
      <c r="AW43" s="210" t="s">
        <v>452</v>
      </c>
      <c r="AZ43" s="207"/>
      <c r="BD43" s="207"/>
    </row>
    <row r="44" spans="2:56">
      <c r="Q44" s="209"/>
      <c r="X44" s="215"/>
      <c r="AP44" s="215"/>
      <c r="AR44" s="215"/>
      <c r="AT44" s="215"/>
      <c r="AV44" s="215" t="s">
        <v>565</v>
      </c>
      <c r="AW44" s="210" t="s">
        <v>454</v>
      </c>
      <c r="AZ44" s="207"/>
      <c r="BD44" s="207"/>
    </row>
    <row r="45" spans="2:56">
      <c r="Q45" s="209"/>
      <c r="X45" s="215"/>
      <c r="AP45" s="215"/>
      <c r="AR45" s="215"/>
      <c r="AT45" s="215"/>
      <c r="AV45" s="215" t="s">
        <v>566</v>
      </c>
      <c r="AW45" s="210" t="s">
        <v>455</v>
      </c>
    </row>
    <row r="46" spans="2:56">
      <c r="Q46" s="209"/>
      <c r="X46" s="215"/>
      <c r="AP46" s="215"/>
      <c r="AR46" s="215"/>
      <c r="AT46" s="215"/>
      <c r="AV46" s="215" t="s">
        <v>567</v>
      </c>
      <c r="AW46" s="210" t="s">
        <v>456</v>
      </c>
    </row>
    <row r="47" spans="2:56">
      <c r="Q47" s="209"/>
      <c r="X47" s="215"/>
      <c r="AP47" s="215"/>
      <c r="AR47" s="215"/>
      <c r="AT47" s="215"/>
      <c r="AV47" s="215" t="s">
        <v>568</v>
      </c>
      <c r="AW47" s="210" t="s">
        <v>446</v>
      </c>
    </row>
    <row r="48" spans="2:56">
      <c r="Q48" s="209"/>
      <c r="X48" s="215"/>
      <c r="AP48" s="215"/>
      <c r="AR48" s="215"/>
      <c r="AT48" s="215"/>
      <c r="AV48" s="215"/>
    </row>
    <row r="49" spans="24:48">
      <c r="X49" s="215"/>
      <c r="AP49" s="215"/>
      <c r="AR49" s="215"/>
      <c r="AT49" s="215"/>
      <c r="AV49" s="215"/>
    </row>
    <row r="50" spans="24:48">
      <c r="X50" s="215"/>
      <c r="AP50" s="215"/>
      <c r="AR50" s="215"/>
      <c r="AT50" s="215"/>
      <c r="AV50" s="215"/>
    </row>
    <row r="51" spans="24:48">
      <c r="X51" s="215"/>
      <c r="AP51" s="215"/>
      <c r="AR51" s="215"/>
      <c r="AT51" s="215"/>
      <c r="AV51" s="215"/>
    </row>
    <row r="52" spans="24:48">
      <c r="X52" s="215"/>
      <c r="AP52" s="215"/>
      <c r="AR52" s="215"/>
      <c r="AT52" s="215"/>
      <c r="AV52" s="215"/>
    </row>
    <row r="53" spans="24:48">
      <c r="X53" s="215"/>
      <c r="AP53" s="215"/>
      <c r="AR53" s="215"/>
      <c r="AT53" s="215"/>
      <c r="AV53" s="215"/>
    </row>
    <row r="54" spans="24:48">
      <c r="X54" s="215"/>
      <c r="AP54" s="215"/>
      <c r="AR54" s="215"/>
      <c r="AT54" s="215"/>
      <c r="AV54" s="215"/>
    </row>
    <row r="55" spans="24:48">
      <c r="X55" s="215"/>
      <c r="AP55" s="215"/>
      <c r="AR55" s="215"/>
      <c r="AT55" s="215"/>
      <c r="AV55" s="215"/>
    </row>
    <row r="56" spans="24:48">
      <c r="X56" s="215"/>
      <c r="AP56" s="215"/>
      <c r="AR56" s="215"/>
      <c r="AT56" s="215"/>
      <c r="AV56" s="215"/>
    </row>
    <row r="57" spans="24:48">
      <c r="X57" s="215"/>
      <c r="AP57" s="215"/>
      <c r="AR57" s="215"/>
      <c r="AT57" s="215"/>
      <c r="AV57" s="215"/>
    </row>
    <row r="58" spans="24:48">
      <c r="X58" s="215"/>
      <c r="AP58" s="215"/>
      <c r="AR58" s="215"/>
      <c r="AT58" s="215"/>
      <c r="AV58" s="215"/>
    </row>
    <row r="59" spans="24:48">
      <c r="X59" s="215"/>
      <c r="AP59" s="215"/>
      <c r="AR59" s="215"/>
      <c r="AT59" s="215"/>
      <c r="AV59" s="215"/>
    </row>
    <row r="60" spans="24:48">
      <c r="X60" s="215"/>
      <c r="AP60" s="215"/>
      <c r="AR60" s="215"/>
      <c r="AT60" s="215"/>
      <c r="AV60" s="215"/>
    </row>
  </sheetData>
  <sheetProtection formatCells="0" formatColumns="0" formatRows="0" insertColumns="0" insertRows="0" insertHyperlinks="0" selectLockedCells="1" sort="0" autoFilter="0" pivotTables="0"/>
  <mergeCells count="9">
    <mergeCell ref="L1:N1"/>
    <mergeCell ref="BA1:BC1"/>
    <mergeCell ref="A1:C1"/>
    <mergeCell ref="AP1:AS1"/>
    <mergeCell ref="AF1:AO1"/>
    <mergeCell ref="AT1:AY1"/>
    <mergeCell ref="W1:AE1"/>
    <mergeCell ref="O1:V1"/>
    <mergeCell ref="D1:G1"/>
  </mergeCells>
  <phoneticPr fontId="10" type="noConversion"/>
  <pageMargins left="0.75" right="0.75" top="1" bottom="1" header="0.5" footer="0.5"/>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53</vt:i4>
      </vt:variant>
    </vt:vector>
  </HeadingPairs>
  <TitlesOfParts>
    <vt:vector size="68" baseType="lpstr">
      <vt:lpstr>Reference</vt:lpstr>
      <vt:lpstr>City information</vt:lpstr>
      <vt:lpstr>Data sources</vt:lpstr>
      <vt:lpstr>Emission factors</vt:lpstr>
      <vt:lpstr>NCV&amp;Density</vt:lpstr>
      <vt:lpstr>I - Stationary</vt:lpstr>
      <vt:lpstr>II - Transport</vt:lpstr>
      <vt:lpstr>III - Waste</vt:lpstr>
      <vt:lpstr>IV - IPPU</vt:lpstr>
      <vt:lpstr>V - AFOLU</vt:lpstr>
      <vt:lpstr>VI - Other scope 3</vt:lpstr>
      <vt:lpstr>Table A. Overview</vt:lpstr>
      <vt:lpstr>Graphs</vt:lpstr>
      <vt:lpstr>Table B. Summary</vt:lpstr>
      <vt:lpstr>Lists</vt:lpstr>
      <vt:lpstr>AFOLU_Aggregate</vt:lpstr>
      <vt:lpstr>AFOLU_Land</vt:lpstr>
      <vt:lpstr>AFOLU_Livestock</vt:lpstr>
      <vt:lpstr>Aggregate</vt:lpstr>
      <vt:lpstr>Air</vt:lpstr>
      <vt:lpstr>Audit</vt:lpstr>
      <vt:lpstr>Biological_Treatment</vt:lpstr>
      <vt:lpstr>Boundary</vt:lpstr>
      <vt:lpstr>Climate</vt:lpstr>
      <vt:lpstr>CompleteDataSource.</vt:lpstr>
      <vt:lpstr>DataSource</vt:lpstr>
      <vt:lpstr>DQ</vt:lpstr>
      <vt:lpstr>Economy</vt:lpstr>
      <vt:lpstr>EF_Mass_units</vt:lpstr>
      <vt:lpstr>EF_Type</vt:lpstr>
      <vt:lpstr>EmissionFactor</vt:lpstr>
      <vt:lpstr>Energy_Industries</vt:lpstr>
      <vt:lpstr>Frequency</vt:lpstr>
      <vt:lpstr>Fugitive_Coal</vt:lpstr>
      <vt:lpstr>Fugitive_Oil_Gas</vt:lpstr>
      <vt:lpstr>Gases</vt:lpstr>
      <vt:lpstr>Gases_2</vt:lpstr>
      <vt:lpstr>GPC_REF</vt:lpstr>
      <vt:lpstr>GPC_Stationary</vt:lpstr>
      <vt:lpstr>Grid</vt:lpstr>
      <vt:lpstr>GWP</vt:lpstr>
      <vt:lpstr>GWP_2</vt:lpstr>
      <vt:lpstr>Incineration</vt:lpstr>
      <vt:lpstr>Inventory</vt:lpstr>
      <vt:lpstr>IPPU_IP</vt:lpstr>
      <vt:lpstr>IPPU_PU</vt:lpstr>
      <vt:lpstr>Method</vt:lpstr>
      <vt:lpstr>Multiplier</vt:lpstr>
      <vt:lpstr>NK</vt:lpstr>
      <vt:lpstr>Organic_Waste</vt:lpstr>
      <vt:lpstr>'City information'!Print_Area</vt:lpstr>
      <vt:lpstr>'I - Stationary'!Print_Area</vt:lpstr>
      <vt:lpstr>'II - Transport'!Print_Area</vt:lpstr>
      <vt:lpstr>'III - Waste'!Print_Area</vt:lpstr>
      <vt:lpstr>'IV - IPPU'!Print_Area</vt:lpstr>
      <vt:lpstr>'Table A. Overview'!Print_Area</vt:lpstr>
      <vt:lpstr>'Table B. Summary'!Print_Area</vt:lpstr>
      <vt:lpstr>'V - AFOLU'!Print_Area</vt:lpstr>
      <vt:lpstr>'VI - Other scope 3'!Print_Area</vt:lpstr>
      <vt:lpstr>Rail</vt:lpstr>
      <vt:lpstr>ReportingPeriod</vt:lpstr>
      <vt:lpstr>Road</vt:lpstr>
      <vt:lpstr>Scale</vt:lpstr>
      <vt:lpstr>SCOPE3</vt:lpstr>
      <vt:lpstr>Solid_Waste</vt:lpstr>
      <vt:lpstr>Tick</vt:lpstr>
      <vt:lpstr>Wastewater</vt:lpstr>
      <vt:lpstr>Water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Doust</dc:creator>
  <cp:lastModifiedBy>Karagulian, Federico</cp:lastModifiedBy>
  <cp:lastPrinted>2015-06-26T12:28:39Z</cp:lastPrinted>
  <dcterms:created xsi:type="dcterms:W3CDTF">2014-11-03T15:31:54Z</dcterms:created>
  <dcterms:modified xsi:type="dcterms:W3CDTF">2016-08-02T15:30:49Z</dcterms:modified>
</cp:coreProperties>
</file>